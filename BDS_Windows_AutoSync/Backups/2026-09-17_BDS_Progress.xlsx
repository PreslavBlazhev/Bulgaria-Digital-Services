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абло" sheetId="1" state="visible" r:id="rId3"/>
    <sheet name="Задачи" sheetId="2" state="visible" r:id="rId4"/>
    <sheet name="Седмици" sheetId="3" state="visible" r:id="rId5"/>
    <sheet name="Месеци" sheetId="4" state="visible" r:id="rId6"/>
    <sheet name="Модел" sheetId="5" state="visible" r:id="rId7"/>
    <sheet name="Допускания" sheetId="6" state="visible" r:id="rId8"/>
    <sheet name="Лийдове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<sst xmlns="http://schemas.openxmlformats.org/spreadsheetml/2006/main" count="674" uniqueCount="405">
  <si>
    <t xml:space="preserve">BDS напредък и следващи действия</t>
  </si>
  <si>
    <t xml:space="preserve">Към</t>
  </si>
  <si>
    <t xml:space="preserve">Всеки ден</t>
  </si>
  <si>
    <t xml:space="preserve">Отмятай задачите в Word. Помощникът обновява това табло автоматично.</t>
  </si>
  <si>
    <t xml:space="preserve">В петък</t>
  </si>
  <si>
    <t xml:space="preserve">Попълни числата в Седмици. Пълнотата се проверява автоматично.</t>
  </si>
  <si>
    <t xml:space="preserve">Месечно</t>
  </si>
  <si>
    <t xml:space="preserve">Попълни Месеци и приключи отчетения период.</t>
  </si>
  <si>
    <t xml:space="preserve">Период</t>
  </si>
  <si>
    <t xml:space="preserve">Изпълнение</t>
  </si>
  <si>
    <t xml:space="preserve">Готови</t>
  </si>
  <si>
    <t xml:space="preserve">Общо</t>
  </si>
  <si>
    <t xml:space="preserve">Остават</t>
  </si>
  <si>
    <t xml:space="preserve">14 дни</t>
  </si>
  <si>
    <t xml:space="preserve">30 дни</t>
  </si>
  <si>
    <t xml:space="preserve">90 дни</t>
  </si>
  <si>
    <t xml:space="preserve">След условия</t>
  </si>
  <si>
    <t xml:space="preserve">Заявено изпълнение</t>
  </si>
  <si>
    <t xml:space="preserve">Просрочени</t>
  </si>
  <si>
    <t xml:space="preserve">Блокирани</t>
  </si>
  <si>
    <t xml:space="preserve">Провери условията</t>
  </si>
  <si>
    <t xml:space="preserve">Текущ етап</t>
  </si>
  <si>
    <t xml:space="preserve">Ред</t>
  </si>
  <si>
    <t xml:space="preserve">Следваща задача</t>
  </si>
  <si>
    <t xml:space="preserve">ID</t>
  </si>
  <si>
    <t xml:space="preserve">Срок</t>
  </si>
  <si>
    <t xml:space="preserve">Започни от</t>
  </si>
  <si>
    <t xml:space="preserve">Промени старт</t>
  </si>
  <si>
    <t xml:space="preserve">Кого да търся</t>
  </si>
  <si>
    <t xml:space="preserve">Показател</t>
  </si>
  <si>
    <t xml:space="preserve">Реално</t>
  </si>
  <si>
    <t xml:space="preserve">Цел</t>
  </si>
  <si>
    <t xml:space="preserve">Прогрес</t>
  </si>
  <si>
    <t xml:space="preserve">Последен затворен месец</t>
  </si>
  <si>
    <t xml:space="preserve">Приход</t>
  </si>
  <si>
    <t xml:space="preserve">MRR</t>
  </si>
  <si>
    <t xml:space="preserve">Опер. марж</t>
  </si>
  <si>
    <t xml:space="preserve">Устойчиви 30k</t>
  </si>
  <si>
    <t xml:space="preserve">Месеци 30k</t>
  </si>
  <si>
    <t xml:space="preserve">Устойчиви 50k</t>
  </si>
  <si>
    <t xml:space="preserve">Месеци 50k</t>
  </si>
  <si>
    <t xml:space="preserve">Задачите и приходът са отделни показатели.</t>
  </si>
  <si>
    <t xml:space="preserve">Метрика</t>
  </si>
  <si>
    <t xml:space="preserve">Последни 4 седмици</t>
  </si>
  <si>
    <t xml:space="preserve">План на седмица</t>
  </si>
  <si>
    <t xml:space="preserve">Prospects</t>
  </si>
  <si>
    <t xml:space="preserve">Избран прогнозен модел</t>
  </si>
  <si>
    <t xml:space="preserve">Call attempts</t>
  </si>
  <si>
    <t xml:space="preserve">Held meetings</t>
  </si>
  <si>
    <t xml:space="preserve">Proposals</t>
  </si>
  <si>
    <t xml:space="preserve">Процентът отчита отметките ти. Реалните приходи, MRR и устойчивост се доказват отделно.</t>
  </si>
  <si>
    <t xml:space="preserve">Автоматично обновяване след 1_SETUP.cmd. Дръж двата файла и помощника в тази папка.</t>
  </si>
  <si>
    <t xml:space="preserve">Последна връзка</t>
  </si>
  <si>
    <t xml:space="preserve">Още не е активирана. Стартирай 1_SETUP.cmd.</t>
  </si>
  <si>
    <t xml:space="preserve">План за изпълнение и доказателства</t>
  </si>
  <si>
    <t xml:space="preserve">Word управлява Готово и Дата готово. Отметката е самооценка; бележките са по избор. Не преименувай ID.</t>
  </si>
  <si>
    <t xml:space="preserve">Задача</t>
  </si>
  <si>
    <t xml:space="preserve">Отговорник</t>
  </si>
  <si>
    <t xml:space="preserve">Статус</t>
  </si>
  <si>
    <t xml:space="preserve">Дата готово</t>
  </si>
  <si>
    <t xml:space="preserve">Бележка или доказателство</t>
  </si>
  <si>
    <t xml:space="preserve">Отметнато</t>
  </si>
  <si>
    <t xml:space="preserve">Какво остава</t>
  </si>
  <si>
    <t xml:space="preserve">Приоритет</t>
  </si>
  <si>
    <t xml:space="preserve">Зависи от 1</t>
  </si>
  <si>
    <t xml:space="preserve">Зависи от 2</t>
  </si>
  <si>
    <t xml:space="preserve">Impact</t>
  </si>
  <si>
    <t xml:space="preserve">Urgency</t>
  </si>
  <si>
    <t xml:space="preserve">Effort</t>
  </si>
  <si>
    <t xml:space="preserve">Dependency</t>
  </si>
  <si>
    <t xml:space="preserve">Готови условия</t>
  </si>
  <si>
    <t xml:space="preserve">Ред за действие</t>
  </si>
  <si>
    <t xml:space="preserve">Word</t>
  </si>
  <si>
    <t xml:space="preserve">Критерий за готово</t>
  </si>
  <si>
    <t xml:space="preserve">T01</t>
  </si>
  <si>
    <t xml:space="preserve">Въведи реалното начално състояние</t>
  </si>
  <si>
    <t xml:space="preserve">Преслав</t>
  </si>
  <si>
    <t xml:space="preserve">Не е започнато</t>
  </si>
  <si>
    <t xml:space="preserve">Последният приключен месец има приходи, MRR, разходи, плащания и активни клиенти; списък с платения backlog.</t>
  </si>
  <si>
    <t xml:space="preserve">T02</t>
  </si>
  <si>
    <t xml:space="preserve">Реши видимостта на repository</t>
  </si>
  <si>
    <t xml:space="preserve">Документирано решение за public/private; прегледани вътрешни данни и публичният build.</t>
  </si>
  <si>
    <t xml:space="preserve">T03</t>
  </si>
  <si>
    <t xml:space="preserve">Подреди съществуващите възможности</t>
  </si>
  <si>
    <t xml:space="preserve">Всяка активна сделка има собственик, следващо действие и дата.</t>
  </si>
  <si>
    <t xml:space="preserve">T04</t>
  </si>
  <si>
    <t xml:space="preserve">Започни отчитане на часове и разход</t>
  </si>
  <si>
    <t xml:space="preserve">Всеки активен проект и абонамент има estimate, actual hours и отговорник.</t>
  </si>
  <si>
    <t xml:space="preserve">T05</t>
  </si>
  <si>
    <t xml:space="preserve">Избери един ICP и водещ продукт</t>
  </si>
  <si>
    <t xml:space="preserve">Една целева група, един измерим проблем и една повторяема оферта; изборът е подкрепен с разговори.</t>
  </si>
  <si>
    <t xml:space="preserve">T06</t>
  </si>
  <si>
    <t xml:space="preserve">Фиксирай обхват и минимален марж</t>
  </si>
  <si>
    <t xml:space="preserve">Офертата има включено/изключено, лимити, приемане, срок след материали и калкулация.</t>
  </si>
  <si>
    <t xml:space="preserve">T07</t>
  </si>
  <si>
    <t xml:space="preserve">Обедини входящите лийдове</t>
  </si>
  <si>
    <t xml:space="preserve">Технически отговорник</t>
  </si>
  <si>
    <t xml:space="preserve">Двете форми създават един проследим LeadID; има лог на неуспехите и проверка за дублиране.</t>
  </si>
  <si>
    <t xml:space="preserve">T08</t>
  </si>
  <si>
    <t xml:space="preserve">Провери tracking и Ads акаунтите</t>
  </si>
  <si>
    <t xml:space="preserve">Тестов lead се вижда еднократно в CRM и analytics; потвърдени правилни Ads IDs и consent.</t>
  </si>
  <si>
    <t xml:space="preserve">T09</t>
  </si>
  <si>
    <t xml:space="preserve">Добави задължителни CRM действия</t>
  </si>
  <si>
    <t xml:space="preserve">Sales Ops</t>
  </si>
  <si>
    <t xml:space="preserve">Всички активни сделки имат NextActionAt, StageEnteredAt, Owner и доказателство за етап.</t>
  </si>
  <si>
    <t xml:space="preserve">T10</t>
  </si>
  <si>
    <t xml:space="preserve">Въведи scoring и списък за звънене</t>
  </si>
  <si>
    <t xml:space="preserve">20 проверени лийда са оценени по 7 критерия; DNC и дубликати са изключени.</t>
  </si>
  <si>
    <t xml:space="preserve">T11</t>
  </si>
  <si>
    <t xml:space="preserve">Подготви 150 проверени prospects</t>
  </si>
  <si>
    <t xml:space="preserve">150 уникални подходящи бизнеса със source, дата, контакт и конкретен проблем.</t>
  </si>
  <si>
    <t xml:space="preserve">T12</t>
  </si>
  <si>
    <t xml:space="preserve">Изпълни 300 опита за разговор</t>
  </si>
  <si>
    <t xml:space="preserve">300 реални опита са записани с outcome и следващо действие; DNC е спазен.</t>
  </si>
  <si>
    <t xml:space="preserve">T13</t>
  </si>
  <si>
    <t xml:space="preserve">Проведи 12 discovery срещи</t>
  </si>
  <si>
    <t xml:space="preserve">12 проведени срещи с проблем, стойност, бюджет, срок и decision maker.</t>
  </si>
  <si>
    <t xml:space="preserve">T14</t>
  </si>
  <si>
    <t xml:space="preserve">Изпрати 9 квалифицирани оферти</t>
  </si>
  <si>
    <t xml:space="preserve">9 прегледани оферти с точен scope, цена, MRR опция и next step.</t>
  </si>
  <si>
    <t xml:space="preserve">T15</t>
  </si>
  <si>
    <t xml:space="preserve">Потвърди първите 2 платени сделки</t>
  </si>
  <si>
    <t xml:space="preserve">2 приети оферти и получени аванси; сумите са сверени с плащания.</t>
  </si>
  <si>
    <t xml:space="preserve">T16</t>
  </si>
  <si>
    <t xml:space="preserve">Въведи onboarding checklist</t>
  </si>
  <si>
    <t xml:space="preserve">Operations</t>
  </si>
  <si>
    <t xml:space="preserve">Един checklist изисква плащане, brief, материали, достъпи, owner и acceptance.</t>
  </si>
  <si>
    <t xml:space="preserve">T17</t>
  </si>
  <si>
    <t xml:space="preserve">Направи преглед на ден 14</t>
  </si>
  <si>
    <t xml:space="preserve">Има сравнение план/факт, основна загуба във funnel и един следващ експеримент.</t>
  </si>
  <si>
    <t xml:space="preserve">T18</t>
  </si>
  <si>
    <t xml:space="preserve">Изпълни и измери един пълен проект</t>
  </si>
  <si>
    <t xml:space="preserve">Delivery lead</t>
  </si>
  <si>
    <t xml:space="preserve">Приет проект, QA checklist, actual hours, gross margin и customer feedback.</t>
  </si>
  <si>
    <t xml:space="preserve">T19</t>
  </si>
  <si>
    <t xml:space="preserve">Продай 3 платени recurring пилота</t>
  </si>
  <si>
    <t xml:space="preserve">3 клиента плащат за ясно ограничен Growth пакет; baseline и отчет са уговорени.</t>
  </si>
  <si>
    <t xml:space="preserve">T20</t>
  </si>
  <si>
    <t xml:space="preserve">Въведи седмичен operating review</t>
  </si>
  <si>
    <t xml:space="preserve">Попълнени седмични показатели и месечен P&amp;L; 13-седмичен cash outlook се преглежда.</t>
  </si>
  <si>
    <t xml:space="preserve">T21</t>
  </si>
  <si>
    <t xml:space="preserve">Документирай и предай първия процес</t>
  </si>
  <si>
    <t xml:space="preserve">Друг човек изпълнява процеса по SOP; Преслав проверява изхода, а не всяка стъпка.</t>
  </si>
  <si>
    <t xml:space="preserve">T22</t>
  </si>
  <si>
    <t xml:space="preserve">Провери trigger за Sales Ops</t>
  </si>
  <si>
    <t xml:space="preserve">Измерени admin часове, SOP, KPI и бюджет; записано решение дали hiring trigger е изпълнен.</t>
  </si>
  <si>
    <t xml:space="preserve">T23</t>
  </si>
  <si>
    <t xml:space="preserve">Провери delivery капацитета</t>
  </si>
  <si>
    <t xml:space="preserve">Платеният backlog, наличните часове и сроковете са видими; contractor има бюджет и QA.</t>
  </si>
  <si>
    <t xml:space="preserve">T24</t>
  </si>
  <si>
    <t xml:space="preserve">Измери 2 renewal цикъла</t>
  </si>
  <si>
    <t xml:space="preserve">Customer Success</t>
  </si>
  <si>
    <t xml:space="preserve">3 пилота са минали два цикъла; известни са retention, часове и gross margin.</t>
  </si>
  <si>
    <t xml:space="preserve">T25</t>
  </si>
  <si>
    <t xml:space="preserve">Въведи subscription и retention регистър</t>
  </si>
  <si>
    <t xml:space="preserve">Всеки абонамент има owner, цена, дата за плащане, scope, последен резултат и риск.</t>
  </si>
  <si>
    <t xml:space="preserve">T26</t>
  </si>
  <si>
    <t xml:space="preserve">Делегирай delivery и customer success</t>
  </si>
  <si>
    <t xml:space="preserve">Има owner и заместник за QA, onboarding, support и renewal; ескалациите са описани.</t>
  </si>
  <si>
    <t xml:space="preserve">T27</t>
  </si>
  <si>
    <t xml:space="preserve">Докажи повторяемост на продукта</t>
  </si>
  <si>
    <t xml:space="preserve">Поне два delivery цикъла и два renewal цикъла са измерени; офертата покрива маржа.</t>
  </si>
  <si>
    <t xml:space="preserve">T28</t>
  </si>
  <si>
    <t xml:space="preserve">Тествай следващ пазар</t>
  </si>
  <si>
    <t xml:space="preserve">Sales lead</t>
  </si>
  <si>
    <t xml:space="preserve">Нов регион или партньорски канал е тестван с ограничен бюджет и измерен CAC.</t>
  </si>
  <si>
    <t xml:space="preserve">T29</t>
  </si>
  <si>
    <t xml:space="preserve">Направи 10 дневен тест без основателя</t>
  </si>
  <si>
    <t xml:space="preserve">10 работни дни без задължително участие на Преслав във всяка продажба, доставка и инцидент.</t>
  </si>
  <si>
    <t xml:space="preserve">T30</t>
  </si>
  <si>
    <t xml:space="preserve">Потвърди устойчиви 30 000 евро</t>
  </si>
  <si>
    <t xml:space="preserve">3 последователни приключени месеца: приход ≥30k, MRR ≥15k, марж ≥25%, навреме ≥90%, 0 SLA backlog и автономна операция.</t>
  </si>
  <si>
    <t xml:space="preserve">T31</t>
  </si>
  <si>
    <t xml:space="preserve">Подготви капацитет за 50 000 евро</t>
  </si>
  <si>
    <t xml:space="preserve">Планът покрива около 582 productive hours и 111 уникални recurring клиента при валидиран Growth модел.</t>
  </si>
  <si>
    <t xml:space="preserve">T32</t>
  </si>
  <si>
    <t xml:space="preserve">Потвърди устойчиви 50 000 евро</t>
  </si>
  <si>
    <t xml:space="preserve">3 последователни месеца ≥50k, MRR ≥30k и същите условия за марж, качество и автономност.</t>
  </si>
  <si>
    <t xml:space="preserve">Седмичен отчет</t>
  </si>
  <si>
    <t xml:space="preserve">Попълвай в петък. Празно = липсва данни. Въведи 0, ако стойността наистина е нула.</t>
  </si>
  <si>
    <t xml:space="preserve">Седмица от</t>
  </si>
  <si>
    <t xml:space="preserve">Verified prospects</t>
  </si>
  <si>
    <t xml:space="preserve">Опити за разговор</t>
  </si>
  <si>
    <t xml:space="preserve">Контакти</t>
  </si>
  <si>
    <t xml:space="preserve">SQL</t>
  </si>
  <si>
    <t xml:space="preserve">Проведени срещи</t>
  </si>
  <si>
    <t xml:space="preserve">Изпратени оферти</t>
  </si>
  <si>
    <t xml:space="preserve">Приети сделки</t>
  </si>
  <si>
    <t xml:space="preserve">Получени аванси €</t>
  </si>
  <si>
    <t xml:space="preserve">Delivery часа</t>
  </si>
  <si>
    <t xml:space="preserve">Founder часа</t>
  </si>
  <si>
    <t xml:space="preserve">Просрочени действия</t>
  </si>
  <si>
    <t xml:space="preserve">Бележка</t>
  </si>
  <si>
    <t xml:space="preserve">Отчетът е пълен</t>
  </si>
  <si>
    <t xml:space="preserve">Реални месечни резултати</t>
  </si>
  <si>
    <t xml:space="preserve">Приход = признат за периода. MRR = договорен месечен run rate. Получените плащания са отделно.</t>
  </si>
  <si>
    <t xml:space="preserve">Месец</t>
  </si>
  <si>
    <t xml:space="preserve">Еднократен приход</t>
  </si>
  <si>
    <t xml:space="preserve">Абонаментен приход</t>
  </si>
  <si>
    <t xml:space="preserve">Общ приход</t>
  </si>
  <si>
    <t xml:space="preserve">MRR край</t>
  </si>
  <si>
    <t xml:space="preserve">Преки разходи</t>
  </si>
  <si>
    <t xml:space="preserve">Оpex с founder pay</t>
  </si>
  <si>
    <t xml:space="preserve">Опер. печалба</t>
  </si>
  <si>
    <t xml:space="preserve">Плащания получени</t>
  </si>
  <si>
    <t xml:space="preserve">Активни recurring клиенти</t>
  </si>
  <si>
    <t xml:space="preserve">Доставени проекти</t>
  </si>
  <si>
    <t xml:space="preserve">Навреме проекти</t>
  </si>
  <si>
    <t xml:space="preserve">Навреме %</t>
  </si>
  <si>
    <t xml:space="preserve">SLA просрочени</t>
  </si>
  <si>
    <t xml:space="preserve">Работи без основателя</t>
  </si>
  <si>
    <t xml:space="preserve">Месец приключен</t>
  </si>
  <si>
    <t xml:space="preserve">Покрива 30k</t>
  </si>
  <si>
    <t xml:space="preserve">Поредни 30k</t>
  </si>
  <si>
    <t xml:space="preserve">Покрива 50k</t>
  </si>
  <si>
    <t xml:space="preserve">Поредни 50k</t>
  </si>
  <si>
    <t xml:space="preserve">Не</t>
  </si>
  <si>
    <t xml:space="preserve">При 0 доставки и 0 закъснения quality тестът е изпълнен. MRR и margin условията остават задължителни.</t>
  </si>
  <si>
    <t xml:space="preserve">Месечни финансови сценарии</t>
  </si>
  <si>
    <t xml:space="preserve">ASSUMPTION · прогнозен месец при натрупана клиентска база</t>
  </si>
  <si>
    <t xml:space="preserve">Избран модел</t>
  </si>
  <si>
    <t xml:space="preserve">Обем</t>
  </si>
  <si>
    <t xml:space="preserve">Нови сайтове</t>
  </si>
  <si>
    <t xml:space="preserve">Нови системи</t>
  </si>
  <si>
    <t xml:space="preserve">Средна цена система</t>
  </si>
  <si>
    <t xml:space="preserve">Care сайтове</t>
  </si>
  <si>
    <t xml:space="preserve">Care системи</t>
  </si>
  <si>
    <t xml:space="preserve">Growth Basic</t>
  </si>
  <si>
    <t xml:space="preserve">Growth Plus</t>
  </si>
  <si>
    <t xml:space="preserve">Нови Growth за месеца</t>
  </si>
  <si>
    <t xml:space="preserve">Клиенти с Care и Growth</t>
  </si>
  <si>
    <t xml:space="preserve">Приход от нови сайтове</t>
  </si>
  <si>
    <t xml:space="preserve">Приход от нови системи</t>
  </si>
  <si>
    <t xml:space="preserve">Признат проектен приход при изпълнен scope. Bookings и авансите се следят отделно.</t>
  </si>
  <si>
    <t xml:space="preserve">Care сайтове MRR</t>
  </si>
  <si>
    <t xml:space="preserve">Care системи MRR</t>
  </si>
  <si>
    <t xml:space="preserve">Growth Basic MRR</t>
  </si>
  <si>
    <t xml:space="preserve">Growth Plus MRR</t>
  </si>
  <si>
    <t xml:space="preserve">Общ MRR</t>
  </si>
  <si>
    <t xml:space="preserve">Пълен run-rate месец. Growth новите клиенти са включени в активната база.</t>
  </si>
  <si>
    <t xml:space="preserve">Общ месечен приход</t>
  </si>
  <si>
    <t xml:space="preserve">Отклонение от целта</t>
  </si>
  <si>
    <t xml:space="preserve">Уникални recurring клиенти</t>
  </si>
  <si>
    <t xml:space="preserve">Нови уникални клиентски победи</t>
  </si>
  <si>
    <t xml:space="preserve">Капацитет и пряк разход</t>
  </si>
  <si>
    <t xml:space="preserve">Development часове</t>
  </si>
  <si>
    <t xml:space="preserve">Care часове</t>
  </si>
  <si>
    <t xml:space="preserve">Growth часове текущи</t>
  </si>
  <si>
    <t xml:space="preserve">Growth onboarding часове</t>
  </si>
  <si>
    <t xml:space="preserve">Общо productive часа</t>
  </si>
  <si>
    <t xml:space="preserve">100 productive часа = 1 FTE. Sales часовете са отделно.</t>
  </si>
  <si>
    <t xml:space="preserve">Delivery capacity FTE</t>
  </si>
  <si>
    <t xml:space="preserve">Development труд</t>
  </si>
  <si>
    <t xml:space="preserve">Care труд</t>
  </si>
  <si>
    <t xml:space="preserve">Growth труд с onboarding</t>
  </si>
  <si>
    <t xml:space="preserve">Общо contractors</t>
  </si>
  <si>
    <t xml:space="preserve">Пряка инфраструктура и tools</t>
  </si>
  <si>
    <t xml:space="preserve">Общо преки разходи</t>
  </si>
  <si>
    <t xml:space="preserve">Брутна печалба</t>
  </si>
  <si>
    <t xml:space="preserve">Брутен марж</t>
  </si>
  <si>
    <t xml:space="preserve">Оперативни разходи</t>
  </si>
  <si>
    <t xml:space="preserve">Payroll с founder pay</t>
  </si>
  <si>
    <t xml:space="preserve">Включва основателя и sales/ops/CS. Не добавяй същия труд втори път.</t>
  </si>
  <si>
    <t xml:space="preserve">Общ софтуер</t>
  </si>
  <si>
    <t xml:space="preserve">Реклама BDS</t>
  </si>
  <si>
    <t xml:space="preserve">Администрация</t>
  </si>
  <si>
    <t xml:space="preserve">Обучение и подобрения</t>
  </si>
  <si>
    <t xml:space="preserve">Общо оперативни разходи</t>
  </si>
  <si>
    <t xml:space="preserve">Оперативна печалба</t>
  </si>
  <si>
    <t xml:space="preserve">Оперативен марж</t>
  </si>
  <si>
    <t xml:space="preserve">Sales обем за един месец</t>
  </si>
  <si>
    <t xml:space="preserve">Нови клиентски победи</t>
  </si>
  <si>
    <t xml:space="preserve">Консервативен outbound еквивалент; не предполага допълнителни безплатни paid wins.</t>
  </si>
  <si>
    <t xml:space="preserve">Изпратени предложения</t>
  </si>
  <si>
    <t xml:space="preserve">Квалифицирани лийдове SQL</t>
  </si>
  <si>
    <t xml:space="preserve">Реални контакти</t>
  </si>
  <si>
    <t xml:space="preserve">Raw prospects за research</t>
  </si>
  <si>
    <t xml:space="preserve">Sales часове</t>
  </si>
  <si>
    <t xml:space="preserve">Sales capacity FTE</t>
  </si>
  <si>
    <t xml:space="preserve">Чувствителност и натрупване</t>
  </si>
  <si>
    <t xml:space="preserve">Печалба при 50% повече труд</t>
  </si>
  <si>
    <t xml:space="preserve">Марж при 50% повече труд</t>
  </si>
  <si>
    <t xml:space="preserve">Печалба при двойни dev часове</t>
  </si>
  <si>
    <t xml:space="preserve">Целева Growth клиентска база</t>
  </si>
  <si>
    <t xml:space="preserve">Месеци за Growth база от нула</t>
  </si>
  <si>
    <t xml:space="preserve">Постоянен new Growth темп от първия месец; не включва ramp-up.</t>
  </si>
  <si>
    <t xml:space="preserve">12 месечна Growth retention</t>
  </si>
  <si>
    <t xml:space="preserve">Допускания и управление</t>
  </si>
  <si>
    <t xml:space="preserve">1 = официален каталог; 2 = планиран Growth модел</t>
  </si>
  <si>
    <t xml:space="preserve">Начало на плана</t>
  </si>
  <si>
    <t xml:space="preserve">Промени преди въвеждане на actuals; после запази фиксирана.</t>
  </si>
  <si>
    <t xml:space="preserve">Дата за преглед</t>
  </si>
  <si>
    <t xml:space="preserve">TODAY се обновява при отваряне. Може да зададеш отчетна дата.</t>
  </si>
  <si>
    <t xml:space="preserve">Цел месечен приход</t>
  </si>
  <si>
    <t xml:space="preserve">Целта е признат приход без ДДС и клиентски рекламни бюджети.</t>
  </si>
  <si>
    <t xml:space="preserve">Цел MRR</t>
  </si>
  <si>
    <t xml:space="preserve">За цел 50 000 евро промени на 30 000 евро.</t>
  </si>
  <si>
    <t xml:space="preserve">Минимален оперативен марж</t>
  </si>
  <si>
    <t xml:space="preserve">След възнаграждение на основателя; преди корпоративен данък.</t>
  </si>
  <si>
    <t xml:space="preserve">Минимум доставки навреме</t>
  </si>
  <si>
    <t xml:space="preserve">От приключените за месеца проекти.</t>
  </si>
  <si>
    <t xml:space="preserve">Поредни месеци за устойчивост</t>
  </si>
  <si>
    <t xml:space="preserve">Критерий за потвърдена устойчивост.</t>
  </si>
  <si>
    <t xml:space="preserve">Общ параметър</t>
  </si>
  <si>
    <t xml:space="preserve">Стойност</t>
  </si>
  <si>
    <t xml:space="preserve">Статус и източник</t>
  </si>
  <si>
    <t xml:space="preserve">BUSINESS сайт</t>
  </si>
  <si>
    <t xml:space="preserve">CURRENT STATE · S03</t>
  </si>
  <si>
    <t xml:space="preserve">Care сайт на месец</t>
  </si>
  <si>
    <t xml:space="preserve">Care система на месец</t>
  </si>
  <si>
    <t xml:space="preserve">Growth Basic на месец</t>
  </si>
  <si>
    <t xml:space="preserve">PLANNED · цена за валидиране с 3 платени пилота</t>
  </si>
  <si>
    <t xml:space="preserve">Growth Plus на месец</t>
  </si>
  <si>
    <t xml:space="preserve">Часове BUSINESS сайт</t>
  </si>
  <si>
    <t xml:space="preserve">ASSUMPTION · с reusable components и ограничен scope</t>
  </si>
  <si>
    <t xml:space="preserve">Часове Care сайт</t>
  </si>
  <si>
    <t xml:space="preserve">ASSUMPTION · средно за месец</t>
  </si>
  <si>
    <t xml:space="preserve">Часове Care система</t>
  </si>
  <si>
    <t xml:space="preserve">Часове Growth Basic</t>
  </si>
  <si>
    <t xml:space="preserve">ASSUMPTION · месечно без onboarding</t>
  </si>
  <si>
    <t xml:space="preserve">Часове Growth Plus</t>
  </si>
  <si>
    <t xml:space="preserve">Onboarding часа за нов Growth</t>
  </si>
  <si>
    <t xml:space="preserve">ASSUMPTION · еднократно</t>
  </si>
  <si>
    <t xml:space="preserve">Delivery евро на час</t>
  </si>
  <si>
    <t xml:space="preserve">ASSUMPTION · пълен пряк разход</t>
  </si>
  <si>
    <t xml:space="preserve">Support евро на час</t>
  </si>
  <si>
    <t xml:space="preserve">Growth евро на час</t>
  </si>
  <si>
    <t xml:space="preserve">Инфраструктура Care сайт</t>
  </si>
  <si>
    <t xml:space="preserve">ASSUMPTION · евро на клиент месечно</t>
  </si>
  <si>
    <t xml:space="preserve">Инфраструктура Care система</t>
  </si>
  <si>
    <t xml:space="preserve">Инфраструктура нов сайт</t>
  </si>
  <si>
    <t xml:space="preserve">ASSUMPTION · евро на нов проект</t>
  </si>
  <si>
    <t xml:space="preserve">Инфраструктура нова система</t>
  </si>
  <si>
    <t xml:space="preserve">Tools Growth Basic</t>
  </si>
  <si>
    <t xml:space="preserve">Tools Growth Plus</t>
  </si>
  <si>
    <t xml:space="preserve">Proposal към win</t>
  </si>
  <si>
    <t xml:space="preserve">ASSUMPTION · измери по кохорта и продукт</t>
  </si>
  <si>
    <t xml:space="preserve">Held meeting към proposal</t>
  </si>
  <si>
    <t xml:space="preserve">ASSUMPTION</t>
  </si>
  <si>
    <t xml:space="preserve">SQL към held meeting</t>
  </si>
  <si>
    <t xml:space="preserve">Contact към SQL</t>
  </si>
  <si>
    <t xml:space="preserve">Verified prospect към contact</t>
  </si>
  <si>
    <t xml:space="preserve">Raw към verified prospect</t>
  </si>
  <si>
    <t xml:space="preserve">Опити за разговор на prospect</t>
  </si>
  <si>
    <t xml:space="preserve">ASSUMPTION · първоначални опити, без follow-up</t>
  </si>
  <si>
    <t xml:space="preserve">Research часа на prospect</t>
  </si>
  <si>
    <t xml:space="preserve">Часове на call attempt</t>
  </si>
  <si>
    <t xml:space="preserve">Часове на meeting</t>
  </si>
  <si>
    <t xml:space="preserve">Часове на proposal и follow-up</t>
  </si>
  <si>
    <t xml:space="preserve">Productive часа на FTE</t>
  </si>
  <si>
    <t xml:space="preserve">ASSUMPTION · FTE capacity, не брой наети хора</t>
  </si>
  <si>
    <t xml:space="preserve">Дял Growth към нов проект</t>
  </si>
  <si>
    <t xml:space="preserve">ASSUMPTION · останалите са нови отделни клиенти</t>
  </si>
  <si>
    <t xml:space="preserve">Growth churn на месец</t>
  </si>
  <si>
    <t xml:space="preserve">ASSUMPTION · за stock accumulation, не реален churn</t>
  </si>
  <si>
    <t xml:space="preserve">Care churn на месец</t>
  </si>
  <si>
    <t xml:space="preserve">ASSUMPTION · референтно допускане</t>
  </si>
  <si>
    <t xml:space="preserve">Седмици в месец</t>
  </si>
  <si>
    <t xml:space="preserve">ASSUMPTION · за среден седмичен sales target</t>
  </si>
  <si>
    <t xml:space="preserve">Всички моделни обеми и разходи по-долу са ASSUMPTION.</t>
  </si>
  <si>
    <t xml:space="preserve">Цените се третират като нетни. Данъчният статус се потвърждава с T01.</t>
  </si>
  <si>
    <t xml:space="preserve">Цел за месеца</t>
  </si>
  <si>
    <t xml:space="preserve">Нови сайтове активен</t>
  </si>
  <si>
    <t xml:space="preserve">1 Каталог</t>
  </si>
  <si>
    <t xml:space="preserve">Payroll е sales, operations, CS и founder pay. Delivery вече е в contractors.</t>
  </si>
  <si>
    <t xml:space="preserve">2 Growth</t>
  </si>
  <si>
    <t xml:space="preserve">Нови системи активен</t>
  </si>
  <si>
    <t xml:space="preserve">Care и Growth са натрупана база; не се придобиват за един месец.</t>
  </si>
  <si>
    <t xml:space="preserve">При overlap се брои един уникален клиент. Няма двойно броене на хостинг.</t>
  </si>
  <si>
    <t xml:space="preserve">Средна цена система активен</t>
  </si>
  <si>
    <t xml:space="preserve">Часове на система активен</t>
  </si>
  <si>
    <t xml:space="preserve">Активни Care сайтове активен</t>
  </si>
  <si>
    <t xml:space="preserve">Активни Care системи активен</t>
  </si>
  <si>
    <t xml:space="preserve">Активни Growth Basic активен</t>
  </si>
  <si>
    <t xml:space="preserve">Активни Growth Plus активен</t>
  </si>
  <si>
    <t xml:space="preserve">Нови Growth за месеца активен</t>
  </si>
  <si>
    <t xml:space="preserve">Клиенти с Care и Growth активен</t>
  </si>
  <si>
    <t xml:space="preserve">Payroll с founder pay активен</t>
  </si>
  <si>
    <t xml:space="preserve">Общ софтуер активен</t>
  </si>
  <si>
    <t xml:space="preserve">Реклама за BDS активен</t>
  </si>
  <si>
    <t xml:space="preserve">Администрация активен</t>
  </si>
  <si>
    <t xml:space="preserve">Обучение и подобрения активен</t>
  </si>
  <si>
    <t xml:space="preserve">Приоритет за контактуване</t>
  </si>
  <si>
    <t xml:space="preserve">По желание за export от CRM. Обещани follow-ups, inbound и оферти излизат пред cold prospects. Неизвестен критерий = 0.</t>
  </si>
  <si>
    <t xml:space="preserve">Lead ID</t>
  </si>
  <si>
    <t xml:space="preserve">Бизнес</t>
  </si>
  <si>
    <t xml:space="preserve">Сайт</t>
  </si>
  <si>
    <t xml:space="preserve">Контакт</t>
  </si>
  <si>
    <t xml:space="preserve">Източник</t>
  </si>
  <si>
    <t xml:space="preserve">Проверено на</t>
  </si>
  <si>
    <t xml:space="preserve">Тип действие</t>
  </si>
  <si>
    <t xml:space="preserve">Дата за действие</t>
  </si>
  <si>
    <t xml:space="preserve">Подходящ</t>
  </si>
  <si>
    <t xml:space="preserve">Do not contact</t>
  </si>
  <si>
    <t xml:space="preserve">Дубликат</t>
  </si>
  <si>
    <t xml:space="preserve">Проблем 20</t>
  </si>
  <si>
    <t xml:space="preserve">Стойност 20</t>
  </si>
  <si>
    <t xml:space="preserve">Готовност 15</t>
  </si>
  <si>
    <t xml:space="preserve">Решаващ 15</t>
  </si>
  <si>
    <t xml:space="preserve">Fit 15</t>
  </si>
  <si>
    <t xml:space="preserve">Интерес 10</t>
  </si>
  <si>
    <t xml:space="preserve">Данни 5</t>
  </si>
  <si>
    <t xml:space="preserve">Score 100</t>
  </si>
  <si>
    <t xml:space="preserve">Ред за контакт</t>
  </si>
  <si>
    <t xml:space="preserve">Защо или какво липсва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</si>
</sst>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  <numFmt numFmtId="170" formatCode="dd\-mmm\-yyyy"/>
    <numFmt numFmtId="171" formatCode="\€#,##0;&quot;(€&quot;#,##0\);\—"/>
    <numFmt numFmtId="172" formatCode="0.0%;\(0.0%\);\—"/>
    <numFmt numFmtId="173" formatCode="mmm\-yyyy"/>
    <numFmt numFmtId="174" formatCode="0"/>
    <numFmt numFmtId="175" formatCode="0.0"/>
    <numFmt numFmtId="176" formatCode="#,##0;\(#,##0\);\—"/>
  </numFmts>
  <fonts count="2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sz val="11"/>
      <color rgb="FF142B44"/>
      <name val="Arial"/>
      <family val="0"/>
      <charset val="1"/>
    </font>
    <font>
      <b val="true"/>
      <sz val="17"/>
      <color rgb="FF142B44"/>
      <name val="Arial"/>
      <family val="0"/>
      <charset val="1"/>
    </font>
    <font>
      <sz val="11"/>
      <color rgb="FF2563A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42B44"/>
      <name val="Arial"/>
      <family val="0"/>
      <charset val="1"/>
    </font>
    <font>
      <sz val="11"/>
      <color rgb="FF176B47"/>
      <name val="Arial"/>
      <family val="0"/>
      <charset val="1"/>
    </font>
    <font>
      <sz val="10"/>
      <color rgb="FF334155"/>
      <name val="Arial"/>
      <family val="0"/>
      <charset val="1"/>
    </font>
    <font>
      <b val="true"/>
      <sz val="10.5"/>
      <color rgb="FF000000"/>
      <name val="Arial"/>
      <family val="2"/>
    </font>
    <font>
      <sz val="8.25"/>
      <color rgb="FF000000"/>
      <name val="Arial"/>
      <family val="2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1"/>
      <color rgb="FF142B44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i val="true"/>
      <sz val="11"/>
      <color rgb="FF176B47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83953"/>
        <bgColor rgb="FF142B44"/>
      </patternFill>
    </fill>
    <fill>
      <patternFill patternType="solid">
        <fgColor rgb="FFFFF2CC"/>
        <bgColor rgb="FFFCE8E6"/>
      </patternFill>
    </fill>
    <fill>
      <patternFill patternType="solid">
        <fgColor rgb="FFE2EEF9"/>
        <bgColor rgb="FFE4F0E8"/>
      </patternFill>
    </fill>
    <fill>
      <patternFill patternType="solid">
        <fgColor rgb="FFF4F7FA"/>
        <bgColor rgb="FFEDF3F8"/>
      </patternFill>
    </fill>
    <fill>
      <patternFill patternType="solid">
        <fgColor rgb="FFEDF3F8"/>
        <bgColor rgb="FFF4F7F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5D2DD"/>
      </bottom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0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6" fillId="0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6" fillId="0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6" fillId="0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0" borderId="0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4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6" fillId="0" borderId="0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6" fillId="0" borderId="0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0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5" borderId="0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6" fillId="5" borderId="0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6" fillId="5" borderId="0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0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" fillId="3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8" fillId="3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2" borderId="0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11" fillId="0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" fillId="0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6" fillId="0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10" fillId="6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5" fillId="0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6" fillId="6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15" fillId="0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1" fillId="0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6" fillId="6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8" fillId="0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9" fillId="0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3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8" fillId="3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1" xfId="25"/>
    <cellStyle name="Percent" xfId="26"/>
  </cellStyles>
  <dxfs count="20">
    <dxf>
      <font>
        <b val="1"/>
        <color rgb="FFAC2530"/>
      </font>
    </dxf>
    <dxf>
      <fill>
        <patternFill patternType="solid">
          <fgColor rgb="FF183953"/>
          <bgColor rgb="FF000000"/>
        </patternFill>
      </fill>
    </dxf>
    <dxf>
      <fill>
        <patternFill patternType="solid">
          <fgColor rgb="FFF4F7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42B4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2563A6"/>
          <bgColor rgb="FF000000"/>
        </patternFill>
      </fill>
    </dxf>
    <dxf>
      <fill>
        <patternFill patternType="solid">
          <fgColor rgb="FFE2EEF9"/>
          <bgColor rgb="FF000000"/>
        </patternFill>
      </fill>
    </dxf>
    <dxf>
      <font>
        <color rgb="FF176B47"/>
      </font>
      <fill>
        <patternFill>
          <bgColor rgb="FFE4F0E8"/>
        </patternFill>
      </fill>
    </dxf>
    <dxf>
      <font>
        <b val="1"/>
        <color rgb="FFAC2530"/>
      </font>
      <fill>
        <patternFill>
          <bgColor rgb="FFFCE8E6"/>
        </patternFill>
      </fill>
    </dxf>
    <dxf>
      <font>
        <color rgb="FF176B47"/>
      </font>
      <fill>
        <patternFill>
          <bgColor rgb="FFE4F0E8"/>
        </patternFill>
      </fill>
    </dxf>
    <dxf>
      <font>
        <b val="1"/>
        <color rgb="FF176B47"/>
      </font>
      <fill>
        <patternFill>
          <bgColor rgb="FFE4F0E8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13" type="wholeTable"/>
      <tableStyleElement dxfId="14" type="firstColumnStripe"/>
      <tableStyleElement dxfId="15" type="firstRowStripe"/>
      <tableStyleElement dxfId="16" type="lastColumn"/>
      <tableStyleElement dxfId="17" type="firstColumn"/>
      <tableStyleElement dxfId="18" type="headerRow"/>
      <tableStyleElement dxfId="19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BFA9"/>
      <rgbColor rgb="FF8B8B8B"/>
      <rgbColor rgb="FF9CAFC0"/>
      <rgbColor rgb="FF993366"/>
      <rgbColor rgb="FFFFF2CC"/>
      <rgbColor rgb="FFE2EEF9"/>
      <rgbColor rgb="FF660066"/>
      <rgbColor rgb="FFFF8080"/>
      <rgbColor rgb="FF2563A6"/>
      <rgbColor rgb="FFC5D2DD"/>
      <rgbColor rgb="FF000080"/>
      <rgbColor rgb="FFFF00FF"/>
      <rgbColor rgb="FFFFFF00"/>
      <rgbColor rgb="FF00FFFF"/>
      <rgbColor rgb="FF800080"/>
      <rgbColor rgb="FF800000"/>
      <rgbColor rgb="FF176B47"/>
      <rgbColor rgb="FF0000FF"/>
      <rgbColor rgb="FF00CCFF"/>
      <rgbColor rgb="FFE4F0E8"/>
      <rgbColor rgb="FFEDF3F8"/>
      <rgbColor rgb="FFFCE8E6"/>
      <rgbColor rgb="FFCCCCCC"/>
      <rgbColor rgb="FFF4F7FA"/>
      <rgbColor rgb="FFCC99FF"/>
      <rgbColor rgb="FFD9D9D9"/>
      <rgbColor rgb="FF3366FF"/>
      <rgbColor rgb="FF46B1E1"/>
      <rgbColor rgb="FF99CC00"/>
      <rgbColor rgb="FFFFCC00"/>
      <rgbColor rgb="FFFF9900"/>
      <rgbColor rgb="FFFF6600"/>
      <rgbColor rgb="FF666699"/>
      <rgbColor rgb="FF6E93B0"/>
      <rgbColor rgb="FF183953"/>
      <rgbColor rgb="FF339966"/>
      <rgbColor rgb="FF142B44"/>
      <rgbColor rgb="FF333300"/>
      <rgbColor rgb="FFAC253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5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Задачи по период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"Готови"</c:f>
              <c:strCache>
                <c:ptCount val="1"/>
                <c:pt idx="0">
                  <c:v>Готови</c:v>
                </c:pt>
              </c:strCache>
            </c:strRef>
          </c:tx>
          <c:spPr>
            <a:solidFill>
              <a:srgbClr val="176B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Табло!$F$11:$F$14</c:f>
              <c:strCache>
                <c:ptCount val="4"/>
                <c:pt idx="0">
                  <c:v>14 дни</c:v>
                </c:pt>
                <c:pt idx="1">
                  <c:v>30 дни</c:v>
                </c:pt>
                <c:pt idx="2">
                  <c:v>90 дни</c:v>
                </c:pt>
                <c:pt idx="3">
                  <c:v>След условия</c:v>
                </c:pt>
              </c:strCache>
            </c:strRef>
          </c:cat>
          <c:val>
            <c:numRef>
              <c:f>Табло!$G$11:$G$14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"Остават"</c:f>
              <c:strCache>
                <c:ptCount val="1"/>
                <c:pt idx="0">
                  <c:v>Остават</c:v>
                </c:pt>
              </c:strCache>
            </c:strRef>
          </c:tx>
          <c:spPr>
            <a:solidFill>
              <a:srgbClr val="9CAFC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Табло!$F$11:$F$14</c:f>
              <c:strCache>
                <c:ptCount val="4"/>
                <c:pt idx="0">
                  <c:v>14 дни</c:v>
                </c:pt>
                <c:pt idx="1">
                  <c:v>30 дни</c:v>
                </c:pt>
                <c:pt idx="2">
                  <c:v>90 дни</c:v>
                </c:pt>
                <c:pt idx="3">
                  <c:v>След условия</c:v>
                </c:pt>
              </c:strCache>
            </c:strRef>
          </c:cat>
          <c:val>
            <c:numRef>
              <c:f>Табло!$H$11:$H$14</c:f>
              <c:numCache>
                <c:formatCode>General</c:formatCode>
                <c:ptCount val="4"/>
                <c:pt idx="0">
                  <c:v>17</c:v>
                </c:pt>
                <c:pt idx="1">
                  <c:v>6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</c:ser>
        <c:gapWidth val="150"/>
        <c:overlap val="0"/>
        <c:axId val="49974520"/>
        <c:axId val="71860742"/>
      </c:barChart>
      <c:catAx>
        <c:axId val="4997452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1860742"/>
        <c:crosses val="autoZero"/>
        <c:auto val="1"/>
        <c:lblAlgn val="ctr"/>
        <c:lblOffset val="100"/>
        <c:noMultiLvlLbl val="0"/>
      </c:catAx>
      <c:valAx>
        <c:axId val="7186074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9974520"/>
        <c:crosses val="autoZero"/>
        <c:crossBetween val="between"/>
      </c:valAx>
      <c:spPr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825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15</xdr:row>
      <xdr:rowOff>0</xdr:rowOff>
    </xdr:from>
    <xdr:to>
      <xdr:col>11</xdr:col>
      <xdr:colOff>985680</xdr:colOff>
      <xdr:row>27</xdr:row>
      <xdr:rowOff>290880</xdr:rowOff>
    </xdr:to>
    <xdr:graphicFrame>
      <xdr:nvGraphicFramePr>
        <xdr:cNvPr id="1" name="Chart"/>
        <xdr:cNvGraphicFramePr/>
      </xdr:nvGraphicFramePr>
      <xdr:xfrm>
        <a:off x="6414120" y="4635360"/>
        <a:ext cx="6906600" cy="379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rospectReview" displayName="ProspectReview" ref="A6:W56" headerRowCount="1" totalsRowCount="0" totalsRowShown="0">
  <tableColumns count="23">
    <tableColumn id="1" name="Lead ID"/>
    <tableColumn id="2" name="Бизнес"/>
    <tableColumn id="3" name="Сайт"/>
    <tableColumn id="4" name="Контакт"/>
    <tableColumn id="5" name="Източник"/>
    <tableColumn id="6" name="Проверено на"/>
    <tableColumn id="7" name="Тип действие"/>
    <tableColumn id="8" name="Дата за действие"/>
    <tableColumn id="9" name="Подходящ"/>
    <tableColumn id="10" name="Do not contact"/>
    <tableColumn id="11" name="Дубликат"/>
    <tableColumn id="12" name="Проблем 20"/>
    <tableColumn id="13" name="Стойност 20"/>
    <tableColumn id="14" name="Готовност 15"/>
    <tableColumn id="15" name="Решаващ 15"/>
    <tableColumn id="16" name="Fit 15"/>
    <tableColumn id="17" name="Интерес 10"/>
    <tableColumn id="18" name="Данни 5"/>
    <tableColumn id="19" name="Score 100"/>
    <tableColumn id="20" name="Приоритет"/>
    <tableColumn id="21" name="Ред за контакт"/>
    <tableColumn id="22" name="Защо или какво липсва"/>
    <tableColumn id="23" name="Wor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skRegister" displayName="TaskRegister" ref="A6:U38" headerRowCount="1" totalsRowCount="0" totalsRowShown="0">
  <tableColumns count="21">
    <tableColumn id="1" name="ID"/>
    <tableColumn id="2" name="Период"/>
    <tableColumn id="3" name="Задача"/>
    <tableColumn id="4" name="Отговорник"/>
    <tableColumn id="5" name="Статус"/>
    <tableColumn id="6" name="Срок"/>
    <tableColumn id="7" name="Дата готово"/>
    <tableColumn id="8" name="Бележка или доказателство"/>
    <tableColumn id="9" name="Отметнато"/>
    <tableColumn id="10" name="Какво остава"/>
    <tableColumn id="11" name="Приоритет"/>
    <tableColumn id="12" name="Зависи от 1"/>
    <tableColumn id="13" name="Зависи от 2"/>
    <tableColumn id="14" name="Impact"/>
    <tableColumn id="15" name="Urgency"/>
    <tableColumn id="16" name="Effort"/>
    <tableColumn id="17" name="Dependency"/>
    <tableColumn id="18" name="Готови условия"/>
    <tableColumn id="19" name="Ред за действие"/>
    <tableColumn id="20" name="Word"/>
    <tableColumn id="21" name="Критерий за готово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eklyActuals" displayName="WeeklyActuals" ref="A6:N162" headerRowCount="1" totalsRowCount="0" totalsRowShown="0">
  <tableColumns count="14">
    <tableColumn id="1" name="Седмица от"/>
    <tableColumn id="2" name="Verified prospects"/>
    <tableColumn id="3" name="Опити за разговор"/>
    <tableColumn id="4" name="Контакти"/>
    <tableColumn id="5" name="SQL"/>
    <tableColumn id="6" name="Проведени срещи"/>
    <tableColumn id="7" name="Изпратени оферти"/>
    <tableColumn id="8" name="Приети сделки"/>
    <tableColumn id="9" name="Получени аванси €"/>
    <tableColumn id="10" name="Delivery часа"/>
    <tableColumn id="11" name="Founder часа"/>
    <tableColumn id="12" name="Просрочени действия"/>
    <tableColumn id="13" name="Бележка"/>
    <tableColumn id="14" name="Отчетът е пъле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3953"/>
    <pageSetUpPr fitToPage="false"/>
  </sheetPr>
  <dimension ref="A1:L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7"/>
    <col collapsed="false" customWidth="true" hidden="false" outlineLevel="0" max="4" min="3" style="0" width="16"/>
    <col collapsed="false" customWidth="true" hidden="false" outlineLevel="0" max="5" min="5" style="0" width="4"/>
    <col collapsed="false" customWidth="true" hidden="false" outlineLevel="0" max="12" min="6" style="0" width="14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" hidden="false" customHeight="true" outlineLevel="0" collapsed="false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23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3" hidden="false" customHeight="true" outlineLevel="0" collapsed="false">
      <c r="A4" s="1" t="s">
        <v>1</v>
      </c>
      <c r="B4" s="4" t="n">
        <f aca="false">Допускания!D7</f>
        <v>46282</v>
      </c>
      <c r="C4" s="1"/>
      <c r="D4" s="1"/>
      <c r="E4" s="1"/>
      <c r="F4" s="5" t="str">
        <f aca="false">HYPERLINK("BDS_Plan.docx","Отвори BDS Plan")</f>
        <v>Отвори BDS Plan</v>
      </c>
      <c r="G4" s="1"/>
      <c r="H4" s="1"/>
      <c r="I4" s="1"/>
      <c r="J4" s="1"/>
      <c r="K4" s="1"/>
      <c r="L4" s="1"/>
    </row>
    <row r="5" customFormat="false" ht="23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23" hidden="false" customHeight="true" outlineLevel="0" collapsed="false">
      <c r="A6" s="1" t="s">
        <v>2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23" hidden="false" customHeight="true" outlineLevel="0" collapsed="false">
      <c r="A7" s="1" t="s">
        <v>4</v>
      </c>
      <c r="B7" s="1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23" hidden="false" customHeight="true" outlineLevel="0" collapsed="false">
      <c r="A8" s="1" t="s">
        <v>6</v>
      </c>
      <c r="B8" s="1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customFormat="false" ht="23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customFormat="false" ht="37" hidden="false" customHeight="true" outlineLevel="0" collapsed="false">
      <c r="A10" s="6" t="s">
        <v>8</v>
      </c>
      <c r="B10" s="6" t="s">
        <v>9</v>
      </c>
      <c r="C10" s="6" t="s">
        <v>10</v>
      </c>
      <c r="D10" s="6" t="s">
        <v>11</v>
      </c>
      <c r="E10" s="1"/>
      <c r="F10" s="6" t="s">
        <v>8</v>
      </c>
      <c r="G10" s="6" t="s">
        <v>10</v>
      </c>
      <c r="H10" s="6" t="s">
        <v>12</v>
      </c>
      <c r="I10" s="1"/>
      <c r="J10" s="1"/>
      <c r="K10" s="1"/>
      <c r="L10" s="1"/>
    </row>
    <row r="11" customFormat="false" ht="23" hidden="false" customHeight="true" outlineLevel="0" collapsed="false">
      <c r="A11" s="1" t="s">
        <v>13</v>
      </c>
      <c r="B11" s="7" t="n">
        <f aca="false">C11/D11</f>
        <v>0</v>
      </c>
      <c r="C11" s="1" t="n">
        <f aca="false">SUMIFS(Задачи!$I$7:$I$38,Задачи!$B$7:$B$38,A11)</f>
        <v>0</v>
      </c>
      <c r="D11" s="1" t="n">
        <f aca="false">COUNTIFS(Задачи!$B$7:$B$38,A11)</f>
        <v>17</v>
      </c>
      <c r="E11" s="1"/>
      <c r="F11" s="1" t="str">
        <f aca="false">A11</f>
        <v>14 дни</v>
      </c>
      <c r="G11" s="1" t="n">
        <f aca="false">C11</f>
        <v>0</v>
      </c>
      <c r="H11" s="1" t="n">
        <f aca="false">D11-C11</f>
        <v>17</v>
      </c>
      <c r="I11" s="1"/>
      <c r="J11" s="1"/>
      <c r="K11" s="1"/>
      <c r="L11" s="1"/>
    </row>
    <row r="12" customFormat="false" ht="23" hidden="false" customHeight="true" outlineLevel="0" collapsed="false">
      <c r="A12" s="1" t="s">
        <v>14</v>
      </c>
      <c r="B12" s="7" t="n">
        <f aca="false">C12/D12</f>
        <v>0</v>
      </c>
      <c r="C12" s="1" t="n">
        <f aca="false">SUMIFS(Задачи!$I$7:$I$38,Задачи!$B$7:$B$38,A12)</f>
        <v>0</v>
      </c>
      <c r="D12" s="1" t="n">
        <f aca="false">COUNTIFS(Задачи!$B$7:$B$38,A12)</f>
        <v>6</v>
      </c>
      <c r="E12" s="1"/>
      <c r="F12" s="1" t="str">
        <f aca="false">A12</f>
        <v>30 дни</v>
      </c>
      <c r="G12" s="1" t="n">
        <f aca="false">C12</f>
        <v>0</v>
      </c>
      <c r="H12" s="1" t="n">
        <f aca="false">D12-C12</f>
        <v>6</v>
      </c>
      <c r="I12" s="1"/>
      <c r="J12" s="1"/>
      <c r="K12" s="1"/>
      <c r="L12" s="1"/>
    </row>
    <row r="13" customFormat="false" ht="23" hidden="false" customHeight="true" outlineLevel="0" collapsed="false">
      <c r="A13" s="1" t="s">
        <v>15</v>
      </c>
      <c r="B13" s="7" t="n">
        <f aca="false">C13/D13</f>
        <v>0</v>
      </c>
      <c r="C13" s="1" t="n">
        <f aca="false">SUMIFS(Задачи!$I$7:$I$38,Задачи!$B$7:$B$38,A13)</f>
        <v>0</v>
      </c>
      <c r="D13" s="1" t="n">
        <f aca="false">COUNTIFS(Задачи!$B$7:$B$38,A13)</f>
        <v>6</v>
      </c>
      <c r="E13" s="1"/>
      <c r="F13" s="1" t="str">
        <f aca="false">A13</f>
        <v>90 дни</v>
      </c>
      <c r="G13" s="1" t="n">
        <f aca="false">C13</f>
        <v>0</v>
      </c>
      <c r="H13" s="1" t="n">
        <f aca="false">D13-C13</f>
        <v>6</v>
      </c>
      <c r="I13" s="1"/>
      <c r="J13" s="1"/>
      <c r="K13" s="1"/>
      <c r="L13" s="1"/>
    </row>
    <row r="14" customFormat="false" ht="23" hidden="false" customHeight="true" outlineLevel="0" collapsed="false">
      <c r="A14" s="1" t="s">
        <v>16</v>
      </c>
      <c r="B14" s="7" t="n">
        <f aca="false">C14/D14</f>
        <v>0</v>
      </c>
      <c r="C14" s="1" t="n">
        <f aca="false">SUMIFS(Задачи!$I$7:$I$38,Задачи!$B$7:$B$38,A14)</f>
        <v>0</v>
      </c>
      <c r="D14" s="1" t="n">
        <f aca="false">COUNTIFS(Задачи!$B$7:$B$38,A14)</f>
        <v>3</v>
      </c>
      <c r="E14" s="1"/>
      <c r="F14" s="1" t="str">
        <f aca="false">A14</f>
        <v>След условия</v>
      </c>
      <c r="G14" s="1" t="n">
        <f aca="false">C14</f>
        <v>0</v>
      </c>
      <c r="H14" s="1" t="n">
        <f aca="false">D14-C14</f>
        <v>3</v>
      </c>
      <c r="I14" s="1"/>
      <c r="J14" s="1"/>
      <c r="K14" s="1"/>
      <c r="L14" s="1"/>
    </row>
    <row r="15" customFormat="false" ht="23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customFormat="false" ht="23" hidden="false" customHeight="true" outlineLevel="0" collapsed="false">
      <c r="A16" s="1" t="s">
        <v>17</v>
      </c>
      <c r="B16" s="7" t="n">
        <f aca="false">SUM(Задачи!I7:I38)/32</f>
        <v>0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23" hidden="false" customHeight="true" outlineLevel="0" collapsed="false">
      <c r="A17" s="1" t="s">
        <v>18</v>
      </c>
      <c r="B17" s="1" t="n">
        <f aca="false">COUNTIFS(Задачи!$I$7:$I$38,0,Задачи!$F$7:$F$38,"&lt;"&amp;Допускания!$D$7,Задачи!$E$7:$E$38,"&lt;&gt;Отложено")</f>
        <v>0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customFormat="false" ht="23" hidden="false" customHeight="true" outlineLevel="0" collapsed="false">
      <c r="A18" s="1" t="s">
        <v>19</v>
      </c>
      <c r="B18" s="1" t="n">
        <f aca="false">COUNTIFS(Задачи!$E$7:$E$38,"Блокирано")</f>
        <v>0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23" hidden="false" customHeight="true" outlineLevel="0" collapsed="false">
      <c r="A19" s="1" t="s">
        <v>20</v>
      </c>
      <c r="B19" s="1" t="n">
        <f aca="false">COUNTIFS(Задачи!$I$7:$I$38,1,Задачи!$R$7:$R$38,0)</f>
        <v>0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customFormat="false" ht="23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customFormat="false" ht="23" hidden="false" customHeight="true" outlineLevel="0" collapsed="false">
      <c r="A21" s="1" t="s">
        <v>21</v>
      </c>
      <c r="B21" s="8" t="str">
        <f aca="false">IF(B11&lt;1,"Основи и първи платени сделки",IF(B12&lt;1,"Повторяем delivery и recurring пилоти",IF(B13&lt;1,"Делегиране и доказване на модела","Провери финансовата устойчивост")))</f>
        <v>Основи и първи платени сделки</v>
      </c>
      <c r="C21" s="8"/>
      <c r="D21" s="8"/>
      <c r="E21" s="1"/>
      <c r="F21" s="1"/>
      <c r="G21" s="1"/>
      <c r="H21" s="1"/>
      <c r="I21" s="1"/>
      <c r="J21" s="1"/>
      <c r="K21" s="1"/>
      <c r="L21" s="1"/>
    </row>
    <row r="22" customFormat="false" ht="23" hidden="false" customHeight="true" outlineLevel="0" collapsed="false">
      <c r="A22" s="1"/>
      <c r="B22" s="8"/>
      <c r="C22" s="8"/>
      <c r="D22" s="8"/>
      <c r="E22" s="1"/>
      <c r="F22" s="1"/>
      <c r="G22" s="1"/>
      <c r="H22" s="1"/>
      <c r="I22" s="1"/>
      <c r="J22" s="1"/>
      <c r="K22" s="1"/>
      <c r="L22" s="1"/>
    </row>
    <row r="23" customFormat="false" ht="23" hidden="false" customHeight="true" outlineLevel="0" collapsed="false">
      <c r="A23" s="1"/>
      <c r="B23" s="8"/>
      <c r="C23" s="8"/>
      <c r="D23" s="8"/>
      <c r="E23" s="1"/>
      <c r="F23" s="1"/>
      <c r="G23" s="1"/>
      <c r="H23" s="1"/>
      <c r="I23" s="1"/>
      <c r="J23" s="1"/>
      <c r="K23" s="1"/>
      <c r="L23" s="1"/>
    </row>
    <row r="24" customFormat="false" ht="23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23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23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customFormat="false" ht="23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customFormat="false" ht="23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37" hidden="false" customHeight="true" outlineLevel="0" collapsed="false">
      <c r="A29" s="6" t="s">
        <v>22</v>
      </c>
      <c r="B29" s="6" t="s">
        <v>23</v>
      </c>
      <c r="C29" s="6" t="s">
        <v>24</v>
      </c>
      <c r="D29" s="6" t="s">
        <v>25</v>
      </c>
      <c r="E29" s="1"/>
      <c r="F29" s="1"/>
      <c r="G29" s="1"/>
      <c r="H29" s="1"/>
      <c r="I29" s="1"/>
      <c r="J29" s="1"/>
      <c r="K29" s="1"/>
      <c r="L29" s="1"/>
    </row>
    <row r="30" customFormat="false" ht="42" hidden="false" customHeight="true" outlineLevel="0" collapsed="false">
      <c r="A30" s="1" t="n">
        <v>1</v>
      </c>
      <c r="B30" s="9" t="str">
        <f aca="false">IF(COUNTIFS(Задачи!$S$7:$S$38,A30)=0,"Няма готова за старт задача",INDEX(Задачи!$C$7:$C$38,MATCH(A30,Задачи!$S$7:$S$38,0)))</f>
        <v>Реши видимостта на repository</v>
      </c>
      <c r="C30" s="1" t="str">
        <f aca="false">IF(COUNTIFS(Задачи!$S$7:$S$38,A30)=0,"",INDEX(Задачи!$A$7:$A$38,MATCH(A30,Задачи!$S$7:$S$38,0)))</f>
        <v>T02</v>
      </c>
      <c r="D30" s="4" t="n">
        <f aca="false">IF(C30="","",INDEX(Задачи!$F$7:$F$38,MATCH(A30,Задачи!$S$7:$S$38,0)))</f>
        <v>46286</v>
      </c>
      <c r="E30" s="1"/>
      <c r="F30" s="1" t="s">
        <v>26</v>
      </c>
      <c r="G30" s="1"/>
      <c r="H30" s="5" t="str">
        <f aca="false">HYPERLINK("#'Задачи'!A6","Задачи")</f>
        <v>Задачи</v>
      </c>
      <c r="I30" s="1"/>
      <c r="J30" s="1"/>
      <c r="K30" s="1"/>
      <c r="L30" s="1"/>
    </row>
    <row r="31" customFormat="false" ht="42" hidden="false" customHeight="true" outlineLevel="0" collapsed="false">
      <c r="A31" s="1" t="n">
        <v>2</v>
      </c>
      <c r="B31" s="9" t="str">
        <f aca="false">IF(COUNTIFS(Задачи!$S$7:$S$38,A31)=0,"Няма готова за старт задача",INDEX(Задачи!$C$7:$C$38,MATCH(A31,Задачи!$S$7:$S$38,0)))</f>
        <v>Започни отчитане на часове и разход</v>
      </c>
      <c r="C31" s="1" t="str">
        <f aca="false">IF(COUNTIFS(Задачи!$S$7:$S$38,A31)=0,"",INDEX(Задачи!$A$7:$A$38,MATCH(A31,Задачи!$S$7:$S$38,0)))</f>
        <v>T04</v>
      </c>
      <c r="D31" s="4" t="n">
        <f aca="false">IF(C31="","",INDEX(Задачи!$F$7:$F$38,MATCH(A31,Задачи!$S$7:$S$38,0)))</f>
        <v>46287</v>
      </c>
      <c r="E31" s="1"/>
      <c r="F31" s="1" t="s">
        <v>27</v>
      </c>
      <c r="G31" s="1"/>
      <c r="H31" s="5" t="str">
        <f aca="false">HYPERLINK("#'Допускания'!C5","Допускания")</f>
        <v>Допускания</v>
      </c>
      <c r="I31" s="1"/>
      <c r="J31" s="1"/>
      <c r="K31" s="1"/>
      <c r="L31" s="1"/>
    </row>
    <row r="32" customFormat="false" ht="42" hidden="false" customHeight="true" outlineLevel="0" collapsed="false">
      <c r="A32" s="1" t="n">
        <v>3</v>
      </c>
      <c r="B32" s="9" t="str">
        <f aca="false">IF(COUNTIFS(Задачи!$S$7:$S$38,A32)=0,"Няма готова за старт задача",INDEX(Задачи!$C$7:$C$38,MATCH(A32,Задачи!$S$7:$S$38,0)))</f>
        <v>Въведи реалното начално състояние</v>
      </c>
      <c r="C32" s="1" t="str">
        <f aca="false">IF(COUNTIFS(Задачи!$S$7:$S$38,A32)=0,"",INDEX(Задачи!$A$7:$A$38,MATCH(A32,Задачи!$S$7:$S$38,0)))</f>
        <v>T01</v>
      </c>
      <c r="D32" s="4" t="n">
        <f aca="false">IF(C32="","",INDEX(Задачи!$F$7:$F$38,MATCH(A32,Задачи!$S$7:$S$38,0)))</f>
        <v>46286</v>
      </c>
      <c r="E32" s="1"/>
      <c r="F32" s="1" t="s">
        <v>28</v>
      </c>
      <c r="G32" s="1"/>
      <c r="H32" s="5" t="str">
        <f aca="false">HYPERLINK("#'Лийдове'!A6","Лийдове")</f>
        <v>Лийдове</v>
      </c>
      <c r="I32" s="1"/>
      <c r="J32" s="1"/>
      <c r="K32" s="1"/>
      <c r="L32" s="1"/>
    </row>
    <row r="33" customFormat="false" ht="23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23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37" hidden="false" customHeight="true" outlineLevel="0" collapsed="false">
      <c r="A35" s="6" t="s">
        <v>29</v>
      </c>
      <c r="B35" s="6" t="s">
        <v>30</v>
      </c>
      <c r="C35" s="6" t="s">
        <v>31</v>
      </c>
      <c r="D35" s="6" t="s">
        <v>32</v>
      </c>
      <c r="E35" s="1"/>
      <c r="F35" s="1" t="s">
        <v>33</v>
      </c>
      <c r="G35" s="1"/>
      <c r="H35" s="1"/>
      <c r="I35" s="1"/>
      <c r="J35" s="1" t="str">
        <f aca="false">IF(COUNTIFS(Месеци!$Q$7:$Q$42,"Да",Месеци!$A$7:$A$42,"&lt;"&amp;DATE(YEAR(Допускания!$D$7),MONTH(Допускания!$D$7),1))=0,"",SUMPRODUCT((Месеци!$Q$7:$Q$42="Да")*(Месеци!$A$7:$A$42&lt;DATE(YEAR(Допускания!$D$7),MONTH(Допускания!$D$7),1))*(Месеци!$A$7:$A$42=_xlfn.MAXIFS(Месеци!$A$7:$A$42,Месеци!$Q$7:$Q$42,"Да",Месеци!$A$7:$A$42,"&lt;"&amp;DATE(YEAR(Допускания!$D$7),MONTH(Допускания!$D$7),1)))*(ROW(Месеци!$A$7:$A$42)-6)))</f>
        <v/>
      </c>
      <c r="K35" s="1"/>
      <c r="L35" s="1"/>
    </row>
    <row r="36" customFormat="false" ht="23" hidden="false" customHeight="true" outlineLevel="0" collapsed="false">
      <c r="A36" s="1" t="s">
        <v>34</v>
      </c>
      <c r="B36" s="10" t="str">
        <f aca="false">IF($J$35="","Няма данни",IF(NOT(ISNUMBER(INDEX(Месеци!$D$7:$D$42,$J$35))),"Няма данни",INDEX(Месеци!$D$7:$D$42,$J$35)))</f>
        <v>Няма данни</v>
      </c>
      <c r="C36" s="10" t="n">
        <f aca="false">Допускания!D8</f>
        <v>30000</v>
      </c>
      <c r="D36" s="11" t="str">
        <f aca="false">IF(ISNUMBER(B36),B36/C36,"")</f>
        <v/>
      </c>
      <c r="E36" s="1"/>
      <c r="F36" s="1"/>
      <c r="G36" s="1"/>
      <c r="H36" s="1"/>
      <c r="I36" s="1"/>
      <c r="J36" s="12" t="str">
        <f aca="false">IF(J35="","Няма данни",INDEX(Месеци!$A$7:$A$42,J35))</f>
        <v>Няма данни</v>
      </c>
      <c r="K36" s="1"/>
      <c r="L36" s="1"/>
    </row>
    <row r="37" customFormat="false" ht="23" hidden="false" customHeight="true" outlineLevel="0" collapsed="false">
      <c r="A37" s="1" t="s">
        <v>35</v>
      </c>
      <c r="B37" s="10" t="str">
        <f aca="false">IF($J$35="","Няма данни",IF(NOT(ISNUMBER(INDEX(Месеци!$E$7:$E$42,$J$35))),"Няма данни",INDEX(Месеци!$E$7:$E$42,$J$35)))</f>
        <v>Няма данни</v>
      </c>
      <c r="C37" s="10" t="n">
        <f aca="false">Допускания!D9</f>
        <v>15000</v>
      </c>
      <c r="D37" s="11" t="str">
        <f aca="false">IF(ISNUMBER(B37),B37/C37,"")</f>
        <v/>
      </c>
      <c r="E37" s="1"/>
      <c r="F37" s="1"/>
      <c r="G37" s="1"/>
      <c r="H37" s="1"/>
      <c r="I37" s="1"/>
      <c r="J37" s="1"/>
      <c r="K37" s="1"/>
      <c r="L37" s="1"/>
    </row>
    <row r="38" customFormat="false" ht="23" hidden="false" customHeight="true" outlineLevel="0" collapsed="false">
      <c r="A38" s="1" t="s">
        <v>36</v>
      </c>
      <c r="B38" s="11" t="str">
        <f aca="false">IF($J$35="","Няма данни",IF(NOT(ISNUMBER(INDEX(Месеци!$I$7:$I$42,$J$35))),"Няма данни",INDEX(Месеци!$I$7:$I$42,$J$35)))</f>
        <v>Няма данни</v>
      </c>
      <c r="C38" s="11" t="n">
        <f aca="false">Допускания!D10</f>
        <v>0.25</v>
      </c>
      <c r="D38" s="11" t="str">
        <f aca="false">IF(ISNUMBER(B38),B38/C38,"")</f>
        <v/>
      </c>
      <c r="E38" s="1"/>
      <c r="F38" s="1" t="s">
        <v>37</v>
      </c>
      <c r="G38" s="1"/>
      <c r="H38" s="1"/>
      <c r="I38" s="1"/>
      <c r="J38" s="1" t="str">
        <f aca="false">IF(ISNUMBER(B39),IF(B39&gt;=Допускания!D12,"Потвърдено","Още не"),B39)</f>
        <v>Няма данни</v>
      </c>
      <c r="K38" s="1"/>
      <c r="L38" s="1"/>
    </row>
    <row r="39" customFormat="false" ht="23" hidden="false" customHeight="true" outlineLevel="0" collapsed="false">
      <c r="A39" s="1" t="s">
        <v>38</v>
      </c>
      <c r="B39" s="1" t="str">
        <f aca="false">IF($J$35="","Няма данни",IF(NOT(ISNUMBER(INDEX(Месеци!$R$7:$R$42,$J$35))),"Непълни данни",INDEX(Месеци!$S$7:$S$42,$J$35)))</f>
        <v>Няма данни</v>
      </c>
      <c r="C39" s="1" t="n">
        <f aca="false">Допускания!D12</f>
        <v>3</v>
      </c>
      <c r="D39" s="11" t="str">
        <f aca="false">IF(ISNUMBER(B39),B39/C39,"")</f>
        <v/>
      </c>
      <c r="E39" s="1"/>
      <c r="F39" s="1" t="s">
        <v>39</v>
      </c>
      <c r="G39" s="1"/>
      <c r="H39" s="1"/>
      <c r="I39" s="1"/>
      <c r="J39" s="1" t="str">
        <f aca="false">IF(ISNUMBER(B40),IF(B40&gt;=Допускания!D12,"Потвърдено","Още не"),B40)</f>
        <v>Няма данни</v>
      </c>
      <c r="K39" s="1"/>
      <c r="L39" s="1"/>
    </row>
    <row r="40" customFormat="false" ht="23" hidden="false" customHeight="true" outlineLevel="0" collapsed="false">
      <c r="A40" s="1" t="s">
        <v>40</v>
      </c>
      <c r="B40" s="1" t="str">
        <f aca="false">IF($J$35="","Няма данни",IF(NOT(ISNUMBER(INDEX(Месеци!$T$7:$T$42,$J$35))),"Непълни данни",INDEX(Месеци!$U$7:$U$42,$J$35)))</f>
        <v>Няма данни</v>
      </c>
      <c r="C40" s="1" t="n">
        <f aca="false">Допускания!D12</f>
        <v>3</v>
      </c>
      <c r="D40" s="11" t="str">
        <f aca="false">IF(ISNUMBER(B40),B40/C40,"")</f>
        <v/>
      </c>
      <c r="E40" s="1"/>
      <c r="F40" s="1"/>
      <c r="G40" s="1"/>
      <c r="H40" s="1"/>
      <c r="I40" s="1"/>
      <c r="J40" s="1"/>
      <c r="K40" s="1"/>
      <c r="L40" s="1"/>
    </row>
    <row r="41" customFormat="false" ht="23" hidden="false" customHeight="true" outlineLevel="0" collapsed="false">
      <c r="A41" s="1"/>
      <c r="B41" s="1"/>
      <c r="C41" s="1"/>
      <c r="D41" s="1"/>
      <c r="E41" s="1"/>
      <c r="F41" s="1" t="s">
        <v>41</v>
      </c>
      <c r="G41" s="1"/>
      <c r="H41" s="1"/>
      <c r="I41" s="1"/>
      <c r="J41" s="1"/>
      <c r="K41" s="1"/>
      <c r="L41" s="1"/>
    </row>
    <row r="42" customFormat="false" ht="23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37" hidden="false" customHeight="true" outlineLevel="0" collapsed="false">
      <c r="A43" s="6" t="s">
        <v>42</v>
      </c>
      <c r="B43" s="6" t="s">
        <v>43</v>
      </c>
      <c r="C43" s="6" t="s">
        <v>44</v>
      </c>
      <c r="D43" s="6"/>
      <c r="E43" s="1"/>
      <c r="F43" s="1"/>
      <c r="G43" s="1"/>
      <c r="H43" s="1"/>
      <c r="I43" s="1"/>
      <c r="J43" s="1"/>
      <c r="K43" s="1"/>
      <c r="L43" s="1"/>
    </row>
    <row r="44" customFormat="false" ht="23" hidden="false" customHeight="true" outlineLevel="0" collapsed="false">
      <c r="A44" s="1" t="s">
        <v>45</v>
      </c>
      <c r="B44" s="1" t="str">
        <f aca="false">IF(COUNTIFS(Седмици!$N$7:$N$162,"Да",Седмици!$A$7:$A$162,"&gt;="&amp;Допускания!$D$7-28,Седмици!$A$7:$A$162,"&lt;="&amp;Допускания!$D$7)=0,"Няма данни",SUMIFS(Седмици!$B$7:$B$162,Седмици!$N$7:$N$162,"Да",Седмици!$A$7:$A$162,"&gt;="&amp;Допускания!$D$7-28,Седмици!$A$7:$A$162,"&lt;="&amp;Допускания!$D$7))</f>
        <v>Няма данни</v>
      </c>
      <c r="C44" s="1" t="n">
        <f aca="false">ROUNDUP(INDEX(Модел!$D$66:$H$66,1,MATCH(Допускания!$D$8,Модел!$D$7:$H$7,0))/Допускания!$D$50,0)</f>
        <v>157</v>
      </c>
      <c r="D44" s="1"/>
      <c r="E44" s="1"/>
      <c r="F44" s="1" t="s">
        <v>46</v>
      </c>
      <c r="G44" s="1"/>
      <c r="H44" s="1"/>
      <c r="I44" s="1"/>
      <c r="J44" s="13" t="str">
        <f aca="false">Допускания!F5</f>
        <v>PLANNED Growth</v>
      </c>
      <c r="K44" s="1"/>
      <c r="L44" s="1"/>
    </row>
    <row r="45" customFormat="false" ht="23" hidden="false" customHeight="true" outlineLevel="0" collapsed="false">
      <c r="A45" s="1" t="s">
        <v>47</v>
      </c>
      <c r="B45" s="1" t="str">
        <f aca="false">IF(COUNTIFS(Седмици!$N$7:$N$162,"Да",Седмици!$A$7:$A$162,"&gt;="&amp;Допускания!$D$7-28,Седмици!$A$7:$A$162,"&lt;="&amp;Допускания!$D$7)=0,"Няма данни",SUMIFS(Седмици!$C$7:$C$162,Седмици!$N$7:$N$162,"Да",Седмици!$A$7:$A$162,"&gt;="&amp;Допускания!$D$7-28,Седмици!$A$7:$A$162,"&lt;="&amp;Допускания!$D$7))</f>
        <v>Няма данни</v>
      </c>
      <c r="C45" s="1" t="n">
        <f aca="false">ROUNDUP(INDEX(Модел!$D$67:$H$67,1,MATCH(Допускания!$D$8,Модел!$D$7:$H$7,0))/Допускания!$D$50,0)</f>
        <v>314</v>
      </c>
      <c r="D45" s="1"/>
      <c r="E45" s="1"/>
      <c r="F45" s="1"/>
      <c r="G45" s="1"/>
      <c r="H45" s="1"/>
      <c r="I45" s="1"/>
      <c r="J45" s="1"/>
      <c r="K45" s="1"/>
      <c r="L45" s="1"/>
    </row>
    <row r="46" customFormat="false" ht="23" hidden="false" customHeight="true" outlineLevel="0" collapsed="false">
      <c r="A46" s="1" t="s">
        <v>48</v>
      </c>
      <c r="B46" s="1" t="str">
        <f aca="false">IF(COUNTIFS(Седмици!$N$7:$N$162,"Да",Седмици!$A$7:$A$162,"&gt;="&amp;Допускания!$D$7-28,Седмици!$A$7:$A$162,"&lt;="&amp;Допускания!$D$7)=0,"Няма данни",SUMIFS(Седмици!$F$7:$F$162,Седмици!$N$7:$N$162,"Да",Седмици!$A$7:$A$162,"&gt;="&amp;Допускания!$D$7-28,Седмици!$A$7:$A$162,"&lt;="&amp;Допускания!$D$7))</f>
        <v>Няма данни</v>
      </c>
      <c r="C46" s="1" t="n">
        <f aca="false">ROUNDUP(INDEX(Модел!$D$63:$H$63,1,MATCH(Допускания!$D$8,Модел!$D$7:$H$7,0))/Допускания!$D$50,0)</f>
        <v>13</v>
      </c>
      <c r="D46" s="1"/>
      <c r="E46" s="1"/>
      <c r="F46" s="5" t="str">
        <f aca="false">HYPERLINK("#'Модел'!C7","Виж финансовите сценарии")</f>
        <v>Виж финансовите сценарии</v>
      </c>
      <c r="G46" s="1"/>
      <c r="H46" s="1"/>
      <c r="I46" s="1"/>
      <c r="J46" s="1"/>
      <c r="K46" s="1"/>
      <c r="L46" s="1"/>
    </row>
    <row r="47" customFormat="false" ht="23" hidden="false" customHeight="true" outlineLevel="0" collapsed="false">
      <c r="A47" s="1" t="s">
        <v>49</v>
      </c>
      <c r="B47" s="1" t="str">
        <f aca="false">IF(COUNTIFS(Седмици!$N$7:$N$162,"Да",Седмици!$A$7:$A$162,"&gt;="&amp;Допускания!$D$7-28,Седмици!$A$7:$A$162,"&lt;="&amp;Допускания!$D$7)=0,"Няма данни",SUMIFS(Седмици!$G$7:$G$162,Седмици!$N$7:$N$162,"Да",Седмици!$A$7:$A$162,"&gt;="&amp;Допускания!$D$7-28,Седмици!$A$7:$A$162,"&lt;="&amp;Допускания!$D$7))</f>
        <v>Няма данни</v>
      </c>
      <c r="C47" s="1" t="n">
        <f aca="false">ROUNDUP(INDEX(Модел!$D$62:$H$62,1,MATCH(Допускания!$D$8,Модел!$D$7:$H$7,0))/Допускания!$D$50,0)</f>
        <v>10</v>
      </c>
      <c r="D47" s="1"/>
      <c r="E47" s="1"/>
      <c r="F47" s="1"/>
      <c r="G47" s="1"/>
      <c r="H47" s="1"/>
      <c r="I47" s="1"/>
      <c r="J47" s="1"/>
      <c r="K47" s="1"/>
      <c r="L47" s="1"/>
    </row>
    <row r="48" customFormat="false" ht="23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23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23" hidden="false" customHeight="true" outlineLevel="0" collapsed="false">
      <c r="A50" s="1" t="s">
        <v>50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23" hidden="false" customHeight="true" outlineLevel="0" collapsed="false">
      <c r="A51" s="1" t="s">
        <v>51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customFormat="false" ht="23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customFormat="false" ht="30" hidden="false" customHeight="true" outlineLevel="0" collapsed="false">
      <c r="A53" s="14" t="s">
        <v>52</v>
      </c>
      <c r="B53" s="14" t="s">
        <v>53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</row>
    <row r="54" customFormat="false" ht="23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customFormat="false" ht="23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mergeCells count="2">
    <mergeCell ref="B21:D23"/>
    <mergeCell ref="B53:L53"/>
  </mergeCells>
  <conditionalFormatting sqref="A17:B19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3953"/>
    <pageSetUpPr fitToPage="false"/>
  </sheetPr>
  <dimension ref="A1:U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48"/>
    <col collapsed="false" customWidth="true" hidden="false" outlineLevel="0" max="5" min="4" style="0" width="22"/>
    <col collapsed="false" customWidth="true" hidden="false" outlineLevel="0" max="7" min="6" style="0" width="14"/>
    <col collapsed="false" customWidth="true" hidden="false" outlineLevel="0" max="8" min="8" style="0" width="35"/>
    <col collapsed="false" customWidth="true" hidden="false" outlineLevel="0" max="9" min="9" style="0" width="12"/>
    <col collapsed="false" customWidth="true" hidden="false" outlineLevel="0" max="10" min="10" style="0" width="27"/>
    <col collapsed="false" customWidth="true" hidden="false" outlineLevel="0" max="19" min="11" style="0" width="15"/>
    <col collapsed="false" customWidth="true" hidden="false" outlineLevel="0" max="20" min="20" style="0" width="16"/>
    <col collapsed="false" customWidth="true" hidden="false" outlineLevel="0" max="21" min="21" style="0" width="76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9" hidden="false" customHeight="true" outlineLevel="0" collapsed="false">
      <c r="A2" s="2" t="s">
        <v>54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23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23" hidden="false" customHeight="true" outlineLevel="0" collapsed="false">
      <c r="A4" s="1" t="s">
        <v>55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customFormat="false" ht="23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customFormat="false" ht="37" hidden="false" customHeight="true" outlineLevel="0" collapsed="false">
      <c r="A6" s="6" t="s">
        <v>24</v>
      </c>
      <c r="B6" s="6" t="s">
        <v>8</v>
      </c>
      <c r="C6" s="6" t="s">
        <v>56</v>
      </c>
      <c r="D6" s="6" t="s">
        <v>57</v>
      </c>
      <c r="E6" s="6" t="s">
        <v>58</v>
      </c>
      <c r="F6" s="6" t="s">
        <v>25</v>
      </c>
      <c r="G6" s="6" t="s">
        <v>59</v>
      </c>
      <c r="H6" s="6" t="s">
        <v>60</v>
      </c>
      <c r="I6" s="6" t="s">
        <v>61</v>
      </c>
      <c r="J6" s="6" t="s">
        <v>62</v>
      </c>
      <c r="K6" s="6" t="s">
        <v>63</v>
      </c>
      <c r="L6" s="6" t="s">
        <v>64</v>
      </c>
      <c r="M6" s="6" t="s">
        <v>65</v>
      </c>
      <c r="N6" s="6" t="s">
        <v>66</v>
      </c>
      <c r="O6" s="6" t="s">
        <v>67</v>
      </c>
      <c r="P6" s="6" t="s">
        <v>68</v>
      </c>
      <c r="Q6" s="6" t="s">
        <v>69</v>
      </c>
      <c r="R6" s="6" t="s">
        <v>70</v>
      </c>
      <c r="S6" s="6" t="s">
        <v>71</v>
      </c>
      <c r="T6" s="6" t="s">
        <v>72</v>
      </c>
      <c r="U6" s="6" t="s">
        <v>73</v>
      </c>
    </row>
    <row r="7" customFormat="false" ht="60" hidden="false" customHeight="true" outlineLevel="0" collapsed="false">
      <c r="A7" s="1" t="s">
        <v>74</v>
      </c>
      <c r="B7" s="1" t="s">
        <v>13</v>
      </c>
      <c r="C7" s="9" t="s">
        <v>75</v>
      </c>
      <c r="D7" s="15" t="s">
        <v>76</v>
      </c>
      <c r="E7" s="16" t="s">
        <v>77</v>
      </c>
      <c r="F7" s="17" t="n">
        <f aca="false">Допускания!$D$6+0</f>
        <v>46286</v>
      </c>
      <c r="G7" s="18"/>
      <c r="H7" s="15"/>
      <c r="I7" s="19" t="n">
        <f aca="false">IF(E7="Готово",1,0)</f>
        <v>0</v>
      </c>
      <c r="J7" s="9" t="str">
        <f aca="false">IF(I7=1,IF(R7=1,"Готово по отметка","Отметнато; провери условията"),IF(E7="Отложено","Отложено",IF(R7=0,"Чака зависимост",IF(E7="Блокирано","Премахни блокирането",IF(F7&lt;Допускания!$D$7,"Просрочено","За изпълнение")))))</f>
        <v>За изпълнение</v>
      </c>
      <c r="K7" s="20" t="n">
        <f aca="false">N7*O7*Q7/P7</f>
        <v>25</v>
      </c>
      <c r="L7" s="9"/>
      <c r="M7" s="9"/>
      <c r="N7" s="15" t="n">
        <v>5</v>
      </c>
      <c r="O7" s="15" t="n">
        <v>5</v>
      </c>
      <c r="P7" s="15" t="n">
        <v>2</v>
      </c>
      <c r="Q7" s="9" t="n">
        <f aca="false">IF(COUNTIFS($L$7:$L$38,A7)+COUNTIFS($M$7:$M$38,A7)&gt;0,2,1)</f>
        <v>2</v>
      </c>
      <c r="R7" s="9" t="n">
        <f aca="false">IF(AND(OR(L7="",COUNTIFS($A$7:$A$38,L7,$I$7:$I$38,1)=1),OR(M7="",COUNTIFS($A$7:$A$38,M7,$I$7:$I$38,1)=1)),1,0)</f>
        <v>1</v>
      </c>
      <c r="S7" s="9" t="n">
        <f aca="false">IF(AND(I7=0,R7=1,E7&lt;&gt;"Блокирано",E7&lt;&gt;"Отложено"),COUNTIFS($R$7:$R$38,1,$I$7:$I$38,0,$E$7:$E$38,"&lt;&gt;Блокирано",$E$7:$E$38,"&lt;&gt;Отложено",$K$7:$K$38,"&gt;"&amp;K7)+COUNTIFS($R$7:R7,1,$I$7:I7,0,$E$7:E7,"&lt;&gt;Блокирано",$E$7:E7,"&lt;&gt;Отложено",$K$7:K7,K7),"")</f>
        <v>3</v>
      </c>
      <c r="T7" s="21" t="str">
        <f aca="false">HYPERLINK("BDS_Plan.docx#T01","T01 в Word")</f>
        <v>T01 в Word</v>
      </c>
      <c r="U7" s="9" t="s">
        <v>78</v>
      </c>
    </row>
    <row r="8" customFormat="false" ht="60" hidden="false" customHeight="true" outlineLevel="0" collapsed="false">
      <c r="A8" s="22" t="s">
        <v>79</v>
      </c>
      <c r="B8" s="22" t="s">
        <v>13</v>
      </c>
      <c r="C8" s="23" t="s">
        <v>80</v>
      </c>
      <c r="D8" s="15" t="s">
        <v>76</v>
      </c>
      <c r="E8" s="16" t="s">
        <v>77</v>
      </c>
      <c r="F8" s="24" t="n">
        <f aca="false">Допускания!$D$6+0</f>
        <v>46286</v>
      </c>
      <c r="G8" s="18"/>
      <c r="H8" s="15"/>
      <c r="I8" s="25" t="n">
        <f aca="false">IF(E8="Готово",1,0)</f>
        <v>0</v>
      </c>
      <c r="J8" s="23" t="str">
        <f aca="false">IF(I8=1,IF(R8=1,"Готово по отметка","Отметнато; провери условията"),IF(E8="Отложено","Отложено",IF(R8=0,"Чака зависимост",IF(E8="Блокирано","Премахни блокирането",IF(F8&lt;Допускания!$D$7,"Просрочено","За изпълнение")))))</f>
        <v>За изпълнение</v>
      </c>
      <c r="K8" s="26" t="n">
        <f aca="false">N8*O8*Q8/P8</f>
        <v>50</v>
      </c>
      <c r="L8" s="23"/>
      <c r="M8" s="23"/>
      <c r="N8" s="15" t="n">
        <v>5</v>
      </c>
      <c r="O8" s="15" t="n">
        <v>5</v>
      </c>
      <c r="P8" s="15" t="n">
        <v>1</v>
      </c>
      <c r="Q8" s="23" t="n">
        <f aca="false">IF(COUNTIFS($L$7:$L$38,A8)+COUNTIFS($M$7:$M$38,A8)&gt;0,2,1)</f>
        <v>2</v>
      </c>
      <c r="R8" s="23" t="n">
        <f aca="false">IF(AND(OR(L8="",COUNTIFS($A$7:$A$38,L8,$I$7:$I$38,1)=1),OR(M8="",COUNTIFS($A$7:$A$38,M8,$I$7:$I$38,1)=1)),1,0)</f>
        <v>1</v>
      </c>
      <c r="S8" s="23" t="n">
        <f aca="false">IF(AND(I8=0,R8=1,E8&lt;&gt;"Блокирано",E8&lt;&gt;"Отложено"),COUNTIFS($R$7:$R$38,1,$I$7:$I$38,0,$E$7:$E$38,"&lt;&gt;Блокирано",$E$7:$E$38,"&lt;&gt;Отложено",$K$7:$K$38,"&gt;"&amp;K8)+COUNTIFS($R$7:R8,1,$I$7:I8,0,$E$7:E8,"&lt;&gt;Блокирано",$E$7:E8,"&lt;&gt;Отложено",$K$7:K8,K8),"")</f>
        <v>1</v>
      </c>
      <c r="T8" s="27" t="str">
        <f aca="false">HYPERLINK("BDS_Plan.docx#T02","T02 в Word")</f>
        <v>T02 в Word</v>
      </c>
      <c r="U8" s="23" t="s">
        <v>81</v>
      </c>
    </row>
    <row r="9" customFormat="false" ht="60" hidden="false" customHeight="true" outlineLevel="0" collapsed="false">
      <c r="A9" s="1" t="s">
        <v>82</v>
      </c>
      <c r="B9" s="1" t="s">
        <v>13</v>
      </c>
      <c r="C9" s="9" t="s">
        <v>83</v>
      </c>
      <c r="D9" s="15" t="s">
        <v>76</v>
      </c>
      <c r="E9" s="16" t="s">
        <v>77</v>
      </c>
      <c r="F9" s="17" t="n">
        <f aca="false">Допускания!$D$6+1</f>
        <v>46287</v>
      </c>
      <c r="G9" s="18"/>
      <c r="H9" s="15"/>
      <c r="I9" s="19" t="n">
        <f aca="false">IF(E9="Готово",1,0)</f>
        <v>0</v>
      </c>
      <c r="J9" s="9" t="str">
        <f aca="false">IF(I9=1,IF(R9=1,"Готово по отметка","Отметнато; провери условията"),IF(E9="Отложено","Отложено",IF(R9=0,"Чака зависимост",IF(E9="Блокирано","Премахни блокирането",IF(F9&lt;Допускания!$D$7,"Просрочено","За изпълнение")))))</f>
        <v>Чака зависимост</v>
      </c>
      <c r="K9" s="20" t="n">
        <f aca="false">N9*O9*Q9/P9</f>
        <v>50</v>
      </c>
      <c r="L9" s="9" t="s">
        <v>74</v>
      </c>
      <c r="M9" s="9"/>
      <c r="N9" s="15" t="n">
        <v>5</v>
      </c>
      <c r="O9" s="15" t="n">
        <v>5</v>
      </c>
      <c r="P9" s="15" t="n">
        <v>1</v>
      </c>
      <c r="Q9" s="9" t="n">
        <f aca="false">IF(COUNTIFS($L$7:$L$38,A9)+COUNTIFS($M$7:$M$38,A9)&gt;0,2,1)</f>
        <v>2</v>
      </c>
      <c r="R9" s="9" t="n">
        <f aca="false">IF(AND(OR(L9="",COUNTIFS($A$7:$A$38,L9,$I$7:$I$38,1)=1),OR(M9="",COUNTIFS($A$7:$A$38,M9,$I$7:$I$38,1)=1)),1,0)</f>
        <v>0</v>
      </c>
      <c r="S9" s="9" t="str">
        <f aca="false">IF(AND(I9=0,R9=1,E9&lt;&gt;"Блокирано",E9&lt;&gt;"Отложено"),COUNTIFS($R$7:$R$38,1,$I$7:$I$38,0,$E$7:$E$38,"&lt;&gt;Блокирано",$E$7:$E$38,"&lt;&gt;Отложено",$K$7:$K$38,"&gt;"&amp;K9)+COUNTIFS($R$7:R9,1,$I$7:I9,0,$E$7:E9,"&lt;&gt;Блокирано",$E$7:E9,"&lt;&gt;Отложено",$K$7:K9,K9),"")</f>
        <v/>
      </c>
      <c r="T9" s="21" t="str">
        <f aca="false">HYPERLINK("BDS_Plan.docx#T03","T03 в Word")</f>
        <v>T03 в Word</v>
      </c>
      <c r="U9" s="9" t="s">
        <v>84</v>
      </c>
    </row>
    <row r="10" customFormat="false" ht="60" hidden="false" customHeight="true" outlineLevel="0" collapsed="false">
      <c r="A10" s="22" t="s">
        <v>85</v>
      </c>
      <c r="B10" s="22" t="s">
        <v>13</v>
      </c>
      <c r="C10" s="23" t="s">
        <v>86</v>
      </c>
      <c r="D10" s="15" t="s">
        <v>76</v>
      </c>
      <c r="E10" s="16" t="s">
        <v>77</v>
      </c>
      <c r="F10" s="24" t="n">
        <f aca="false">Допускания!$D$6+1</f>
        <v>46287</v>
      </c>
      <c r="G10" s="18"/>
      <c r="H10" s="15"/>
      <c r="I10" s="25" t="n">
        <f aca="false">IF(E10="Готово",1,0)</f>
        <v>0</v>
      </c>
      <c r="J10" s="23" t="str">
        <f aca="false">IF(I10=1,IF(R10=1,"Готово по отметка","Отметнато; провери условията"),IF(E10="Отложено","Отложено",IF(R10=0,"Чака зависимост",IF(E10="Блокирано","Премахни блокирането",IF(F10&lt;Допускания!$D$7,"Просрочено","За изпълнение")))))</f>
        <v>За изпълнение</v>
      </c>
      <c r="K10" s="26" t="n">
        <f aca="false">N10*O10*Q10/P10</f>
        <v>40</v>
      </c>
      <c r="L10" s="23"/>
      <c r="M10" s="23"/>
      <c r="N10" s="15" t="n">
        <v>5</v>
      </c>
      <c r="O10" s="15" t="n">
        <v>4</v>
      </c>
      <c r="P10" s="15" t="n">
        <v>1</v>
      </c>
      <c r="Q10" s="23" t="n">
        <f aca="false">IF(COUNTIFS($L$7:$L$38,A10)+COUNTIFS($M$7:$M$38,A10)&gt;0,2,1)</f>
        <v>2</v>
      </c>
      <c r="R10" s="23" t="n">
        <f aca="false">IF(AND(OR(L10="",COUNTIFS($A$7:$A$38,L10,$I$7:$I$38,1)=1),OR(M10="",COUNTIFS($A$7:$A$38,M10,$I$7:$I$38,1)=1)),1,0)</f>
        <v>1</v>
      </c>
      <c r="S10" s="23" t="n">
        <f aca="false">IF(AND(I10=0,R10=1,E10&lt;&gt;"Блокирано",E10&lt;&gt;"Отложено"),COUNTIFS($R$7:$R$38,1,$I$7:$I$38,0,$E$7:$E$38,"&lt;&gt;Блокирано",$E$7:$E$38,"&lt;&gt;Отложено",$K$7:$K$38,"&gt;"&amp;K10)+COUNTIFS($R$7:R10,1,$I$7:I10,0,$E$7:E10,"&lt;&gt;Блокирано",$E$7:E10,"&lt;&gt;Отложено",$K$7:K10,K10),"")</f>
        <v>2</v>
      </c>
      <c r="T10" s="27" t="str">
        <f aca="false">HYPERLINK("BDS_Plan.docx#T04","T04 в Word")</f>
        <v>T04 в Word</v>
      </c>
      <c r="U10" s="23" t="s">
        <v>87</v>
      </c>
    </row>
    <row r="11" customFormat="false" ht="60" hidden="false" customHeight="true" outlineLevel="0" collapsed="false">
      <c r="A11" s="1" t="s">
        <v>88</v>
      </c>
      <c r="B11" s="1" t="s">
        <v>13</v>
      </c>
      <c r="C11" s="9" t="s">
        <v>89</v>
      </c>
      <c r="D11" s="15" t="s">
        <v>76</v>
      </c>
      <c r="E11" s="16" t="s">
        <v>77</v>
      </c>
      <c r="F11" s="17" t="n">
        <f aca="false">Допускания!$D$6+2</f>
        <v>46288</v>
      </c>
      <c r="G11" s="18"/>
      <c r="H11" s="15"/>
      <c r="I11" s="19" t="n">
        <f aca="false">IF(E11="Готово",1,0)</f>
        <v>0</v>
      </c>
      <c r="J11" s="9" t="str">
        <f aca="false">IF(I11=1,IF(R11=1,"Готово по отметка","Отметнато; провери условията"),IF(E11="Отложено","Отложено",IF(R11=0,"Чака зависимост",IF(E11="Блокирано","Премахни блокирането",IF(F11&lt;Допускания!$D$7,"Просрочено","За изпълнение")))))</f>
        <v>Чака зависимост</v>
      </c>
      <c r="K11" s="20" t="n">
        <f aca="false">N11*O11*Q11/P11</f>
        <v>25</v>
      </c>
      <c r="L11" s="9" t="s">
        <v>74</v>
      </c>
      <c r="M11" s="9" t="s">
        <v>82</v>
      </c>
      <c r="N11" s="15" t="n">
        <v>5</v>
      </c>
      <c r="O11" s="15" t="n">
        <v>5</v>
      </c>
      <c r="P11" s="15" t="n">
        <v>2</v>
      </c>
      <c r="Q11" s="9" t="n">
        <f aca="false">IF(COUNTIFS($L$7:$L$38,A11)+COUNTIFS($M$7:$M$38,A11)&gt;0,2,1)</f>
        <v>2</v>
      </c>
      <c r="R11" s="9" t="n">
        <f aca="false">IF(AND(OR(L11="",COUNTIFS($A$7:$A$38,L11,$I$7:$I$38,1)=1),OR(M11="",COUNTIFS($A$7:$A$38,M11,$I$7:$I$38,1)=1)),1,0)</f>
        <v>0</v>
      </c>
      <c r="S11" s="9" t="str">
        <f aca="false">IF(AND(I11=0,R11=1,E11&lt;&gt;"Блокирано",E11&lt;&gt;"Отложено"),COUNTIFS($R$7:$R$38,1,$I$7:$I$38,0,$E$7:$E$38,"&lt;&gt;Блокирано",$E$7:$E$38,"&lt;&gt;Отложено",$K$7:$K$38,"&gt;"&amp;K11)+COUNTIFS($R$7:R11,1,$I$7:I11,0,$E$7:E11,"&lt;&gt;Блокирано",$E$7:E11,"&lt;&gt;Отложено",$K$7:K11,K11),"")</f>
        <v/>
      </c>
      <c r="T11" s="21" t="str">
        <f aca="false">HYPERLINK("BDS_Plan.docx#T05","T05 в Word")</f>
        <v>T05 в Word</v>
      </c>
      <c r="U11" s="9" t="s">
        <v>90</v>
      </c>
    </row>
    <row r="12" customFormat="false" ht="60" hidden="false" customHeight="true" outlineLevel="0" collapsed="false">
      <c r="A12" s="22" t="s">
        <v>91</v>
      </c>
      <c r="B12" s="22" t="s">
        <v>13</v>
      </c>
      <c r="C12" s="23" t="s">
        <v>92</v>
      </c>
      <c r="D12" s="15" t="s">
        <v>76</v>
      </c>
      <c r="E12" s="16" t="s">
        <v>77</v>
      </c>
      <c r="F12" s="24" t="n">
        <f aca="false">Допускания!$D$6+3</f>
        <v>46289</v>
      </c>
      <c r="G12" s="18"/>
      <c r="H12" s="15"/>
      <c r="I12" s="25" t="n">
        <f aca="false">IF(E12="Готово",1,0)</f>
        <v>0</v>
      </c>
      <c r="J12" s="23" t="str">
        <f aca="false">IF(I12=1,IF(R12=1,"Готово по отметка","Отметнато; провери условията"),IF(E12="Отложено","Отложено",IF(R12=0,"Чака зависимост",IF(E12="Блокирано","Премахни блокирането",IF(F12&lt;Допускания!$D$7,"Просрочено","За изпълнение")))))</f>
        <v>Чака зависимост</v>
      </c>
      <c r="K12" s="26" t="n">
        <f aca="false">N12*O12*Q12/P12</f>
        <v>25</v>
      </c>
      <c r="L12" s="23" t="s">
        <v>85</v>
      </c>
      <c r="M12" s="23" t="s">
        <v>88</v>
      </c>
      <c r="N12" s="15" t="n">
        <v>5</v>
      </c>
      <c r="O12" s="15" t="n">
        <v>5</v>
      </c>
      <c r="P12" s="15" t="n">
        <v>2</v>
      </c>
      <c r="Q12" s="23" t="n">
        <f aca="false">IF(COUNTIFS($L$7:$L$38,A12)+COUNTIFS($M$7:$M$38,A12)&gt;0,2,1)</f>
        <v>2</v>
      </c>
      <c r="R12" s="23" t="n">
        <f aca="false">IF(AND(OR(L12="",COUNTIFS($A$7:$A$38,L12,$I$7:$I$38,1)=1),OR(M12="",COUNTIFS($A$7:$A$38,M12,$I$7:$I$38,1)=1)),1,0)</f>
        <v>0</v>
      </c>
      <c r="S12" s="23" t="str">
        <f aca="false">IF(AND(I12=0,R12=1,E12&lt;&gt;"Блокирано",E12&lt;&gt;"Отложено"),COUNTIFS($R$7:$R$38,1,$I$7:$I$38,0,$E$7:$E$38,"&lt;&gt;Блокирано",$E$7:$E$38,"&lt;&gt;Отложено",$K$7:$K$38,"&gt;"&amp;K12)+COUNTIFS($R$7:R12,1,$I$7:I12,0,$E$7:E12,"&lt;&gt;Блокирано",$E$7:E12,"&lt;&gt;Отложено",$K$7:K12,K12),"")</f>
        <v/>
      </c>
      <c r="T12" s="27" t="str">
        <f aca="false">HYPERLINK("BDS_Plan.docx#T06","T06 в Word")</f>
        <v>T06 в Word</v>
      </c>
      <c r="U12" s="23" t="s">
        <v>93</v>
      </c>
    </row>
    <row r="13" customFormat="false" ht="60" hidden="false" customHeight="true" outlineLevel="0" collapsed="false">
      <c r="A13" s="1" t="s">
        <v>94</v>
      </c>
      <c r="B13" s="1" t="s">
        <v>13</v>
      </c>
      <c r="C13" s="9" t="s">
        <v>95</v>
      </c>
      <c r="D13" s="15" t="s">
        <v>96</v>
      </c>
      <c r="E13" s="16" t="s">
        <v>77</v>
      </c>
      <c r="F13" s="17" t="n">
        <f aca="false">Допускания!$D$6+4</f>
        <v>46290</v>
      </c>
      <c r="G13" s="18"/>
      <c r="H13" s="15"/>
      <c r="I13" s="19" t="n">
        <f aca="false">IF(E13="Готово",1,0)</f>
        <v>0</v>
      </c>
      <c r="J13" s="9" t="str">
        <f aca="false">IF(I13=1,IF(R13=1,"Готово по отметка","Отметнато; провери условията"),IF(E13="Отложено","Отложено",IF(R13=0,"Чака зависимост",IF(E13="Блокирано","Премахни блокирането",IF(F13&lt;Допускания!$D$7,"Просрочено","За изпълнение")))))</f>
        <v>Чака зависимост</v>
      </c>
      <c r="K13" s="20" t="n">
        <f aca="false">N13*O13*Q13/P13</f>
        <v>16.6666666666667</v>
      </c>
      <c r="L13" s="9" t="s">
        <v>79</v>
      </c>
      <c r="M13" s="9"/>
      <c r="N13" s="15" t="n">
        <v>5</v>
      </c>
      <c r="O13" s="15" t="n">
        <v>5</v>
      </c>
      <c r="P13" s="15" t="n">
        <v>3</v>
      </c>
      <c r="Q13" s="9" t="n">
        <f aca="false">IF(COUNTIFS($L$7:$L$38,A13)+COUNTIFS($M$7:$M$38,A13)&gt;0,2,1)</f>
        <v>2</v>
      </c>
      <c r="R13" s="9" t="n">
        <f aca="false">IF(AND(OR(L13="",COUNTIFS($A$7:$A$38,L13,$I$7:$I$38,1)=1),OR(M13="",COUNTIFS($A$7:$A$38,M13,$I$7:$I$38,1)=1)),1,0)</f>
        <v>0</v>
      </c>
      <c r="S13" s="9" t="str">
        <f aca="false">IF(AND(I13=0,R13=1,E13&lt;&gt;"Блокирано",E13&lt;&gt;"Отложено"),COUNTIFS($R$7:$R$38,1,$I$7:$I$38,0,$E$7:$E$38,"&lt;&gt;Блокирано",$E$7:$E$38,"&lt;&gt;Отложено",$K$7:$K$38,"&gt;"&amp;K13)+COUNTIFS($R$7:R13,1,$I$7:I13,0,$E$7:E13,"&lt;&gt;Блокирано",$E$7:E13,"&lt;&gt;Отложено",$K$7:K13,K13),"")</f>
        <v/>
      </c>
      <c r="T13" s="21" t="str">
        <f aca="false">HYPERLINK("BDS_Plan.docx#T07","T07 в Word")</f>
        <v>T07 в Word</v>
      </c>
      <c r="U13" s="9" t="s">
        <v>97</v>
      </c>
    </row>
    <row r="14" customFormat="false" ht="60" hidden="false" customHeight="true" outlineLevel="0" collapsed="false">
      <c r="A14" s="22" t="s">
        <v>98</v>
      </c>
      <c r="B14" s="22" t="s">
        <v>13</v>
      </c>
      <c r="C14" s="23" t="s">
        <v>99</v>
      </c>
      <c r="D14" s="15" t="s">
        <v>76</v>
      </c>
      <c r="E14" s="16" t="s">
        <v>77</v>
      </c>
      <c r="F14" s="24" t="n">
        <f aca="false">Допускания!$D$6+5</f>
        <v>46291</v>
      </c>
      <c r="G14" s="18"/>
      <c r="H14" s="15"/>
      <c r="I14" s="25" t="n">
        <f aca="false">IF(E14="Готово",1,0)</f>
        <v>0</v>
      </c>
      <c r="J14" s="23" t="str">
        <f aca="false">IF(I14=1,IF(R14=1,"Готово по отметка","Отметнато; провери условията"),IF(E14="Отложено","Отложено",IF(R14=0,"Чака зависимост",IF(E14="Блокирано","Премахни блокирането",IF(F14&lt;Допускания!$D$7,"Просрочено","За изпълнение")))))</f>
        <v>Чака зависимост</v>
      </c>
      <c r="K14" s="26" t="n">
        <f aca="false">N14*O14*Q14/P14</f>
        <v>10</v>
      </c>
      <c r="L14" s="23" t="s">
        <v>94</v>
      </c>
      <c r="M14" s="23"/>
      <c r="N14" s="15" t="n">
        <v>4</v>
      </c>
      <c r="O14" s="15" t="n">
        <v>5</v>
      </c>
      <c r="P14" s="15" t="n">
        <v>2</v>
      </c>
      <c r="Q14" s="23" t="n">
        <f aca="false">IF(COUNTIFS($L$7:$L$38,A14)+COUNTIFS($M$7:$M$38,A14)&gt;0,2,1)</f>
        <v>1</v>
      </c>
      <c r="R14" s="23" t="n">
        <f aca="false">IF(AND(OR(L14="",COUNTIFS($A$7:$A$38,L14,$I$7:$I$38,1)=1),OR(M14="",COUNTIFS($A$7:$A$38,M14,$I$7:$I$38,1)=1)),1,0)</f>
        <v>0</v>
      </c>
      <c r="S14" s="23" t="str">
        <f aca="false">IF(AND(I14=0,R14=1,E14&lt;&gt;"Блокирано",E14&lt;&gt;"Отложено"),COUNTIFS($R$7:$R$38,1,$I$7:$I$38,0,$E$7:$E$38,"&lt;&gt;Блокирано",$E$7:$E$38,"&lt;&gt;Отложено",$K$7:$K$38,"&gt;"&amp;K14)+COUNTIFS($R$7:R14,1,$I$7:I14,0,$E$7:E14,"&lt;&gt;Блокирано",$E$7:E14,"&lt;&gt;Отложено",$K$7:K14,K14),"")</f>
        <v/>
      </c>
      <c r="T14" s="27" t="str">
        <f aca="false">HYPERLINK("BDS_Plan.docx#T08","T08 в Word")</f>
        <v>T08 в Word</v>
      </c>
      <c r="U14" s="23" t="s">
        <v>100</v>
      </c>
    </row>
    <row r="15" customFormat="false" ht="60" hidden="false" customHeight="true" outlineLevel="0" collapsed="false">
      <c r="A15" s="1" t="s">
        <v>101</v>
      </c>
      <c r="B15" s="1" t="s">
        <v>13</v>
      </c>
      <c r="C15" s="9" t="s">
        <v>102</v>
      </c>
      <c r="D15" s="15" t="s">
        <v>103</v>
      </c>
      <c r="E15" s="16" t="s">
        <v>77</v>
      </c>
      <c r="F15" s="17" t="n">
        <f aca="false">Допускания!$D$6+4</f>
        <v>46290</v>
      </c>
      <c r="G15" s="18"/>
      <c r="H15" s="15"/>
      <c r="I15" s="19" t="n">
        <f aca="false">IF(E15="Готово",1,0)</f>
        <v>0</v>
      </c>
      <c r="J15" s="9" t="str">
        <f aca="false">IF(I15=1,IF(R15=1,"Готово по отметка","Отметнато; провери условията"),IF(E15="Отложено","Отложено",IF(R15=0,"Чака зависимост",IF(E15="Блокирано","Премахни блокирането",IF(F15&lt;Допускания!$D$7,"Просрочено","За изпълнение")))))</f>
        <v>Чака зависимост</v>
      </c>
      <c r="K15" s="20" t="n">
        <f aca="false">N15*O15*Q15/P15</f>
        <v>25</v>
      </c>
      <c r="L15" s="9" t="s">
        <v>82</v>
      </c>
      <c r="M15" s="9"/>
      <c r="N15" s="15" t="n">
        <v>5</v>
      </c>
      <c r="O15" s="15" t="n">
        <v>5</v>
      </c>
      <c r="P15" s="15" t="n">
        <v>2</v>
      </c>
      <c r="Q15" s="9" t="n">
        <f aca="false">IF(COUNTIFS($L$7:$L$38,A15)+COUNTIFS($M$7:$M$38,A15)&gt;0,2,1)</f>
        <v>2</v>
      </c>
      <c r="R15" s="9" t="n">
        <f aca="false">IF(AND(OR(L15="",COUNTIFS($A$7:$A$38,L15,$I$7:$I$38,1)=1),OR(M15="",COUNTIFS($A$7:$A$38,M15,$I$7:$I$38,1)=1)),1,0)</f>
        <v>0</v>
      </c>
      <c r="S15" s="9" t="str">
        <f aca="false">IF(AND(I15=0,R15=1,E15&lt;&gt;"Блокирано",E15&lt;&gt;"Отложено"),COUNTIFS($R$7:$R$38,1,$I$7:$I$38,0,$E$7:$E$38,"&lt;&gt;Блокирано",$E$7:$E$38,"&lt;&gt;Отложено",$K$7:$K$38,"&gt;"&amp;K15)+COUNTIFS($R$7:R15,1,$I$7:I15,0,$E$7:E15,"&lt;&gt;Блокирано",$E$7:E15,"&lt;&gt;Отложено",$K$7:K15,K15),"")</f>
        <v/>
      </c>
      <c r="T15" s="21" t="str">
        <f aca="false">HYPERLINK("BDS_Plan.docx#T09","T09 в Word")</f>
        <v>T09 в Word</v>
      </c>
      <c r="U15" s="9" t="s">
        <v>104</v>
      </c>
    </row>
    <row r="16" customFormat="false" ht="60" hidden="false" customHeight="true" outlineLevel="0" collapsed="false">
      <c r="A16" s="22" t="s">
        <v>105</v>
      </c>
      <c r="B16" s="22" t="s">
        <v>13</v>
      </c>
      <c r="C16" s="23" t="s">
        <v>106</v>
      </c>
      <c r="D16" s="15" t="s">
        <v>103</v>
      </c>
      <c r="E16" s="16" t="s">
        <v>77</v>
      </c>
      <c r="F16" s="24" t="n">
        <f aca="false">Допускания!$D$6+5</f>
        <v>46291</v>
      </c>
      <c r="G16" s="18"/>
      <c r="H16" s="15"/>
      <c r="I16" s="25" t="n">
        <f aca="false">IF(E16="Готово",1,0)</f>
        <v>0</v>
      </c>
      <c r="J16" s="23" t="str">
        <f aca="false">IF(I16=1,IF(R16=1,"Готово по отметка","Отметнато; провери условията"),IF(E16="Отложено","Отложено",IF(R16=0,"Чака зависимост",IF(E16="Блокирано","Премахни блокирането",IF(F16&lt;Допускания!$D$7,"Просрочено","За изпълнение")))))</f>
        <v>Чака зависимост</v>
      </c>
      <c r="K16" s="26" t="n">
        <f aca="false">N16*O16*Q16/P16</f>
        <v>32</v>
      </c>
      <c r="L16" s="23" t="s">
        <v>88</v>
      </c>
      <c r="M16" s="23" t="s">
        <v>101</v>
      </c>
      <c r="N16" s="15" t="n">
        <v>4</v>
      </c>
      <c r="O16" s="15" t="n">
        <v>4</v>
      </c>
      <c r="P16" s="15" t="n">
        <v>1</v>
      </c>
      <c r="Q16" s="23" t="n">
        <f aca="false">IF(COUNTIFS($L$7:$L$38,A16)+COUNTIFS($M$7:$M$38,A16)&gt;0,2,1)</f>
        <v>2</v>
      </c>
      <c r="R16" s="23" t="n">
        <f aca="false">IF(AND(OR(L16="",COUNTIFS($A$7:$A$38,L16,$I$7:$I$38,1)=1),OR(M16="",COUNTIFS($A$7:$A$38,M16,$I$7:$I$38,1)=1)),1,0)</f>
        <v>0</v>
      </c>
      <c r="S16" s="23" t="str">
        <f aca="false">IF(AND(I16=0,R16=1,E16&lt;&gt;"Блокирано",E16&lt;&gt;"Отложено"),COUNTIFS($R$7:$R$38,1,$I$7:$I$38,0,$E$7:$E$38,"&lt;&gt;Блокирано",$E$7:$E$38,"&lt;&gt;Отложено",$K$7:$K$38,"&gt;"&amp;K16)+COUNTIFS($R$7:R16,1,$I$7:I16,0,$E$7:E16,"&lt;&gt;Блокирано",$E$7:E16,"&lt;&gt;Отложено",$K$7:K16,K16),"")</f>
        <v/>
      </c>
      <c r="T16" s="27" t="str">
        <f aca="false">HYPERLINK("BDS_Plan.docx#T10","T10 в Word")</f>
        <v>T10 в Word</v>
      </c>
      <c r="U16" s="23" t="s">
        <v>107</v>
      </c>
    </row>
    <row r="17" customFormat="false" ht="60" hidden="false" customHeight="true" outlineLevel="0" collapsed="false">
      <c r="A17" s="1" t="s">
        <v>108</v>
      </c>
      <c r="B17" s="1" t="s">
        <v>13</v>
      </c>
      <c r="C17" s="9" t="s">
        <v>109</v>
      </c>
      <c r="D17" s="15" t="s">
        <v>103</v>
      </c>
      <c r="E17" s="16" t="s">
        <v>77</v>
      </c>
      <c r="F17" s="17" t="n">
        <f aca="false">Допускания!$D$6+8</f>
        <v>46294</v>
      </c>
      <c r="G17" s="18"/>
      <c r="H17" s="15"/>
      <c r="I17" s="19" t="n">
        <f aca="false">IF(E17="Готово",1,0)</f>
        <v>0</v>
      </c>
      <c r="J17" s="9" t="str">
        <f aca="false">IF(I17=1,IF(R17=1,"Готово по отметка","Отметнато; провери условията"),IF(E17="Отложено","Отложено",IF(R17=0,"Чака зависимост",IF(E17="Блокирано","Премахни блокирането",IF(F17&lt;Допускания!$D$7,"Просрочено","За изпълнение")))))</f>
        <v>Чака зависимост</v>
      </c>
      <c r="K17" s="20" t="n">
        <f aca="false">N17*O17*Q17/P17</f>
        <v>12.5</v>
      </c>
      <c r="L17" s="9" t="s">
        <v>105</v>
      </c>
      <c r="M17" s="9"/>
      <c r="N17" s="15" t="n">
        <v>5</v>
      </c>
      <c r="O17" s="15" t="n">
        <v>5</v>
      </c>
      <c r="P17" s="15" t="n">
        <v>2</v>
      </c>
      <c r="Q17" s="9" t="n">
        <f aca="false">IF(COUNTIFS($L$7:$L$38,A17)+COUNTIFS($M$7:$M$38,A17)&gt;0,2,1)</f>
        <v>1</v>
      </c>
      <c r="R17" s="9" t="n">
        <f aca="false">IF(AND(OR(L17="",COUNTIFS($A$7:$A$38,L17,$I$7:$I$38,1)=1),OR(M17="",COUNTIFS($A$7:$A$38,M17,$I$7:$I$38,1)=1)),1,0)</f>
        <v>0</v>
      </c>
      <c r="S17" s="9" t="str">
        <f aca="false">IF(AND(I17=0,R17=1,E17&lt;&gt;"Блокирано",E17&lt;&gt;"Отложено"),COUNTIFS($R$7:$R$38,1,$I$7:$I$38,0,$E$7:$E$38,"&lt;&gt;Блокирано",$E$7:$E$38,"&lt;&gt;Отложено",$K$7:$K$38,"&gt;"&amp;K17)+COUNTIFS($R$7:R17,1,$I$7:I17,0,$E$7:E17,"&lt;&gt;Блокирано",$E$7:E17,"&lt;&gt;Отложено",$K$7:K17,K17),"")</f>
        <v/>
      </c>
      <c r="T17" s="21" t="str">
        <f aca="false">HYPERLINK("BDS_Plan.docx#T11","T11 в Word")</f>
        <v>T11 в Word</v>
      </c>
      <c r="U17" s="9" t="s">
        <v>110</v>
      </c>
    </row>
    <row r="18" customFormat="false" ht="60" hidden="false" customHeight="true" outlineLevel="0" collapsed="false">
      <c r="A18" s="22" t="s">
        <v>111</v>
      </c>
      <c r="B18" s="22" t="s">
        <v>13</v>
      </c>
      <c r="C18" s="23" t="s">
        <v>112</v>
      </c>
      <c r="D18" s="15" t="s">
        <v>76</v>
      </c>
      <c r="E18" s="16" t="s">
        <v>77</v>
      </c>
      <c r="F18" s="24" t="n">
        <f aca="false">Допускания!$D$6+11</f>
        <v>46297</v>
      </c>
      <c r="G18" s="18"/>
      <c r="H18" s="15"/>
      <c r="I18" s="25" t="n">
        <f aca="false">IF(E18="Готово",1,0)</f>
        <v>0</v>
      </c>
      <c r="J18" s="23" t="str">
        <f aca="false">IF(I18=1,IF(R18=1,"Готово по отметка","Отметнато; провери условията"),IF(E18="Отложено","Отложено",IF(R18=0,"Чака зависимост",IF(E18="Блокирано","Премахни блокирането",IF(F18&lt;Допускания!$D$7,"Просрочено","За изпълнение")))))</f>
        <v>Чака зависимост</v>
      </c>
      <c r="K18" s="26" t="n">
        <f aca="false">N18*O18*Q18/P18</f>
        <v>16.6666666666667</v>
      </c>
      <c r="L18" s="23" t="s">
        <v>105</v>
      </c>
      <c r="M18" s="23"/>
      <c r="N18" s="15" t="n">
        <v>5</v>
      </c>
      <c r="O18" s="15" t="n">
        <v>5</v>
      </c>
      <c r="P18" s="15" t="n">
        <v>3</v>
      </c>
      <c r="Q18" s="23" t="n">
        <f aca="false">IF(COUNTIFS($L$7:$L$38,A18)+COUNTIFS($M$7:$M$38,A18)&gt;0,2,1)</f>
        <v>2</v>
      </c>
      <c r="R18" s="23" t="n">
        <f aca="false">IF(AND(OR(L18="",COUNTIFS($A$7:$A$38,L18,$I$7:$I$38,1)=1),OR(M18="",COUNTIFS($A$7:$A$38,M18,$I$7:$I$38,1)=1)),1,0)</f>
        <v>0</v>
      </c>
      <c r="S18" s="23" t="str">
        <f aca="false">IF(AND(I18=0,R18=1,E18&lt;&gt;"Блокирано",E18&lt;&gt;"Отложено"),COUNTIFS($R$7:$R$38,1,$I$7:$I$38,0,$E$7:$E$38,"&lt;&gt;Блокирано",$E$7:$E$38,"&lt;&gt;Отложено",$K$7:$K$38,"&gt;"&amp;K18)+COUNTIFS($R$7:R18,1,$I$7:I18,0,$E$7:E18,"&lt;&gt;Блокирано",$E$7:E18,"&lt;&gt;Отложено",$K$7:K18,K18),"")</f>
        <v/>
      </c>
      <c r="T18" s="27" t="str">
        <f aca="false">HYPERLINK("BDS_Plan.docx#T12","T12 в Word")</f>
        <v>T12 в Word</v>
      </c>
      <c r="U18" s="23" t="s">
        <v>113</v>
      </c>
    </row>
    <row r="19" customFormat="false" ht="60" hidden="false" customHeight="true" outlineLevel="0" collapsed="false">
      <c r="A19" s="1" t="s">
        <v>114</v>
      </c>
      <c r="B19" s="1" t="s">
        <v>13</v>
      </c>
      <c r="C19" s="9" t="s">
        <v>115</v>
      </c>
      <c r="D19" s="15" t="s">
        <v>76</v>
      </c>
      <c r="E19" s="16" t="s">
        <v>77</v>
      </c>
      <c r="F19" s="17" t="n">
        <f aca="false">Допускания!$D$6+12</f>
        <v>46298</v>
      </c>
      <c r="G19" s="18"/>
      <c r="H19" s="15"/>
      <c r="I19" s="19" t="n">
        <f aca="false">IF(E19="Готово",1,0)</f>
        <v>0</v>
      </c>
      <c r="J19" s="9" t="str">
        <f aca="false">IF(I19=1,IF(R19=1,"Готово по отметка","Отметнато; провери условията"),IF(E19="Отложено","Отложено",IF(R19=0,"Чака зависимост",IF(E19="Блокирано","Премахни блокирането",IF(F19&lt;Допускания!$D$7,"Просрочено","За изпълнение")))))</f>
        <v>Чака зависимост</v>
      </c>
      <c r="K19" s="20" t="n">
        <f aca="false">N19*O19*Q19/P19</f>
        <v>8.33333333333333</v>
      </c>
      <c r="L19" s="9" t="s">
        <v>88</v>
      </c>
      <c r="M19" s="9" t="s">
        <v>101</v>
      </c>
      <c r="N19" s="15" t="n">
        <v>5</v>
      </c>
      <c r="O19" s="15" t="n">
        <v>5</v>
      </c>
      <c r="P19" s="15" t="n">
        <v>3</v>
      </c>
      <c r="Q19" s="9" t="n">
        <f aca="false">IF(COUNTIFS($L$7:$L$38,A19)+COUNTIFS($M$7:$M$38,A19)&gt;0,2,1)</f>
        <v>1</v>
      </c>
      <c r="R19" s="9" t="n">
        <f aca="false">IF(AND(OR(L19="",COUNTIFS($A$7:$A$38,L19,$I$7:$I$38,1)=1),OR(M19="",COUNTIFS($A$7:$A$38,M19,$I$7:$I$38,1)=1)),1,0)</f>
        <v>0</v>
      </c>
      <c r="S19" s="9" t="str">
        <f aca="false">IF(AND(I19=0,R19=1,E19&lt;&gt;"Блокирано",E19&lt;&gt;"Отложено"),COUNTIFS($R$7:$R$38,1,$I$7:$I$38,0,$E$7:$E$38,"&lt;&gt;Блокирано",$E$7:$E$38,"&lt;&gt;Отложено",$K$7:$K$38,"&gt;"&amp;K19)+COUNTIFS($R$7:R19,1,$I$7:I19,0,$E$7:E19,"&lt;&gt;Блокирано",$E$7:E19,"&lt;&gt;Отложено",$K$7:K19,K19),"")</f>
        <v/>
      </c>
      <c r="T19" s="21" t="str">
        <f aca="false">HYPERLINK("BDS_Plan.docx#T13","T13 в Word")</f>
        <v>T13 в Word</v>
      </c>
      <c r="U19" s="9" t="s">
        <v>116</v>
      </c>
    </row>
    <row r="20" customFormat="false" ht="60" hidden="false" customHeight="true" outlineLevel="0" collapsed="false">
      <c r="A20" s="22" t="s">
        <v>117</v>
      </c>
      <c r="B20" s="22" t="s">
        <v>13</v>
      </c>
      <c r="C20" s="23" t="s">
        <v>118</v>
      </c>
      <c r="D20" s="15" t="s">
        <v>76</v>
      </c>
      <c r="E20" s="16" t="s">
        <v>77</v>
      </c>
      <c r="F20" s="24" t="n">
        <f aca="false">Допускания!$D$6+12</f>
        <v>46298</v>
      </c>
      <c r="G20" s="18"/>
      <c r="H20" s="15"/>
      <c r="I20" s="25" t="n">
        <f aca="false">IF(E20="Готово",1,0)</f>
        <v>0</v>
      </c>
      <c r="J20" s="23" t="str">
        <f aca="false">IF(I20=1,IF(R20=1,"Готово по отметка","Отметнато; провери условията"),IF(E20="Отложено","Отложено",IF(R20=0,"Чака зависимост",IF(E20="Блокирано","Премахни блокирането",IF(F20&lt;Допускания!$D$7,"Просрочено","За изпълнение")))))</f>
        <v>Чака зависимост</v>
      </c>
      <c r="K20" s="26" t="n">
        <f aca="false">N20*O20*Q20/P20</f>
        <v>12.5</v>
      </c>
      <c r="L20" s="23" t="s">
        <v>91</v>
      </c>
      <c r="M20" s="23" t="s">
        <v>101</v>
      </c>
      <c r="N20" s="15" t="n">
        <v>5</v>
      </c>
      <c r="O20" s="15" t="n">
        <v>5</v>
      </c>
      <c r="P20" s="15" t="n">
        <v>2</v>
      </c>
      <c r="Q20" s="23" t="n">
        <f aca="false">IF(COUNTIFS($L$7:$L$38,A20)+COUNTIFS($M$7:$M$38,A20)&gt;0,2,1)</f>
        <v>1</v>
      </c>
      <c r="R20" s="23" t="n">
        <f aca="false">IF(AND(OR(L20="",COUNTIFS($A$7:$A$38,L20,$I$7:$I$38,1)=1),OR(M20="",COUNTIFS($A$7:$A$38,M20,$I$7:$I$38,1)=1)),1,0)</f>
        <v>0</v>
      </c>
      <c r="S20" s="23" t="str">
        <f aca="false">IF(AND(I20=0,R20=1,E20&lt;&gt;"Блокирано",E20&lt;&gt;"Отложено"),COUNTIFS($R$7:$R$38,1,$I$7:$I$38,0,$E$7:$E$38,"&lt;&gt;Блокирано",$E$7:$E$38,"&lt;&gt;Отложено",$K$7:$K$38,"&gt;"&amp;K20)+COUNTIFS($R$7:R20,1,$I$7:I20,0,$E$7:E20,"&lt;&gt;Блокирано",$E$7:E20,"&lt;&gt;Отложено",$K$7:K20,K20),"")</f>
        <v/>
      </c>
      <c r="T20" s="27" t="str">
        <f aca="false">HYPERLINK("BDS_Plan.docx#T14","T14 в Word")</f>
        <v>T14 в Word</v>
      </c>
      <c r="U20" s="23" t="s">
        <v>119</v>
      </c>
    </row>
    <row r="21" customFormat="false" ht="60" hidden="false" customHeight="true" outlineLevel="0" collapsed="false">
      <c r="A21" s="1" t="s">
        <v>120</v>
      </c>
      <c r="B21" s="1" t="s">
        <v>13</v>
      </c>
      <c r="C21" s="9" t="s">
        <v>121</v>
      </c>
      <c r="D21" s="15" t="s">
        <v>76</v>
      </c>
      <c r="E21" s="16" t="s">
        <v>77</v>
      </c>
      <c r="F21" s="17" t="n">
        <f aca="false">Допускания!$D$6+13</f>
        <v>46299</v>
      </c>
      <c r="G21" s="18"/>
      <c r="H21" s="15"/>
      <c r="I21" s="19" t="n">
        <f aca="false">IF(E21="Готово",1,0)</f>
        <v>0</v>
      </c>
      <c r="J21" s="9" t="str">
        <f aca="false">IF(I21=1,IF(R21=1,"Готово по отметка","Отметнато; провери условията"),IF(E21="Отложено","Отложено",IF(R21=0,"Чака зависимост",IF(E21="Блокирано","Премахни блокирането",IF(F21&lt;Допускания!$D$7,"Просрочено","За изпълнение")))))</f>
        <v>Чака зависимост</v>
      </c>
      <c r="K21" s="20" t="n">
        <f aca="false">N21*O21*Q21/P21</f>
        <v>25</v>
      </c>
      <c r="L21" s="9" t="s">
        <v>91</v>
      </c>
      <c r="M21" s="9" t="s">
        <v>101</v>
      </c>
      <c r="N21" s="15" t="n">
        <v>5</v>
      </c>
      <c r="O21" s="15" t="n">
        <v>5</v>
      </c>
      <c r="P21" s="15" t="n">
        <v>2</v>
      </c>
      <c r="Q21" s="9" t="n">
        <f aca="false">IF(COUNTIFS($L$7:$L$38,A21)+COUNTIFS($M$7:$M$38,A21)&gt;0,2,1)</f>
        <v>2</v>
      </c>
      <c r="R21" s="9" t="n">
        <f aca="false">IF(AND(OR(L21="",COUNTIFS($A$7:$A$38,L21,$I$7:$I$38,1)=1),OR(M21="",COUNTIFS($A$7:$A$38,M21,$I$7:$I$38,1)=1)),1,0)</f>
        <v>0</v>
      </c>
      <c r="S21" s="9" t="str">
        <f aca="false">IF(AND(I21=0,R21=1,E21&lt;&gt;"Блокирано",E21&lt;&gt;"Отложено"),COUNTIFS($R$7:$R$38,1,$I$7:$I$38,0,$E$7:$E$38,"&lt;&gt;Блокирано",$E$7:$E$38,"&lt;&gt;Отложено",$K$7:$K$38,"&gt;"&amp;K21)+COUNTIFS($R$7:R21,1,$I$7:I21,0,$E$7:E21,"&lt;&gt;Блокирано",$E$7:E21,"&lt;&gt;Отложено",$K$7:K21,K21),"")</f>
        <v/>
      </c>
      <c r="T21" s="21" t="str">
        <f aca="false">HYPERLINK("BDS_Plan.docx#T15","T15 в Word")</f>
        <v>T15 в Word</v>
      </c>
      <c r="U21" s="9" t="s">
        <v>122</v>
      </c>
    </row>
    <row r="22" customFormat="false" ht="60" hidden="false" customHeight="true" outlineLevel="0" collapsed="false">
      <c r="A22" s="22" t="s">
        <v>123</v>
      </c>
      <c r="B22" s="22" t="s">
        <v>13</v>
      </c>
      <c r="C22" s="23" t="s">
        <v>124</v>
      </c>
      <c r="D22" s="15" t="s">
        <v>125</v>
      </c>
      <c r="E22" s="16" t="s">
        <v>77</v>
      </c>
      <c r="F22" s="24" t="n">
        <f aca="false">Допускания!$D$6+9</f>
        <v>46295</v>
      </c>
      <c r="G22" s="18"/>
      <c r="H22" s="15"/>
      <c r="I22" s="25" t="n">
        <f aca="false">IF(E22="Готово",1,0)</f>
        <v>0</v>
      </c>
      <c r="J22" s="23" t="str">
        <f aca="false">IF(I22=1,IF(R22=1,"Готово по отметка","Отметнато; провери условията"),IF(E22="Отложено","Отложено",IF(R22=0,"Чака зависимост",IF(E22="Блокирано","Премахни блокирането",IF(F22&lt;Допускания!$D$7,"Просрочено","За изпълнение")))))</f>
        <v>Чака зависимост</v>
      </c>
      <c r="K22" s="26" t="n">
        <f aca="false">N22*O22*Q22/P22</f>
        <v>16</v>
      </c>
      <c r="L22" s="23" t="s">
        <v>91</v>
      </c>
      <c r="M22" s="23" t="s">
        <v>101</v>
      </c>
      <c r="N22" s="15" t="n">
        <v>4</v>
      </c>
      <c r="O22" s="15" t="n">
        <v>4</v>
      </c>
      <c r="P22" s="15" t="n">
        <v>2</v>
      </c>
      <c r="Q22" s="23" t="n">
        <f aca="false">IF(COUNTIFS($L$7:$L$38,A22)+COUNTIFS($M$7:$M$38,A22)&gt;0,2,1)</f>
        <v>2</v>
      </c>
      <c r="R22" s="23" t="n">
        <f aca="false">IF(AND(OR(L22="",COUNTIFS($A$7:$A$38,L22,$I$7:$I$38,1)=1),OR(M22="",COUNTIFS($A$7:$A$38,M22,$I$7:$I$38,1)=1)),1,0)</f>
        <v>0</v>
      </c>
      <c r="S22" s="23" t="str">
        <f aca="false">IF(AND(I22=0,R22=1,E22&lt;&gt;"Блокирано",E22&lt;&gt;"Отложено"),COUNTIFS($R$7:$R$38,1,$I$7:$I$38,0,$E$7:$E$38,"&lt;&gt;Блокирано",$E$7:$E$38,"&lt;&gt;Отложено",$K$7:$K$38,"&gt;"&amp;K22)+COUNTIFS($R$7:R22,1,$I$7:I22,0,$E$7:E22,"&lt;&gt;Блокирано",$E$7:E22,"&lt;&gt;Отложено",$K$7:K22,K22),"")</f>
        <v/>
      </c>
      <c r="T22" s="27" t="str">
        <f aca="false">HYPERLINK("BDS_Plan.docx#T16","T16 в Word")</f>
        <v>T16 в Word</v>
      </c>
      <c r="U22" s="23" t="s">
        <v>126</v>
      </c>
    </row>
    <row r="23" customFormat="false" ht="60" hidden="false" customHeight="true" outlineLevel="0" collapsed="false">
      <c r="A23" s="1" t="s">
        <v>127</v>
      </c>
      <c r="B23" s="1" t="s">
        <v>13</v>
      </c>
      <c r="C23" s="9" t="s">
        <v>128</v>
      </c>
      <c r="D23" s="15" t="s">
        <v>76</v>
      </c>
      <c r="E23" s="16" t="s">
        <v>77</v>
      </c>
      <c r="F23" s="17" t="n">
        <f aca="false">Допускания!$D$6+13</f>
        <v>46299</v>
      </c>
      <c r="G23" s="18"/>
      <c r="H23" s="15"/>
      <c r="I23" s="19" t="n">
        <f aca="false">IF(E23="Готово",1,0)</f>
        <v>0</v>
      </c>
      <c r="J23" s="9" t="str">
        <f aca="false">IF(I23=1,IF(R23=1,"Готово по отметка","Отметнато; провери условията"),IF(E23="Отложено","Отложено",IF(R23=0,"Чака зависимост",IF(E23="Блокирано","Премахни блокирането",IF(F23&lt;Допускания!$D$7,"Просрочено","За изпълнение")))))</f>
        <v>Чака зависимост</v>
      </c>
      <c r="K23" s="20" t="n">
        <f aca="false">N23*O23*Q23/P23</f>
        <v>25</v>
      </c>
      <c r="L23" s="9" t="s">
        <v>85</v>
      </c>
      <c r="M23" s="9" t="s">
        <v>111</v>
      </c>
      <c r="N23" s="15" t="n">
        <v>5</v>
      </c>
      <c r="O23" s="15" t="n">
        <v>5</v>
      </c>
      <c r="P23" s="15" t="n">
        <v>1</v>
      </c>
      <c r="Q23" s="9" t="n">
        <f aca="false">IF(COUNTIFS($L$7:$L$38,A23)+COUNTIFS($M$7:$M$38,A23)&gt;0,2,1)</f>
        <v>1</v>
      </c>
      <c r="R23" s="9" t="n">
        <f aca="false">IF(AND(OR(L23="",COUNTIFS($A$7:$A$38,L23,$I$7:$I$38,1)=1),OR(M23="",COUNTIFS($A$7:$A$38,M23,$I$7:$I$38,1)=1)),1,0)</f>
        <v>0</v>
      </c>
      <c r="S23" s="9" t="str">
        <f aca="false">IF(AND(I23=0,R23=1,E23&lt;&gt;"Блокирано",E23&lt;&gt;"Отложено"),COUNTIFS($R$7:$R$38,1,$I$7:$I$38,0,$E$7:$E$38,"&lt;&gt;Блокирано",$E$7:$E$38,"&lt;&gt;Отложено",$K$7:$K$38,"&gt;"&amp;K23)+COUNTIFS($R$7:R23,1,$I$7:I23,0,$E$7:E23,"&lt;&gt;Блокирано",$E$7:E23,"&lt;&gt;Отложено",$K$7:K23,K23),"")</f>
        <v/>
      </c>
      <c r="T23" s="21" t="str">
        <f aca="false">HYPERLINK("BDS_Plan.docx#T17","T17 в Word")</f>
        <v>T17 в Word</v>
      </c>
      <c r="U23" s="9" t="s">
        <v>129</v>
      </c>
    </row>
    <row r="24" customFormat="false" ht="60" hidden="false" customHeight="true" outlineLevel="0" collapsed="false">
      <c r="A24" s="22" t="s">
        <v>130</v>
      </c>
      <c r="B24" s="22" t="s">
        <v>14</v>
      </c>
      <c r="C24" s="23" t="s">
        <v>131</v>
      </c>
      <c r="D24" s="15" t="s">
        <v>132</v>
      </c>
      <c r="E24" s="16" t="s">
        <v>77</v>
      </c>
      <c r="F24" s="24" t="n">
        <f aca="false">Допускания!$D$6+20</f>
        <v>46306</v>
      </c>
      <c r="G24" s="18"/>
      <c r="H24" s="15"/>
      <c r="I24" s="25" t="n">
        <f aca="false">IF(E24="Готово",1,0)</f>
        <v>0</v>
      </c>
      <c r="J24" s="23" t="str">
        <f aca="false">IF(I24=1,IF(R24=1,"Готово по отметка","Отметнато; провери условията"),IF(E24="Отложено","Отложено",IF(R24=0,"Чака зависимост",IF(E24="Блокирано","Премахни блокирането",IF(F24&lt;Допускания!$D$7,"Просрочено","За изпълнение")))))</f>
        <v>Чака зависимост</v>
      </c>
      <c r="K24" s="26" t="n">
        <f aca="false">N24*O24*Q24/P24</f>
        <v>13.3333333333333</v>
      </c>
      <c r="L24" s="23" t="s">
        <v>91</v>
      </c>
      <c r="M24" s="23" t="s">
        <v>123</v>
      </c>
      <c r="N24" s="15" t="n">
        <v>5</v>
      </c>
      <c r="O24" s="15" t="n">
        <v>4</v>
      </c>
      <c r="P24" s="15" t="n">
        <v>3</v>
      </c>
      <c r="Q24" s="23" t="n">
        <f aca="false">IF(COUNTIFS($L$7:$L$38,A24)+COUNTIFS($M$7:$M$38,A24)&gt;0,2,1)</f>
        <v>2</v>
      </c>
      <c r="R24" s="23" t="n">
        <f aca="false">IF(AND(OR(L24="",COUNTIFS($A$7:$A$38,L24,$I$7:$I$38,1)=1),OR(M24="",COUNTIFS($A$7:$A$38,M24,$I$7:$I$38,1)=1)),1,0)</f>
        <v>0</v>
      </c>
      <c r="S24" s="23" t="str">
        <f aca="false">IF(AND(I24=0,R24=1,E24&lt;&gt;"Блокирано",E24&lt;&gt;"Отложено"),COUNTIFS($R$7:$R$38,1,$I$7:$I$38,0,$E$7:$E$38,"&lt;&gt;Блокирано",$E$7:$E$38,"&lt;&gt;Отложено",$K$7:$K$38,"&gt;"&amp;K24)+COUNTIFS($R$7:R24,1,$I$7:I24,0,$E$7:E24,"&lt;&gt;Блокирано",$E$7:E24,"&lt;&gt;Отложено",$K$7:K24,K24),"")</f>
        <v/>
      </c>
      <c r="T24" s="27" t="str">
        <f aca="false">HYPERLINK("BDS_Plan.docx#T18","T18 в Word")</f>
        <v>T18 в Word</v>
      </c>
      <c r="U24" s="23" t="s">
        <v>133</v>
      </c>
    </row>
    <row r="25" customFormat="false" ht="60" hidden="false" customHeight="true" outlineLevel="0" collapsed="false">
      <c r="A25" s="1" t="s">
        <v>134</v>
      </c>
      <c r="B25" s="1" t="s">
        <v>14</v>
      </c>
      <c r="C25" s="9" t="s">
        <v>135</v>
      </c>
      <c r="D25" s="15" t="s">
        <v>76</v>
      </c>
      <c r="E25" s="16" t="s">
        <v>77</v>
      </c>
      <c r="F25" s="17" t="n">
        <f aca="false">Допускания!$D$6+29</f>
        <v>46315</v>
      </c>
      <c r="G25" s="18"/>
      <c r="H25" s="15"/>
      <c r="I25" s="19" t="n">
        <f aca="false">IF(E25="Готово",1,0)</f>
        <v>0</v>
      </c>
      <c r="J25" s="9" t="str">
        <f aca="false">IF(I25=1,IF(R25=1,"Готово по отметка","Отметнато; провери условията"),IF(E25="Отложено","Отложено",IF(R25=0,"Чака зависимост",IF(E25="Блокирано","Премахни блокирането",IF(F25&lt;Допускания!$D$7,"Просрочено","За изпълнение")))))</f>
        <v>Чака зависимост</v>
      </c>
      <c r="K25" s="20" t="n">
        <f aca="false">N25*O25*Q25/P25</f>
        <v>13.3333333333333</v>
      </c>
      <c r="L25" s="9" t="s">
        <v>91</v>
      </c>
      <c r="M25" s="9" t="s">
        <v>120</v>
      </c>
      <c r="N25" s="15" t="n">
        <v>5</v>
      </c>
      <c r="O25" s="15" t="n">
        <v>4</v>
      </c>
      <c r="P25" s="15" t="n">
        <v>3</v>
      </c>
      <c r="Q25" s="9" t="n">
        <f aca="false">IF(COUNTIFS($L$7:$L$38,A25)+COUNTIFS($M$7:$M$38,A25)&gt;0,2,1)</f>
        <v>2</v>
      </c>
      <c r="R25" s="9" t="n">
        <f aca="false">IF(AND(OR(L25="",COUNTIFS($A$7:$A$38,L25,$I$7:$I$38,1)=1),OR(M25="",COUNTIFS($A$7:$A$38,M25,$I$7:$I$38,1)=1)),1,0)</f>
        <v>0</v>
      </c>
      <c r="S25" s="9" t="str">
        <f aca="false">IF(AND(I25=0,R25=1,E25&lt;&gt;"Блокирано",E25&lt;&gt;"Отложено"),COUNTIFS($R$7:$R$38,1,$I$7:$I$38,0,$E$7:$E$38,"&lt;&gt;Блокирано",$E$7:$E$38,"&lt;&gt;Отложено",$K$7:$K$38,"&gt;"&amp;K25)+COUNTIFS($R$7:R25,1,$I$7:I25,0,$E$7:E25,"&lt;&gt;Блокирано",$E$7:E25,"&lt;&gt;Отложено",$K$7:K25,K25),"")</f>
        <v/>
      </c>
      <c r="T25" s="21" t="str">
        <f aca="false">HYPERLINK("BDS_Plan.docx#T19","T19 в Word")</f>
        <v>T19 в Word</v>
      </c>
      <c r="U25" s="9" t="s">
        <v>136</v>
      </c>
    </row>
    <row r="26" customFormat="false" ht="60" hidden="false" customHeight="true" outlineLevel="0" collapsed="false">
      <c r="A26" s="22" t="s">
        <v>137</v>
      </c>
      <c r="B26" s="22" t="s">
        <v>14</v>
      </c>
      <c r="C26" s="23" t="s">
        <v>138</v>
      </c>
      <c r="D26" s="15" t="s">
        <v>125</v>
      </c>
      <c r="E26" s="16" t="s">
        <v>77</v>
      </c>
      <c r="F26" s="24" t="n">
        <f aca="false">Допускания!$D$6+20</f>
        <v>46306</v>
      </c>
      <c r="G26" s="18"/>
      <c r="H26" s="15"/>
      <c r="I26" s="25" t="n">
        <f aca="false">IF(E26="Готово",1,0)</f>
        <v>0</v>
      </c>
      <c r="J26" s="23" t="str">
        <f aca="false">IF(I26=1,IF(R26=1,"Готово по отметка","Отметнато; провери условията"),IF(E26="Отложено","Отложено",IF(R26=0,"Чака зависимост",IF(E26="Блокирано","Премахни блокирането",IF(F26&lt;Допускания!$D$7,"Просрочено","За изпълнение")))))</f>
        <v>Чака зависимост</v>
      </c>
      <c r="K26" s="26" t="n">
        <f aca="false">N26*O26*Q26/P26</f>
        <v>32</v>
      </c>
      <c r="L26" s="23" t="s">
        <v>74</v>
      </c>
      <c r="M26" s="23" t="s">
        <v>101</v>
      </c>
      <c r="N26" s="15" t="n">
        <v>4</v>
      </c>
      <c r="O26" s="15" t="n">
        <v>4</v>
      </c>
      <c r="P26" s="15" t="n">
        <v>1</v>
      </c>
      <c r="Q26" s="23" t="n">
        <f aca="false">IF(COUNTIFS($L$7:$L$38,A26)+COUNTIFS($M$7:$M$38,A26)&gt;0,2,1)</f>
        <v>2</v>
      </c>
      <c r="R26" s="23" t="n">
        <f aca="false">IF(AND(OR(L26="",COUNTIFS($A$7:$A$38,L26,$I$7:$I$38,1)=1),OR(M26="",COUNTIFS($A$7:$A$38,M26,$I$7:$I$38,1)=1)),1,0)</f>
        <v>0</v>
      </c>
      <c r="S26" s="23" t="str">
        <f aca="false">IF(AND(I26=0,R26=1,E26&lt;&gt;"Блокирано",E26&lt;&gt;"Отложено"),COUNTIFS($R$7:$R$38,1,$I$7:$I$38,0,$E$7:$E$38,"&lt;&gt;Блокирано",$E$7:$E$38,"&lt;&gt;Отложено",$K$7:$K$38,"&gt;"&amp;K26)+COUNTIFS($R$7:R26,1,$I$7:I26,0,$E$7:E26,"&lt;&gt;Блокирано",$E$7:E26,"&lt;&gt;Отложено",$K$7:K26,K26),"")</f>
        <v/>
      </c>
      <c r="T26" s="27" t="str">
        <f aca="false">HYPERLINK("BDS_Plan.docx#T20","T20 в Word")</f>
        <v>T20 в Word</v>
      </c>
      <c r="U26" s="23" t="s">
        <v>139</v>
      </c>
    </row>
    <row r="27" customFormat="false" ht="60" hidden="false" customHeight="true" outlineLevel="0" collapsed="false">
      <c r="A27" s="1" t="s">
        <v>140</v>
      </c>
      <c r="B27" s="1" t="s">
        <v>14</v>
      </c>
      <c r="C27" s="9" t="s">
        <v>141</v>
      </c>
      <c r="D27" s="15" t="s">
        <v>76</v>
      </c>
      <c r="E27" s="16" t="s">
        <v>77</v>
      </c>
      <c r="F27" s="17" t="n">
        <f aca="false">Допускания!$D$6+29</f>
        <v>46315</v>
      </c>
      <c r="G27" s="18"/>
      <c r="H27" s="15"/>
      <c r="I27" s="19" t="n">
        <f aca="false">IF(E27="Готово",1,0)</f>
        <v>0</v>
      </c>
      <c r="J27" s="9" t="str">
        <f aca="false">IF(I27=1,IF(R27=1,"Готово по отметка","Отметнато; провери условията"),IF(E27="Отложено","Отложено",IF(R27=0,"Чака зависимост",IF(E27="Блокирано","Премахни блокирането",IF(F27&lt;Допускания!$D$7,"Просрочено","За изпълнение")))))</f>
        <v>Чака зависимост</v>
      </c>
      <c r="K27" s="20" t="n">
        <f aca="false">N27*O27*Q27/P27</f>
        <v>20</v>
      </c>
      <c r="L27" s="9" t="s">
        <v>130</v>
      </c>
      <c r="M27" s="9"/>
      <c r="N27" s="15" t="n">
        <v>5</v>
      </c>
      <c r="O27" s="15" t="n">
        <v>4</v>
      </c>
      <c r="P27" s="15" t="n">
        <v>2</v>
      </c>
      <c r="Q27" s="9" t="n">
        <f aca="false">IF(COUNTIFS($L$7:$L$38,A27)+COUNTIFS($M$7:$M$38,A27)&gt;0,2,1)</f>
        <v>2</v>
      </c>
      <c r="R27" s="9" t="n">
        <f aca="false">IF(AND(OR(L27="",COUNTIFS($A$7:$A$38,L27,$I$7:$I$38,1)=1),OR(M27="",COUNTIFS($A$7:$A$38,M27,$I$7:$I$38,1)=1)),1,0)</f>
        <v>0</v>
      </c>
      <c r="S27" s="9" t="str">
        <f aca="false">IF(AND(I27=0,R27=1,E27&lt;&gt;"Блокирано",E27&lt;&gt;"Отложено"),COUNTIFS($R$7:$R$38,1,$I$7:$I$38,0,$E$7:$E$38,"&lt;&gt;Блокирано",$E$7:$E$38,"&lt;&gt;Отложено",$K$7:$K$38,"&gt;"&amp;K27)+COUNTIFS($R$7:R27,1,$I$7:I27,0,$E$7:E27,"&lt;&gt;Блокирано",$E$7:E27,"&lt;&gt;Отложено",$K$7:K27,K27),"")</f>
        <v/>
      </c>
      <c r="T27" s="21" t="str">
        <f aca="false">HYPERLINK("BDS_Plan.docx#T21","T21 в Word")</f>
        <v>T21 в Word</v>
      </c>
      <c r="U27" s="9" t="s">
        <v>142</v>
      </c>
    </row>
    <row r="28" customFormat="false" ht="60" hidden="false" customHeight="true" outlineLevel="0" collapsed="false">
      <c r="A28" s="22" t="s">
        <v>143</v>
      </c>
      <c r="B28" s="22" t="s">
        <v>14</v>
      </c>
      <c r="C28" s="23" t="s">
        <v>144</v>
      </c>
      <c r="D28" s="15" t="s">
        <v>76</v>
      </c>
      <c r="E28" s="16" t="s">
        <v>77</v>
      </c>
      <c r="F28" s="24" t="n">
        <f aca="false">Допускания!$D$6+29</f>
        <v>46315</v>
      </c>
      <c r="G28" s="18"/>
      <c r="H28" s="15"/>
      <c r="I28" s="25" t="n">
        <f aca="false">IF(E28="Готово",1,0)</f>
        <v>0</v>
      </c>
      <c r="J28" s="23" t="str">
        <f aca="false">IF(I28=1,IF(R28=1,"Готово по отметка","Отметнато; провери условията"),IF(E28="Отложено","Отложено",IF(R28=0,"Чака зависимост",IF(E28="Блокирано","Премахни блокирането",IF(F28&lt;Допускания!$D$7,"Просрочено","За изпълнение")))))</f>
        <v>Чака зависимост</v>
      </c>
      <c r="K28" s="26" t="n">
        <f aca="false">N28*O28*Q28/P28</f>
        <v>6</v>
      </c>
      <c r="L28" s="23" t="s">
        <v>137</v>
      </c>
      <c r="M28" s="23" t="s">
        <v>140</v>
      </c>
      <c r="N28" s="15" t="n">
        <v>4</v>
      </c>
      <c r="O28" s="15" t="n">
        <v>3</v>
      </c>
      <c r="P28" s="15" t="n">
        <v>2</v>
      </c>
      <c r="Q28" s="23" t="n">
        <f aca="false">IF(COUNTIFS($L$7:$L$38,A28)+COUNTIFS($M$7:$M$38,A28)&gt;0,2,1)</f>
        <v>1</v>
      </c>
      <c r="R28" s="23" t="n">
        <f aca="false">IF(AND(OR(L28="",COUNTIFS($A$7:$A$38,L28,$I$7:$I$38,1)=1),OR(M28="",COUNTIFS($A$7:$A$38,M28,$I$7:$I$38,1)=1)),1,0)</f>
        <v>0</v>
      </c>
      <c r="S28" s="23" t="str">
        <f aca="false">IF(AND(I28=0,R28=1,E28&lt;&gt;"Блокирано",E28&lt;&gt;"Отложено"),COUNTIFS($R$7:$R$38,1,$I$7:$I$38,0,$E$7:$E$38,"&lt;&gt;Блокирано",$E$7:$E$38,"&lt;&gt;Отложено",$K$7:$K$38,"&gt;"&amp;K28)+COUNTIFS($R$7:R28,1,$I$7:I28,0,$E$7:E28,"&lt;&gt;Блокирано",$E$7:E28,"&lt;&gt;Отложено",$K$7:K28,K28),"")</f>
        <v/>
      </c>
      <c r="T28" s="27" t="str">
        <f aca="false">HYPERLINK("BDS_Plan.docx#T22","T22 в Word")</f>
        <v>T22 в Word</v>
      </c>
      <c r="U28" s="23" t="s">
        <v>145</v>
      </c>
    </row>
    <row r="29" customFormat="false" ht="60" hidden="false" customHeight="true" outlineLevel="0" collapsed="false">
      <c r="A29" s="1" t="s">
        <v>146</v>
      </c>
      <c r="B29" s="1" t="s">
        <v>14</v>
      </c>
      <c r="C29" s="9" t="s">
        <v>147</v>
      </c>
      <c r="D29" s="15" t="s">
        <v>132</v>
      </c>
      <c r="E29" s="16" t="s">
        <v>77</v>
      </c>
      <c r="F29" s="17" t="n">
        <f aca="false">Допускания!$D$6+29</f>
        <v>46315</v>
      </c>
      <c r="G29" s="18"/>
      <c r="H29" s="15"/>
      <c r="I29" s="19" t="n">
        <f aca="false">IF(E29="Готово",1,0)</f>
        <v>0</v>
      </c>
      <c r="J29" s="9" t="str">
        <f aca="false">IF(I29=1,IF(R29=1,"Готово по отметка","Отметнато; провери условията"),IF(E29="Отложено","Отложено",IF(R29=0,"Чака зависимост",IF(E29="Блокирано","Премахни блокирането",IF(F29&lt;Допускания!$D$7,"Просрочено","За изпълнение")))))</f>
        <v>Чака зависимост</v>
      </c>
      <c r="K29" s="20" t="n">
        <f aca="false">N29*O29*Q29/P29</f>
        <v>20</v>
      </c>
      <c r="L29" s="9" t="s">
        <v>130</v>
      </c>
      <c r="M29" s="9" t="s">
        <v>137</v>
      </c>
      <c r="N29" s="15" t="n">
        <v>5</v>
      </c>
      <c r="O29" s="15" t="n">
        <v>4</v>
      </c>
      <c r="P29" s="15" t="n">
        <v>2</v>
      </c>
      <c r="Q29" s="9" t="n">
        <f aca="false">IF(COUNTIFS($L$7:$L$38,A29)+COUNTIFS($M$7:$M$38,A29)&gt;0,2,1)</f>
        <v>2</v>
      </c>
      <c r="R29" s="9" t="n">
        <f aca="false">IF(AND(OR(L29="",COUNTIFS($A$7:$A$38,L29,$I$7:$I$38,1)=1),OR(M29="",COUNTIFS($A$7:$A$38,M29,$I$7:$I$38,1)=1)),1,0)</f>
        <v>0</v>
      </c>
      <c r="S29" s="9" t="str">
        <f aca="false">IF(AND(I29=0,R29=1,E29&lt;&gt;"Блокирано",E29&lt;&gt;"Отложено"),COUNTIFS($R$7:$R$38,1,$I$7:$I$38,0,$E$7:$E$38,"&lt;&gt;Блокирано",$E$7:$E$38,"&lt;&gt;Отложено",$K$7:$K$38,"&gt;"&amp;K29)+COUNTIFS($R$7:R29,1,$I$7:I29,0,$E$7:E29,"&lt;&gt;Блокирано",$E$7:E29,"&lt;&gt;Отложено",$K$7:K29,K29),"")</f>
        <v/>
      </c>
      <c r="T29" s="21" t="str">
        <f aca="false">HYPERLINK("BDS_Plan.docx#T23","T23 в Word")</f>
        <v>T23 в Word</v>
      </c>
      <c r="U29" s="9" t="s">
        <v>148</v>
      </c>
    </row>
    <row r="30" customFormat="false" ht="60" hidden="false" customHeight="true" outlineLevel="0" collapsed="false">
      <c r="A30" s="22" t="s">
        <v>149</v>
      </c>
      <c r="B30" s="22" t="s">
        <v>15</v>
      </c>
      <c r="C30" s="23" t="s">
        <v>150</v>
      </c>
      <c r="D30" s="15" t="s">
        <v>151</v>
      </c>
      <c r="E30" s="16" t="s">
        <v>77</v>
      </c>
      <c r="F30" s="24" t="n">
        <f aca="false">Допускания!$D$6+74</f>
        <v>46360</v>
      </c>
      <c r="G30" s="18"/>
      <c r="H30" s="15"/>
      <c r="I30" s="25" t="n">
        <f aca="false">IF(E30="Готово",1,0)</f>
        <v>0</v>
      </c>
      <c r="J30" s="23" t="str">
        <f aca="false">IF(I30=1,IF(R30=1,"Готово по отметка","Отметнато; провери условията"),IF(E30="Отложено","Отложено",IF(R30=0,"Чака зависимост",IF(E30="Блокирано","Премахни блокирането",IF(F30&lt;Допускания!$D$7,"Просрочено","За изпълнение")))))</f>
        <v>Чака зависимост</v>
      </c>
      <c r="K30" s="26" t="n">
        <f aca="false">N30*O30*Q30/P30</f>
        <v>13.3333333333333</v>
      </c>
      <c r="L30" s="23" t="s">
        <v>134</v>
      </c>
      <c r="M30" s="23" t="s">
        <v>137</v>
      </c>
      <c r="N30" s="15" t="n">
        <v>5</v>
      </c>
      <c r="O30" s="15" t="n">
        <v>4</v>
      </c>
      <c r="P30" s="15" t="n">
        <v>3</v>
      </c>
      <c r="Q30" s="23" t="n">
        <f aca="false">IF(COUNTIFS($L$7:$L$38,A30)+COUNTIFS($M$7:$M$38,A30)&gt;0,2,1)</f>
        <v>2</v>
      </c>
      <c r="R30" s="23" t="n">
        <f aca="false">IF(AND(OR(L30="",COUNTIFS($A$7:$A$38,L30,$I$7:$I$38,1)=1),OR(M30="",COUNTIFS($A$7:$A$38,M30,$I$7:$I$38,1)=1)),1,0)</f>
        <v>0</v>
      </c>
      <c r="S30" s="23" t="str">
        <f aca="false">IF(AND(I30=0,R30=1,E30&lt;&gt;"Блокирано",E30&lt;&gt;"Отложено"),COUNTIFS($R$7:$R$38,1,$I$7:$I$38,0,$E$7:$E$38,"&lt;&gt;Блокирано",$E$7:$E$38,"&lt;&gt;Отложено",$K$7:$K$38,"&gt;"&amp;K30)+COUNTIFS($R$7:R30,1,$I$7:I30,0,$E$7:E30,"&lt;&gt;Блокирано",$E$7:E30,"&lt;&gt;Отложено",$K$7:K30,K30),"")</f>
        <v/>
      </c>
      <c r="T30" s="27" t="str">
        <f aca="false">HYPERLINK("BDS_Plan.docx#T24","T24 в Word")</f>
        <v>T24 в Word</v>
      </c>
      <c r="U30" s="23" t="s">
        <v>152</v>
      </c>
    </row>
    <row r="31" customFormat="false" ht="60" hidden="false" customHeight="true" outlineLevel="0" collapsed="false">
      <c r="A31" s="1" t="s">
        <v>153</v>
      </c>
      <c r="B31" s="1" t="s">
        <v>15</v>
      </c>
      <c r="C31" s="9" t="s">
        <v>154</v>
      </c>
      <c r="D31" s="15" t="s">
        <v>151</v>
      </c>
      <c r="E31" s="16" t="s">
        <v>77</v>
      </c>
      <c r="F31" s="17" t="n">
        <f aca="false">Допускания!$D$6+44</f>
        <v>46330</v>
      </c>
      <c r="G31" s="18"/>
      <c r="H31" s="15"/>
      <c r="I31" s="19" t="n">
        <f aca="false">IF(E31="Готово",1,0)</f>
        <v>0</v>
      </c>
      <c r="J31" s="9" t="str">
        <f aca="false">IF(I31=1,IF(R31=1,"Готово по отметка","Отметнато; провери условията"),IF(E31="Отложено","Отложено",IF(R31=0,"Чака зависимост",IF(E31="Блокирано","Премахни блокирането",IF(F31&lt;Допускания!$D$7,"Просрочено","За изпълнение")))))</f>
        <v>Чака зависимост</v>
      </c>
      <c r="K31" s="20" t="n">
        <f aca="false">N31*O31*Q31/P31</f>
        <v>20</v>
      </c>
      <c r="L31" s="9" t="s">
        <v>134</v>
      </c>
      <c r="M31" s="9" t="s">
        <v>140</v>
      </c>
      <c r="N31" s="15" t="n">
        <v>5</v>
      </c>
      <c r="O31" s="15" t="n">
        <v>4</v>
      </c>
      <c r="P31" s="15" t="n">
        <v>2</v>
      </c>
      <c r="Q31" s="9" t="n">
        <f aca="false">IF(COUNTIFS($L$7:$L$38,A31)+COUNTIFS($M$7:$M$38,A31)&gt;0,2,1)</f>
        <v>2</v>
      </c>
      <c r="R31" s="9" t="n">
        <f aca="false">IF(AND(OR(L31="",COUNTIFS($A$7:$A$38,L31,$I$7:$I$38,1)=1),OR(M31="",COUNTIFS($A$7:$A$38,M31,$I$7:$I$38,1)=1)),1,0)</f>
        <v>0</v>
      </c>
      <c r="S31" s="9" t="str">
        <f aca="false">IF(AND(I31=0,R31=1,E31&lt;&gt;"Блокирано",E31&lt;&gt;"Отложено"),COUNTIFS($R$7:$R$38,1,$I$7:$I$38,0,$E$7:$E$38,"&lt;&gt;Блокирано",$E$7:$E$38,"&lt;&gt;Отложено",$K$7:$K$38,"&gt;"&amp;K31)+COUNTIFS($R$7:R31,1,$I$7:I31,0,$E$7:E31,"&lt;&gt;Блокирано",$E$7:E31,"&lt;&gt;Отложено",$K$7:K31,K31),"")</f>
        <v/>
      </c>
      <c r="T31" s="21" t="str">
        <f aca="false">HYPERLINK("BDS_Plan.docx#T25","T25 в Word")</f>
        <v>T25 в Word</v>
      </c>
      <c r="U31" s="9" t="s">
        <v>155</v>
      </c>
    </row>
    <row r="32" customFormat="false" ht="60" hidden="false" customHeight="true" outlineLevel="0" collapsed="false">
      <c r="A32" s="22" t="s">
        <v>156</v>
      </c>
      <c r="B32" s="22" t="s">
        <v>15</v>
      </c>
      <c r="C32" s="23" t="s">
        <v>157</v>
      </c>
      <c r="D32" s="15" t="s">
        <v>125</v>
      </c>
      <c r="E32" s="16" t="s">
        <v>77</v>
      </c>
      <c r="F32" s="24" t="n">
        <f aca="false">Допускания!$D$6+59</f>
        <v>46345</v>
      </c>
      <c r="G32" s="18"/>
      <c r="H32" s="15"/>
      <c r="I32" s="25" t="n">
        <f aca="false">IF(E32="Готово",1,0)</f>
        <v>0</v>
      </c>
      <c r="J32" s="23" t="str">
        <f aca="false">IF(I32=1,IF(R32=1,"Готово по отметка","Отметнато; провери условията"),IF(E32="Отложено","Отложено",IF(R32=0,"Чака зависимост",IF(E32="Блокирано","Премахни блокирането",IF(F32&lt;Допускания!$D$7,"Просрочено","За изпълнение")))))</f>
        <v>Чака зависимост</v>
      </c>
      <c r="K32" s="26" t="n">
        <f aca="false">N32*O32*Q32/P32</f>
        <v>10</v>
      </c>
      <c r="L32" s="23" t="s">
        <v>140</v>
      </c>
      <c r="M32" s="23" t="s">
        <v>146</v>
      </c>
      <c r="N32" s="15" t="n">
        <v>5</v>
      </c>
      <c r="O32" s="15" t="n">
        <v>3</v>
      </c>
      <c r="P32" s="15" t="n">
        <v>3</v>
      </c>
      <c r="Q32" s="23" t="n">
        <f aca="false">IF(COUNTIFS($L$7:$L$38,A32)+COUNTIFS($M$7:$M$38,A32)&gt;0,2,1)</f>
        <v>2</v>
      </c>
      <c r="R32" s="23" t="n">
        <f aca="false">IF(AND(OR(L32="",COUNTIFS($A$7:$A$38,L32,$I$7:$I$38,1)=1),OR(M32="",COUNTIFS($A$7:$A$38,M32,$I$7:$I$38,1)=1)),1,0)</f>
        <v>0</v>
      </c>
      <c r="S32" s="23" t="str">
        <f aca="false">IF(AND(I32=0,R32=1,E32&lt;&gt;"Блокирано",E32&lt;&gt;"Отложено"),COUNTIFS($R$7:$R$38,1,$I$7:$I$38,0,$E$7:$E$38,"&lt;&gt;Блокирано",$E$7:$E$38,"&lt;&gt;Отложено",$K$7:$K$38,"&gt;"&amp;K32)+COUNTIFS($R$7:R32,1,$I$7:I32,0,$E$7:E32,"&lt;&gt;Блокирано",$E$7:E32,"&lt;&gt;Отложено",$K$7:K32,K32),"")</f>
        <v/>
      </c>
      <c r="T32" s="27" t="str">
        <f aca="false">HYPERLINK("BDS_Plan.docx#T26","T26 в Word")</f>
        <v>T26 в Word</v>
      </c>
      <c r="U32" s="23" t="s">
        <v>158</v>
      </c>
    </row>
    <row r="33" customFormat="false" ht="60" hidden="false" customHeight="true" outlineLevel="0" collapsed="false">
      <c r="A33" s="1" t="s">
        <v>159</v>
      </c>
      <c r="B33" s="1" t="s">
        <v>15</v>
      </c>
      <c r="C33" s="9" t="s">
        <v>160</v>
      </c>
      <c r="D33" s="15" t="s">
        <v>76</v>
      </c>
      <c r="E33" s="16" t="s">
        <v>77</v>
      </c>
      <c r="F33" s="17" t="n">
        <f aca="false">Допускания!$D$6+74</f>
        <v>46360</v>
      </c>
      <c r="G33" s="18"/>
      <c r="H33" s="15"/>
      <c r="I33" s="19" t="n">
        <f aca="false">IF(E33="Готово",1,0)</f>
        <v>0</v>
      </c>
      <c r="J33" s="9" t="str">
        <f aca="false">IF(I33=1,IF(R33=1,"Готово по отметка","Отметнато; провери условията"),IF(E33="Отложено","Отложено",IF(R33=0,"Чака зависимост",IF(E33="Блокирано","Премахни блокирането",IF(F33&lt;Допускания!$D$7,"Просрочено","За изпълнение")))))</f>
        <v>Чака зависимост</v>
      </c>
      <c r="K33" s="20" t="n">
        <f aca="false">N33*O33*Q33/P33</f>
        <v>20</v>
      </c>
      <c r="L33" s="9" t="s">
        <v>130</v>
      </c>
      <c r="M33" s="9" t="s">
        <v>149</v>
      </c>
      <c r="N33" s="15" t="n">
        <v>5</v>
      </c>
      <c r="O33" s="15" t="n">
        <v>4</v>
      </c>
      <c r="P33" s="15" t="n">
        <v>2</v>
      </c>
      <c r="Q33" s="9" t="n">
        <f aca="false">IF(COUNTIFS($L$7:$L$38,A33)+COUNTIFS($M$7:$M$38,A33)&gt;0,2,1)</f>
        <v>2</v>
      </c>
      <c r="R33" s="9" t="n">
        <f aca="false">IF(AND(OR(L33="",COUNTIFS($A$7:$A$38,L33,$I$7:$I$38,1)=1),OR(M33="",COUNTIFS($A$7:$A$38,M33,$I$7:$I$38,1)=1)),1,0)</f>
        <v>0</v>
      </c>
      <c r="S33" s="9" t="str">
        <f aca="false">IF(AND(I33=0,R33=1,E33&lt;&gt;"Блокирано",E33&lt;&gt;"Отложено"),COUNTIFS($R$7:$R$38,1,$I$7:$I$38,0,$E$7:$E$38,"&lt;&gt;Блокирано",$E$7:$E$38,"&lt;&gt;Отложено",$K$7:$K$38,"&gt;"&amp;K33)+COUNTIFS($R$7:R33,1,$I$7:I33,0,$E$7:E33,"&lt;&gt;Блокирано",$E$7:E33,"&lt;&gt;Отложено",$K$7:K33,K33),"")</f>
        <v/>
      </c>
      <c r="T33" s="21" t="str">
        <f aca="false">HYPERLINK("BDS_Plan.docx#T27","T27 в Word")</f>
        <v>T27 в Word</v>
      </c>
      <c r="U33" s="9" t="s">
        <v>161</v>
      </c>
    </row>
    <row r="34" customFormat="false" ht="60" hidden="false" customHeight="true" outlineLevel="0" collapsed="false">
      <c r="A34" s="22" t="s">
        <v>162</v>
      </c>
      <c r="B34" s="22" t="s">
        <v>15</v>
      </c>
      <c r="C34" s="23" t="s">
        <v>163</v>
      </c>
      <c r="D34" s="15" t="s">
        <v>164</v>
      </c>
      <c r="E34" s="16" t="s">
        <v>77</v>
      </c>
      <c r="F34" s="24" t="n">
        <f aca="false">Допускания!$D$6+89</f>
        <v>46375</v>
      </c>
      <c r="G34" s="18"/>
      <c r="H34" s="15"/>
      <c r="I34" s="25" t="n">
        <f aca="false">IF(E34="Готово",1,0)</f>
        <v>0</v>
      </c>
      <c r="J34" s="23" t="str">
        <f aca="false">IF(I34=1,IF(R34=1,"Готово по отметка","Отметнато; провери условията"),IF(E34="Отложено","Отложено",IF(R34=0,"Чака зависимост",IF(E34="Блокирано","Премахни блокирането",IF(F34&lt;Допускания!$D$7,"Просрочено","За изпълнение")))))</f>
        <v>Чака зависимост</v>
      </c>
      <c r="K34" s="26" t="n">
        <f aca="false">N34*O34*Q34/P34</f>
        <v>8</v>
      </c>
      <c r="L34" s="23" t="s">
        <v>159</v>
      </c>
      <c r="M34" s="23" t="s">
        <v>146</v>
      </c>
      <c r="N34" s="15" t="n">
        <v>4</v>
      </c>
      <c r="O34" s="15" t="n">
        <v>3</v>
      </c>
      <c r="P34" s="15" t="n">
        <v>3</v>
      </c>
      <c r="Q34" s="23" t="n">
        <f aca="false">IF(COUNTIFS($L$7:$L$38,A34)+COUNTIFS($M$7:$M$38,A34)&gt;0,2,1)</f>
        <v>2</v>
      </c>
      <c r="R34" s="23" t="n">
        <f aca="false">IF(AND(OR(L34="",COUNTIFS($A$7:$A$38,L34,$I$7:$I$38,1)=1),OR(M34="",COUNTIFS($A$7:$A$38,M34,$I$7:$I$38,1)=1)),1,0)</f>
        <v>0</v>
      </c>
      <c r="S34" s="23" t="str">
        <f aca="false">IF(AND(I34=0,R34=1,E34&lt;&gt;"Блокирано",E34&lt;&gt;"Отложено"),COUNTIFS($R$7:$R$38,1,$I$7:$I$38,0,$E$7:$E$38,"&lt;&gt;Блокирано",$E$7:$E$38,"&lt;&gt;Отложено",$K$7:$K$38,"&gt;"&amp;K34)+COUNTIFS($R$7:R34,1,$I$7:I34,0,$E$7:E34,"&lt;&gt;Блокирано",$E$7:E34,"&lt;&gt;Отложено",$K$7:K34,K34),"")</f>
        <v/>
      </c>
      <c r="T34" s="27" t="str">
        <f aca="false">HYPERLINK("BDS_Plan.docx#T28","T28 в Word")</f>
        <v>T28 в Word</v>
      </c>
      <c r="U34" s="23" t="s">
        <v>165</v>
      </c>
    </row>
    <row r="35" customFormat="false" ht="60" hidden="false" customHeight="true" outlineLevel="0" collapsed="false">
      <c r="A35" s="1" t="s">
        <v>166</v>
      </c>
      <c r="B35" s="1" t="s">
        <v>15</v>
      </c>
      <c r="C35" s="9" t="s">
        <v>167</v>
      </c>
      <c r="D35" s="15" t="s">
        <v>125</v>
      </c>
      <c r="E35" s="16" t="s">
        <v>77</v>
      </c>
      <c r="F35" s="17" t="n">
        <f aca="false">Допускания!$D$6+89</f>
        <v>46375</v>
      </c>
      <c r="G35" s="18"/>
      <c r="H35" s="15"/>
      <c r="I35" s="19" t="n">
        <f aca="false">IF(E35="Готово",1,0)</f>
        <v>0</v>
      </c>
      <c r="J35" s="9" t="str">
        <f aca="false">IF(I35=1,IF(R35=1,"Готово по отметка","Отметнато; провери условията"),IF(E35="Отложено","Отложено",IF(R35=0,"Чака зависимост",IF(E35="Блокирано","Премахни блокирането",IF(F35&lt;Допускания!$D$7,"Просрочено","За изпълнение")))))</f>
        <v>Чака зависимост</v>
      </c>
      <c r="K35" s="20" t="n">
        <f aca="false">N35*O35*Q35/P35</f>
        <v>13.3333333333333</v>
      </c>
      <c r="L35" s="9" t="s">
        <v>153</v>
      </c>
      <c r="M35" s="9" t="s">
        <v>156</v>
      </c>
      <c r="N35" s="15" t="n">
        <v>5</v>
      </c>
      <c r="O35" s="15" t="n">
        <v>4</v>
      </c>
      <c r="P35" s="15" t="n">
        <v>3</v>
      </c>
      <c r="Q35" s="9" t="n">
        <f aca="false">IF(COUNTIFS($L$7:$L$38,A35)+COUNTIFS($M$7:$M$38,A35)&gt;0,2,1)</f>
        <v>2</v>
      </c>
      <c r="R35" s="9" t="n">
        <f aca="false">IF(AND(OR(L35="",COUNTIFS($A$7:$A$38,L35,$I$7:$I$38,1)=1),OR(M35="",COUNTIFS($A$7:$A$38,M35,$I$7:$I$38,1)=1)),1,0)</f>
        <v>0</v>
      </c>
      <c r="S35" s="9" t="str">
        <f aca="false">IF(AND(I35=0,R35=1,E35&lt;&gt;"Блокирано",E35&lt;&gt;"Отложено"),COUNTIFS($R$7:$R$38,1,$I$7:$I$38,0,$E$7:$E$38,"&lt;&gt;Блокирано",$E$7:$E$38,"&lt;&gt;Отложено",$K$7:$K$38,"&gt;"&amp;K35)+COUNTIFS($R$7:R35,1,$I$7:I35,0,$E$7:E35,"&lt;&gt;Блокирано",$E$7:E35,"&lt;&gt;Отложено",$K$7:K35,K35),"")</f>
        <v/>
      </c>
      <c r="T35" s="21" t="str">
        <f aca="false">HYPERLINK("BDS_Plan.docx#T29","T29 в Word")</f>
        <v>T29 в Word</v>
      </c>
      <c r="U35" s="9" t="s">
        <v>168</v>
      </c>
    </row>
    <row r="36" customFormat="false" ht="60" hidden="false" customHeight="true" outlineLevel="0" collapsed="false">
      <c r="A36" s="22" t="s">
        <v>169</v>
      </c>
      <c r="B36" s="22" t="s">
        <v>16</v>
      </c>
      <c r="C36" s="23" t="s">
        <v>170</v>
      </c>
      <c r="D36" s="15" t="s">
        <v>76</v>
      </c>
      <c r="E36" s="16" t="s">
        <v>77</v>
      </c>
      <c r="F36" s="24" t="n">
        <f aca="false">Допускания!$D$6+179</f>
        <v>46465</v>
      </c>
      <c r="G36" s="18"/>
      <c r="H36" s="15"/>
      <c r="I36" s="25" t="n">
        <f aca="false">IF(E36="Готово",1,0)</f>
        <v>0</v>
      </c>
      <c r="J36" s="23" t="str">
        <f aca="false">IF(I36=1,IF(R36=1,"Готово по отметка","Отметнато; провери условията"),IF(E36="Отложено","Отложено",IF(R36=0,"Чака зависимост",IF(E36="Блокирано","Премахни блокирането",IF(F36&lt;Допускания!$D$7,"Просрочено","За изпълнение")))))</f>
        <v>Чака зависимост</v>
      </c>
      <c r="K36" s="26" t="n">
        <f aca="false">N36*O36*Q36/P36</f>
        <v>25</v>
      </c>
      <c r="L36" s="23" t="s">
        <v>159</v>
      </c>
      <c r="M36" s="23" t="s">
        <v>166</v>
      </c>
      <c r="N36" s="15" t="n">
        <v>5</v>
      </c>
      <c r="O36" s="15" t="n">
        <v>5</v>
      </c>
      <c r="P36" s="15" t="n">
        <v>2</v>
      </c>
      <c r="Q36" s="23" t="n">
        <f aca="false">IF(COUNTIFS($L$7:$L$38,A36)+COUNTIFS($M$7:$M$38,A36)&gt;0,2,1)</f>
        <v>2</v>
      </c>
      <c r="R36" s="23" t="n">
        <f aca="false">IF(AND(OR(L36="",COUNTIFS($A$7:$A$38,L36,$I$7:$I$38,1)=1),OR(M36="",COUNTIFS($A$7:$A$38,M36,$I$7:$I$38,1)=1)),1,0)</f>
        <v>0</v>
      </c>
      <c r="S36" s="23" t="str">
        <f aca="false">IF(AND(I36=0,R36=1,E36&lt;&gt;"Блокирано",E36&lt;&gt;"Отложено"),COUNTIFS($R$7:$R$38,1,$I$7:$I$38,0,$E$7:$E$38,"&lt;&gt;Блокирано",$E$7:$E$38,"&lt;&gt;Отложено",$K$7:$K$38,"&gt;"&amp;K36)+COUNTIFS($R$7:R36,1,$I$7:I36,0,$E$7:E36,"&lt;&gt;Блокирано",$E$7:E36,"&lt;&gt;Отложено",$K$7:K36,K36),"")</f>
        <v/>
      </c>
      <c r="T36" s="27" t="str">
        <f aca="false">HYPERLINK("BDS_Plan.docx#T30","T30 в Word")</f>
        <v>T30 в Word</v>
      </c>
      <c r="U36" s="23" t="s">
        <v>171</v>
      </c>
    </row>
    <row r="37" customFormat="false" ht="60" hidden="false" customHeight="true" outlineLevel="0" collapsed="false">
      <c r="A37" s="1" t="s">
        <v>172</v>
      </c>
      <c r="B37" s="1" t="s">
        <v>16</v>
      </c>
      <c r="C37" s="9" t="s">
        <v>173</v>
      </c>
      <c r="D37" s="15" t="s">
        <v>76</v>
      </c>
      <c r="E37" s="16" t="s">
        <v>77</v>
      </c>
      <c r="F37" s="17" t="n">
        <f aca="false">Допускания!$D$6+269</f>
        <v>46555</v>
      </c>
      <c r="G37" s="18"/>
      <c r="H37" s="15"/>
      <c r="I37" s="19" t="n">
        <f aca="false">IF(E37="Готово",1,0)</f>
        <v>0</v>
      </c>
      <c r="J37" s="9" t="str">
        <f aca="false">IF(I37=1,IF(R37=1,"Готово по отметка","Отметнато; провери условията"),IF(E37="Отложено","Отложено",IF(R37=0,"Чака зависимост",IF(E37="Блокирано","Премахни блокирането",IF(F37&lt;Допускания!$D$7,"Просрочено","За изпълнение")))))</f>
        <v>Чака зависимост</v>
      </c>
      <c r="K37" s="20" t="n">
        <f aca="false">N37*O37*Q37/P37</f>
        <v>8</v>
      </c>
      <c r="L37" s="9" t="s">
        <v>169</v>
      </c>
      <c r="M37" s="9" t="s">
        <v>162</v>
      </c>
      <c r="N37" s="15" t="n">
        <v>4</v>
      </c>
      <c r="O37" s="15" t="n">
        <v>3</v>
      </c>
      <c r="P37" s="15" t="n">
        <v>3</v>
      </c>
      <c r="Q37" s="9" t="n">
        <f aca="false">IF(COUNTIFS($L$7:$L$38,A37)+COUNTIFS($M$7:$M$38,A37)&gt;0,2,1)</f>
        <v>2</v>
      </c>
      <c r="R37" s="9" t="n">
        <f aca="false">IF(AND(OR(L37="",COUNTIFS($A$7:$A$38,L37,$I$7:$I$38,1)=1),OR(M37="",COUNTIFS($A$7:$A$38,M37,$I$7:$I$38,1)=1)),1,0)</f>
        <v>0</v>
      </c>
      <c r="S37" s="9" t="str">
        <f aca="false">IF(AND(I37=0,R37=1,E37&lt;&gt;"Блокирано",E37&lt;&gt;"Отложено"),COUNTIFS($R$7:$R$38,1,$I$7:$I$38,0,$E$7:$E$38,"&lt;&gt;Блокирано",$E$7:$E$38,"&lt;&gt;Отложено",$K$7:$K$38,"&gt;"&amp;K37)+COUNTIFS($R$7:R37,1,$I$7:I37,0,$E$7:E37,"&lt;&gt;Блокирано",$E$7:E37,"&lt;&gt;Отложено",$K$7:K37,K37),"")</f>
        <v/>
      </c>
      <c r="T37" s="21" t="str">
        <f aca="false">HYPERLINK("BDS_Plan.docx#T31","T31 в Word")</f>
        <v>T31 в Word</v>
      </c>
      <c r="U37" s="9" t="s">
        <v>174</v>
      </c>
    </row>
    <row r="38" customFormat="false" ht="60" hidden="false" customHeight="true" outlineLevel="0" collapsed="false">
      <c r="A38" s="22" t="s">
        <v>175</v>
      </c>
      <c r="B38" s="22" t="s">
        <v>16</v>
      </c>
      <c r="C38" s="23" t="s">
        <v>176</v>
      </c>
      <c r="D38" s="15" t="s">
        <v>76</v>
      </c>
      <c r="E38" s="16" t="s">
        <v>77</v>
      </c>
      <c r="F38" s="24" t="n">
        <f aca="false">Допускания!$D$6+359</f>
        <v>46645</v>
      </c>
      <c r="G38" s="18"/>
      <c r="H38" s="15"/>
      <c r="I38" s="25" t="n">
        <f aca="false">IF(E38="Готово",1,0)</f>
        <v>0</v>
      </c>
      <c r="J38" s="23" t="str">
        <f aca="false">IF(I38=1,IF(R38=1,"Готово по отметка","Отметнато; провери условията"),IF(E38="Отложено","Отложено",IF(R38=0,"Чака зависимост",IF(E38="Блокирано","Премахни блокирането",IF(F38&lt;Допускания!$D$7,"Просрочено","За изпълнение")))))</f>
        <v>Чака зависимост</v>
      </c>
      <c r="K38" s="26" t="n">
        <f aca="false">N38*O38*Q38/P38</f>
        <v>10</v>
      </c>
      <c r="L38" s="23" t="s">
        <v>172</v>
      </c>
      <c r="M38" s="23"/>
      <c r="N38" s="15" t="n">
        <v>5</v>
      </c>
      <c r="O38" s="15" t="n">
        <v>4</v>
      </c>
      <c r="P38" s="15" t="n">
        <v>2</v>
      </c>
      <c r="Q38" s="23" t="n">
        <f aca="false">IF(COUNTIFS($L$7:$L$38,A38)+COUNTIFS($M$7:$M$38,A38)&gt;0,2,1)</f>
        <v>1</v>
      </c>
      <c r="R38" s="23" t="n">
        <f aca="false">IF(AND(OR(L38="",COUNTIFS($A$7:$A$38,L38,$I$7:$I$38,1)=1),OR(M38="",COUNTIFS($A$7:$A$38,M38,$I$7:$I$38,1)=1)),1,0)</f>
        <v>0</v>
      </c>
      <c r="S38" s="23" t="str">
        <f aca="false">IF(AND(I38=0,R38=1,E38&lt;&gt;"Блокирано",E38&lt;&gt;"Отложено"),COUNTIFS($R$7:$R$38,1,$I$7:$I$38,0,$E$7:$E$38,"&lt;&gt;Блокирано",$E$7:$E$38,"&lt;&gt;Отложено",$K$7:$K$38,"&gt;"&amp;K38)+COUNTIFS($R$7:R38,1,$I$7:I38,0,$E$7:E38,"&lt;&gt;Блокирано",$E$7:E38,"&lt;&gt;Отложено",$K$7:K38,K38),"")</f>
        <v/>
      </c>
      <c r="T38" s="27" t="str">
        <f aca="false">HYPERLINK("BDS_Plan.docx#T32","T32 в Word")</f>
        <v>T32 в Word</v>
      </c>
      <c r="U38" s="23" t="s">
        <v>177</v>
      </c>
    </row>
  </sheetData>
  <conditionalFormatting sqref="I7:J38">
    <cfRule type="expression" priority="2" aboveAverage="0" equalAverage="0" bottom="0" percent="0" rank="0" text="" dxfId="9">
      <formula>$I7=1</formula>
    </cfRule>
  </conditionalFormatting>
  <conditionalFormatting sqref="J7:J38">
    <cfRule type="expression" priority="3" aboveAverage="0" equalAverage="0" bottom="0" percent="0" rank="0" text="" dxfId="10">
      <formula>$J7="Просрочено"</formula>
    </cfRule>
  </conditionalFormatting>
  <dataValidations count="2">
    <dataValidation allowBlank="false" errorStyle="stop" operator="between" showDropDown="false" showErrorMessage="false" showInputMessage="false" sqref="E7:E38" type="list">
      <formula1>"Не е започнато,В работа,Готово,Блокирано,Отложено"</formula1>
      <formula2>0</formula2>
    </dataValidation>
    <dataValidation allowBlank="false" errorStyle="stop" operator="between" showDropDown="false" showErrorMessage="false" showInputMessage="false" sqref="N7:P38" type="whole">
      <formula1>1</formula1>
      <formula2>5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16"/>
    <col collapsed="false" customWidth="true" hidden="false" outlineLevel="0" max="13" min="13" style="0" width="45"/>
    <col collapsed="false" customWidth="true" hidden="false" outlineLevel="0" max="14" min="14" style="0" width="19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9" hidden="false" customHeight="true" outlineLevel="0" collapsed="false">
      <c r="A2" s="2" t="s">
        <v>178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23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"/>
      <c r="N3" s="1"/>
    </row>
    <row r="4" customFormat="false" ht="23" hidden="false" customHeight="true" outlineLevel="0" collapsed="false">
      <c r="A4" s="1" t="s">
        <v>179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23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37" hidden="false" customHeight="true" outlineLevel="0" collapsed="false">
      <c r="A6" s="6" t="s">
        <v>180</v>
      </c>
      <c r="B6" s="6" t="s">
        <v>181</v>
      </c>
      <c r="C6" s="6" t="s">
        <v>182</v>
      </c>
      <c r="D6" s="6" t="s">
        <v>183</v>
      </c>
      <c r="E6" s="6" t="s">
        <v>184</v>
      </c>
      <c r="F6" s="6" t="s">
        <v>185</v>
      </c>
      <c r="G6" s="6" t="s">
        <v>186</v>
      </c>
      <c r="H6" s="6" t="s">
        <v>187</v>
      </c>
      <c r="I6" s="6" t="s">
        <v>188</v>
      </c>
      <c r="J6" s="6" t="s">
        <v>189</v>
      </c>
      <c r="K6" s="6" t="s">
        <v>190</v>
      </c>
      <c r="L6" s="6" t="s">
        <v>191</v>
      </c>
      <c r="M6" s="6" t="s">
        <v>192</v>
      </c>
      <c r="N6" s="6" t="s">
        <v>193</v>
      </c>
    </row>
    <row r="7" customFormat="false" ht="29" hidden="false" customHeight="true" outlineLevel="0" collapsed="false">
      <c r="A7" s="4" t="n">
        <f aca="false">Допускания!$D$6-WEEKDAY(Допускания!$D$6,2)+1+0</f>
        <v>46286</v>
      </c>
      <c r="B7" s="28"/>
      <c r="C7" s="28"/>
      <c r="D7" s="28"/>
      <c r="E7" s="28"/>
      <c r="F7" s="28"/>
      <c r="G7" s="28"/>
      <c r="H7" s="28"/>
      <c r="I7" s="29"/>
      <c r="J7" s="30"/>
      <c r="K7" s="30"/>
      <c r="L7" s="28"/>
      <c r="M7" s="28"/>
      <c r="N7" s="1" t="str">
        <f aca="false">IF(COUNT(B7:L7)=11,"Да","Не")</f>
        <v>Не</v>
      </c>
    </row>
    <row r="8" customFormat="false" ht="29" hidden="false" customHeight="true" outlineLevel="0" collapsed="false">
      <c r="A8" s="4" t="n">
        <f aca="false">Допускания!$D$6-WEEKDAY(Допускания!$D$6,2)+1+7</f>
        <v>46293</v>
      </c>
      <c r="B8" s="28"/>
      <c r="C8" s="28"/>
      <c r="D8" s="28"/>
      <c r="E8" s="28"/>
      <c r="F8" s="28"/>
      <c r="G8" s="28"/>
      <c r="H8" s="28"/>
      <c r="I8" s="29"/>
      <c r="J8" s="30"/>
      <c r="K8" s="30"/>
      <c r="L8" s="28"/>
      <c r="M8" s="28"/>
      <c r="N8" s="1" t="str">
        <f aca="false">IF(COUNT(B8:L8)=11,"Да","Не")</f>
        <v>Не</v>
      </c>
    </row>
    <row r="9" customFormat="false" ht="29" hidden="false" customHeight="true" outlineLevel="0" collapsed="false">
      <c r="A9" s="4" t="n">
        <f aca="false">Допускания!$D$6-WEEKDAY(Допускания!$D$6,2)+1+14</f>
        <v>46300</v>
      </c>
      <c r="B9" s="28"/>
      <c r="C9" s="28"/>
      <c r="D9" s="28"/>
      <c r="E9" s="28"/>
      <c r="F9" s="28"/>
      <c r="G9" s="28"/>
      <c r="H9" s="28"/>
      <c r="I9" s="29"/>
      <c r="J9" s="30"/>
      <c r="K9" s="30"/>
      <c r="L9" s="28"/>
      <c r="M9" s="28"/>
      <c r="N9" s="1" t="str">
        <f aca="false">IF(COUNT(B9:L9)=11,"Да","Не")</f>
        <v>Не</v>
      </c>
    </row>
    <row r="10" customFormat="false" ht="29" hidden="false" customHeight="true" outlineLevel="0" collapsed="false">
      <c r="A10" s="4" t="n">
        <f aca="false">Допускания!$D$6-WEEKDAY(Допускания!$D$6,2)+1+21</f>
        <v>46307</v>
      </c>
      <c r="B10" s="28"/>
      <c r="C10" s="28"/>
      <c r="D10" s="28"/>
      <c r="E10" s="28"/>
      <c r="F10" s="28"/>
      <c r="G10" s="28"/>
      <c r="H10" s="28"/>
      <c r="I10" s="29"/>
      <c r="J10" s="30"/>
      <c r="K10" s="30"/>
      <c r="L10" s="28"/>
      <c r="M10" s="28"/>
      <c r="N10" s="1" t="str">
        <f aca="false">IF(COUNT(B10:L10)=11,"Да","Не")</f>
        <v>Не</v>
      </c>
    </row>
    <row r="11" customFormat="false" ht="29" hidden="false" customHeight="true" outlineLevel="0" collapsed="false">
      <c r="A11" s="4" t="n">
        <f aca="false">Допускания!$D$6-WEEKDAY(Допускания!$D$6,2)+1+28</f>
        <v>46314</v>
      </c>
      <c r="B11" s="28"/>
      <c r="C11" s="28"/>
      <c r="D11" s="28"/>
      <c r="E11" s="28"/>
      <c r="F11" s="28"/>
      <c r="G11" s="28"/>
      <c r="H11" s="28"/>
      <c r="I11" s="29"/>
      <c r="J11" s="30"/>
      <c r="K11" s="30"/>
      <c r="L11" s="28"/>
      <c r="M11" s="28"/>
      <c r="N11" s="1" t="str">
        <f aca="false">IF(COUNT(B11:L11)=11,"Да","Не")</f>
        <v>Не</v>
      </c>
    </row>
    <row r="12" customFormat="false" ht="29" hidden="false" customHeight="true" outlineLevel="0" collapsed="false">
      <c r="A12" s="4" t="n">
        <f aca="false">Допускания!$D$6-WEEKDAY(Допускания!$D$6,2)+1+35</f>
        <v>46321</v>
      </c>
      <c r="B12" s="28"/>
      <c r="C12" s="28"/>
      <c r="D12" s="28"/>
      <c r="E12" s="28"/>
      <c r="F12" s="28"/>
      <c r="G12" s="28"/>
      <c r="H12" s="28"/>
      <c r="I12" s="29"/>
      <c r="J12" s="30"/>
      <c r="K12" s="30"/>
      <c r="L12" s="28"/>
      <c r="M12" s="28"/>
      <c r="N12" s="1" t="str">
        <f aca="false">IF(COUNT(B12:L12)=11,"Да","Не")</f>
        <v>Не</v>
      </c>
    </row>
    <row r="13" customFormat="false" ht="29" hidden="false" customHeight="true" outlineLevel="0" collapsed="false">
      <c r="A13" s="4" t="n">
        <f aca="false">Допускания!$D$6-WEEKDAY(Допускания!$D$6,2)+1+42</f>
        <v>46328</v>
      </c>
      <c r="B13" s="28"/>
      <c r="C13" s="28"/>
      <c r="D13" s="28"/>
      <c r="E13" s="28"/>
      <c r="F13" s="28"/>
      <c r="G13" s="28"/>
      <c r="H13" s="28"/>
      <c r="I13" s="29"/>
      <c r="J13" s="30"/>
      <c r="K13" s="30"/>
      <c r="L13" s="28"/>
      <c r="M13" s="28"/>
      <c r="N13" s="1" t="str">
        <f aca="false">IF(COUNT(B13:L13)=11,"Да","Не")</f>
        <v>Не</v>
      </c>
    </row>
    <row r="14" customFormat="false" ht="29" hidden="false" customHeight="true" outlineLevel="0" collapsed="false">
      <c r="A14" s="4" t="n">
        <f aca="false">Допускания!$D$6-WEEKDAY(Допускания!$D$6,2)+1+49</f>
        <v>46335</v>
      </c>
      <c r="B14" s="28"/>
      <c r="C14" s="28"/>
      <c r="D14" s="28"/>
      <c r="E14" s="28"/>
      <c r="F14" s="28"/>
      <c r="G14" s="28"/>
      <c r="H14" s="28"/>
      <c r="I14" s="29"/>
      <c r="J14" s="30"/>
      <c r="K14" s="30"/>
      <c r="L14" s="28"/>
      <c r="M14" s="28"/>
      <c r="N14" s="1" t="str">
        <f aca="false">IF(COUNT(B14:L14)=11,"Да","Не")</f>
        <v>Не</v>
      </c>
    </row>
    <row r="15" customFormat="false" ht="29" hidden="false" customHeight="true" outlineLevel="0" collapsed="false">
      <c r="A15" s="4" t="n">
        <f aca="false">Допускания!$D$6-WEEKDAY(Допускания!$D$6,2)+1+56</f>
        <v>46342</v>
      </c>
      <c r="B15" s="28"/>
      <c r="C15" s="28"/>
      <c r="D15" s="28"/>
      <c r="E15" s="28"/>
      <c r="F15" s="28"/>
      <c r="G15" s="28"/>
      <c r="H15" s="28"/>
      <c r="I15" s="29"/>
      <c r="J15" s="30"/>
      <c r="K15" s="30"/>
      <c r="L15" s="28"/>
      <c r="M15" s="28"/>
      <c r="N15" s="1" t="str">
        <f aca="false">IF(COUNT(B15:L15)=11,"Да","Не")</f>
        <v>Не</v>
      </c>
    </row>
    <row r="16" customFormat="false" ht="29" hidden="false" customHeight="true" outlineLevel="0" collapsed="false">
      <c r="A16" s="4" t="n">
        <f aca="false">Допускания!$D$6-WEEKDAY(Допускания!$D$6,2)+1+63</f>
        <v>46349</v>
      </c>
      <c r="B16" s="28"/>
      <c r="C16" s="28"/>
      <c r="D16" s="28"/>
      <c r="E16" s="28"/>
      <c r="F16" s="28"/>
      <c r="G16" s="28"/>
      <c r="H16" s="28"/>
      <c r="I16" s="29"/>
      <c r="J16" s="30"/>
      <c r="K16" s="30"/>
      <c r="L16" s="28"/>
      <c r="M16" s="28"/>
      <c r="N16" s="1" t="str">
        <f aca="false">IF(COUNT(B16:L16)=11,"Да","Не")</f>
        <v>Не</v>
      </c>
    </row>
    <row r="17" customFormat="false" ht="29" hidden="false" customHeight="true" outlineLevel="0" collapsed="false">
      <c r="A17" s="4" t="n">
        <f aca="false">Допускания!$D$6-WEEKDAY(Допускания!$D$6,2)+1+70</f>
        <v>46356</v>
      </c>
      <c r="B17" s="28"/>
      <c r="C17" s="28"/>
      <c r="D17" s="28"/>
      <c r="E17" s="28"/>
      <c r="F17" s="28"/>
      <c r="G17" s="28"/>
      <c r="H17" s="28"/>
      <c r="I17" s="29"/>
      <c r="J17" s="30"/>
      <c r="K17" s="30"/>
      <c r="L17" s="28"/>
      <c r="M17" s="28"/>
      <c r="N17" s="1" t="str">
        <f aca="false">IF(COUNT(B17:L17)=11,"Да","Не")</f>
        <v>Не</v>
      </c>
    </row>
    <row r="18" customFormat="false" ht="29" hidden="false" customHeight="true" outlineLevel="0" collapsed="false">
      <c r="A18" s="4" t="n">
        <f aca="false">Допускания!$D$6-WEEKDAY(Допускания!$D$6,2)+1+77</f>
        <v>46363</v>
      </c>
      <c r="B18" s="28"/>
      <c r="C18" s="28"/>
      <c r="D18" s="28"/>
      <c r="E18" s="28"/>
      <c r="F18" s="28"/>
      <c r="G18" s="28"/>
      <c r="H18" s="28"/>
      <c r="I18" s="29"/>
      <c r="J18" s="30"/>
      <c r="K18" s="30"/>
      <c r="L18" s="28"/>
      <c r="M18" s="28"/>
      <c r="N18" s="1" t="str">
        <f aca="false">IF(COUNT(B18:L18)=11,"Да","Не")</f>
        <v>Не</v>
      </c>
    </row>
    <row r="19" customFormat="false" ht="29" hidden="false" customHeight="true" outlineLevel="0" collapsed="false">
      <c r="A19" s="4" t="n">
        <f aca="false">Допускания!$D$6-WEEKDAY(Допускания!$D$6,2)+1+84</f>
        <v>46370</v>
      </c>
      <c r="B19" s="28"/>
      <c r="C19" s="28"/>
      <c r="D19" s="28"/>
      <c r="E19" s="28"/>
      <c r="F19" s="28"/>
      <c r="G19" s="28"/>
      <c r="H19" s="28"/>
      <c r="I19" s="29"/>
      <c r="J19" s="30"/>
      <c r="K19" s="30"/>
      <c r="L19" s="28"/>
      <c r="M19" s="28"/>
      <c r="N19" s="1" t="str">
        <f aca="false">IF(COUNT(B19:L19)=11,"Да","Не")</f>
        <v>Не</v>
      </c>
    </row>
    <row r="20" customFormat="false" ht="29" hidden="false" customHeight="true" outlineLevel="0" collapsed="false">
      <c r="A20" s="4" t="n">
        <f aca="false">Допускания!$D$6-WEEKDAY(Допускания!$D$6,2)+1+91</f>
        <v>46377</v>
      </c>
      <c r="B20" s="28"/>
      <c r="C20" s="28"/>
      <c r="D20" s="28"/>
      <c r="E20" s="28"/>
      <c r="F20" s="28"/>
      <c r="G20" s="28"/>
      <c r="H20" s="28"/>
      <c r="I20" s="29"/>
      <c r="J20" s="30"/>
      <c r="K20" s="30"/>
      <c r="L20" s="28"/>
      <c r="M20" s="28"/>
      <c r="N20" s="1" t="str">
        <f aca="false">IF(COUNT(B20:L20)=11,"Да","Не")</f>
        <v>Не</v>
      </c>
    </row>
    <row r="21" customFormat="false" ht="29" hidden="false" customHeight="true" outlineLevel="0" collapsed="false">
      <c r="A21" s="4" t="n">
        <f aca="false">Допускания!$D$6-WEEKDAY(Допускания!$D$6,2)+1+98</f>
        <v>46384</v>
      </c>
      <c r="B21" s="28"/>
      <c r="C21" s="28"/>
      <c r="D21" s="28"/>
      <c r="E21" s="28"/>
      <c r="F21" s="28"/>
      <c r="G21" s="28"/>
      <c r="H21" s="28"/>
      <c r="I21" s="29"/>
      <c r="J21" s="30"/>
      <c r="K21" s="30"/>
      <c r="L21" s="28"/>
      <c r="M21" s="28"/>
      <c r="N21" s="1" t="str">
        <f aca="false">IF(COUNT(B21:L21)=11,"Да","Не")</f>
        <v>Не</v>
      </c>
    </row>
    <row r="22" customFormat="false" ht="29" hidden="false" customHeight="true" outlineLevel="0" collapsed="false">
      <c r="A22" s="4" t="n">
        <f aca="false">Допускания!$D$6-WEEKDAY(Допускания!$D$6,2)+1+105</f>
        <v>46391</v>
      </c>
      <c r="B22" s="28"/>
      <c r="C22" s="28"/>
      <c r="D22" s="28"/>
      <c r="E22" s="28"/>
      <c r="F22" s="28"/>
      <c r="G22" s="28"/>
      <c r="H22" s="28"/>
      <c r="I22" s="29"/>
      <c r="J22" s="30"/>
      <c r="K22" s="30"/>
      <c r="L22" s="28"/>
      <c r="M22" s="28"/>
      <c r="N22" s="1" t="str">
        <f aca="false">IF(COUNT(B22:L22)=11,"Да","Не")</f>
        <v>Не</v>
      </c>
    </row>
    <row r="23" customFormat="false" ht="29" hidden="false" customHeight="true" outlineLevel="0" collapsed="false">
      <c r="A23" s="4" t="n">
        <f aca="false">Допускания!$D$6-WEEKDAY(Допускания!$D$6,2)+1+112</f>
        <v>46398</v>
      </c>
      <c r="B23" s="28"/>
      <c r="C23" s="28"/>
      <c r="D23" s="28"/>
      <c r="E23" s="28"/>
      <c r="F23" s="28"/>
      <c r="G23" s="28"/>
      <c r="H23" s="28"/>
      <c r="I23" s="29"/>
      <c r="J23" s="30"/>
      <c r="K23" s="30"/>
      <c r="L23" s="28"/>
      <c r="M23" s="28"/>
      <c r="N23" s="1" t="str">
        <f aca="false">IF(COUNT(B23:L23)=11,"Да","Не")</f>
        <v>Не</v>
      </c>
    </row>
    <row r="24" customFormat="false" ht="29" hidden="false" customHeight="true" outlineLevel="0" collapsed="false">
      <c r="A24" s="4" t="n">
        <f aca="false">Допускания!$D$6-WEEKDAY(Допускания!$D$6,2)+1+119</f>
        <v>46405</v>
      </c>
      <c r="B24" s="28"/>
      <c r="C24" s="28"/>
      <c r="D24" s="28"/>
      <c r="E24" s="28"/>
      <c r="F24" s="28"/>
      <c r="G24" s="28"/>
      <c r="H24" s="28"/>
      <c r="I24" s="29"/>
      <c r="J24" s="30"/>
      <c r="K24" s="30"/>
      <c r="L24" s="28"/>
      <c r="M24" s="28"/>
      <c r="N24" s="1" t="str">
        <f aca="false">IF(COUNT(B24:L24)=11,"Да","Не")</f>
        <v>Не</v>
      </c>
    </row>
    <row r="25" customFormat="false" ht="29" hidden="false" customHeight="true" outlineLevel="0" collapsed="false">
      <c r="A25" s="4" t="n">
        <f aca="false">Допускания!$D$6-WEEKDAY(Допускания!$D$6,2)+1+126</f>
        <v>46412</v>
      </c>
      <c r="B25" s="28"/>
      <c r="C25" s="28"/>
      <c r="D25" s="28"/>
      <c r="E25" s="28"/>
      <c r="F25" s="28"/>
      <c r="G25" s="28"/>
      <c r="H25" s="28"/>
      <c r="I25" s="29"/>
      <c r="J25" s="30"/>
      <c r="K25" s="30"/>
      <c r="L25" s="28"/>
      <c r="M25" s="28"/>
      <c r="N25" s="1" t="str">
        <f aca="false">IF(COUNT(B25:L25)=11,"Да","Не")</f>
        <v>Не</v>
      </c>
    </row>
    <row r="26" customFormat="false" ht="29" hidden="false" customHeight="true" outlineLevel="0" collapsed="false">
      <c r="A26" s="4" t="n">
        <f aca="false">Допускания!$D$6-WEEKDAY(Допускания!$D$6,2)+1+133</f>
        <v>46419</v>
      </c>
      <c r="B26" s="28"/>
      <c r="C26" s="28"/>
      <c r="D26" s="28"/>
      <c r="E26" s="28"/>
      <c r="F26" s="28"/>
      <c r="G26" s="28"/>
      <c r="H26" s="28"/>
      <c r="I26" s="29"/>
      <c r="J26" s="30"/>
      <c r="K26" s="30"/>
      <c r="L26" s="28"/>
      <c r="M26" s="28"/>
      <c r="N26" s="1" t="str">
        <f aca="false">IF(COUNT(B26:L26)=11,"Да","Не")</f>
        <v>Не</v>
      </c>
    </row>
    <row r="27" customFormat="false" ht="29" hidden="false" customHeight="true" outlineLevel="0" collapsed="false">
      <c r="A27" s="4" t="n">
        <f aca="false">Допускания!$D$6-WEEKDAY(Допускания!$D$6,2)+1+140</f>
        <v>46426</v>
      </c>
      <c r="B27" s="28"/>
      <c r="C27" s="28"/>
      <c r="D27" s="28"/>
      <c r="E27" s="28"/>
      <c r="F27" s="28"/>
      <c r="G27" s="28"/>
      <c r="H27" s="28"/>
      <c r="I27" s="29"/>
      <c r="J27" s="30"/>
      <c r="K27" s="30"/>
      <c r="L27" s="28"/>
      <c r="M27" s="28"/>
      <c r="N27" s="1" t="str">
        <f aca="false">IF(COUNT(B27:L27)=11,"Да","Не")</f>
        <v>Не</v>
      </c>
    </row>
    <row r="28" customFormat="false" ht="29" hidden="false" customHeight="true" outlineLevel="0" collapsed="false">
      <c r="A28" s="4" t="n">
        <f aca="false">Допускания!$D$6-WEEKDAY(Допускания!$D$6,2)+1+147</f>
        <v>46433</v>
      </c>
      <c r="B28" s="28"/>
      <c r="C28" s="28"/>
      <c r="D28" s="28"/>
      <c r="E28" s="28"/>
      <c r="F28" s="28"/>
      <c r="G28" s="28"/>
      <c r="H28" s="28"/>
      <c r="I28" s="29"/>
      <c r="J28" s="30"/>
      <c r="K28" s="30"/>
      <c r="L28" s="28"/>
      <c r="M28" s="28"/>
      <c r="N28" s="1" t="str">
        <f aca="false">IF(COUNT(B28:L28)=11,"Да","Не")</f>
        <v>Не</v>
      </c>
    </row>
    <row r="29" customFormat="false" ht="29" hidden="false" customHeight="true" outlineLevel="0" collapsed="false">
      <c r="A29" s="4" t="n">
        <f aca="false">Допускания!$D$6-WEEKDAY(Допускания!$D$6,2)+1+154</f>
        <v>46440</v>
      </c>
      <c r="B29" s="28"/>
      <c r="C29" s="28"/>
      <c r="D29" s="28"/>
      <c r="E29" s="28"/>
      <c r="F29" s="28"/>
      <c r="G29" s="28"/>
      <c r="H29" s="28"/>
      <c r="I29" s="29"/>
      <c r="J29" s="30"/>
      <c r="K29" s="30"/>
      <c r="L29" s="28"/>
      <c r="M29" s="28"/>
      <c r="N29" s="1" t="str">
        <f aca="false">IF(COUNT(B29:L29)=11,"Да","Не")</f>
        <v>Не</v>
      </c>
    </row>
    <row r="30" customFormat="false" ht="29" hidden="false" customHeight="true" outlineLevel="0" collapsed="false">
      <c r="A30" s="4" t="n">
        <f aca="false">Допускания!$D$6-WEEKDAY(Допускания!$D$6,2)+1+161</f>
        <v>46447</v>
      </c>
      <c r="B30" s="28"/>
      <c r="C30" s="28"/>
      <c r="D30" s="28"/>
      <c r="E30" s="28"/>
      <c r="F30" s="28"/>
      <c r="G30" s="28"/>
      <c r="H30" s="28"/>
      <c r="I30" s="29"/>
      <c r="J30" s="30"/>
      <c r="K30" s="30"/>
      <c r="L30" s="28"/>
      <c r="M30" s="28"/>
      <c r="N30" s="1" t="str">
        <f aca="false">IF(COUNT(B30:L30)=11,"Да","Не")</f>
        <v>Не</v>
      </c>
    </row>
    <row r="31" customFormat="false" ht="29" hidden="false" customHeight="true" outlineLevel="0" collapsed="false">
      <c r="A31" s="4" t="n">
        <f aca="false">Допускания!$D$6-WEEKDAY(Допускания!$D$6,2)+1+168</f>
        <v>46454</v>
      </c>
      <c r="B31" s="28"/>
      <c r="C31" s="28"/>
      <c r="D31" s="28"/>
      <c r="E31" s="28"/>
      <c r="F31" s="28"/>
      <c r="G31" s="28"/>
      <c r="H31" s="28"/>
      <c r="I31" s="29"/>
      <c r="J31" s="30"/>
      <c r="K31" s="30"/>
      <c r="L31" s="28"/>
      <c r="M31" s="28"/>
      <c r="N31" s="1" t="str">
        <f aca="false">IF(COUNT(B31:L31)=11,"Да","Не")</f>
        <v>Не</v>
      </c>
    </row>
    <row r="32" customFormat="false" ht="29" hidden="false" customHeight="true" outlineLevel="0" collapsed="false">
      <c r="A32" s="4" t="n">
        <f aca="false">Допускания!$D$6-WEEKDAY(Допускания!$D$6,2)+1+175</f>
        <v>46461</v>
      </c>
      <c r="B32" s="28"/>
      <c r="C32" s="28"/>
      <c r="D32" s="28"/>
      <c r="E32" s="28"/>
      <c r="F32" s="28"/>
      <c r="G32" s="28"/>
      <c r="H32" s="28"/>
      <c r="I32" s="29"/>
      <c r="J32" s="30"/>
      <c r="K32" s="30"/>
      <c r="L32" s="28"/>
      <c r="M32" s="28"/>
      <c r="N32" s="1" t="str">
        <f aca="false">IF(COUNT(B32:L32)=11,"Да","Не")</f>
        <v>Не</v>
      </c>
    </row>
    <row r="33" customFormat="false" ht="29" hidden="false" customHeight="true" outlineLevel="0" collapsed="false">
      <c r="A33" s="4" t="n">
        <f aca="false">Допускания!$D$6-WEEKDAY(Допускания!$D$6,2)+1+182</f>
        <v>46468</v>
      </c>
      <c r="B33" s="28"/>
      <c r="C33" s="28"/>
      <c r="D33" s="28"/>
      <c r="E33" s="28"/>
      <c r="F33" s="28"/>
      <c r="G33" s="28"/>
      <c r="H33" s="28"/>
      <c r="I33" s="29"/>
      <c r="J33" s="30"/>
      <c r="K33" s="30"/>
      <c r="L33" s="28"/>
      <c r="M33" s="28"/>
      <c r="N33" s="1" t="str">
        <f aca="false">IF(COUNT(B33:L33)=11,"Да","Не")</f>
        <v>Не</v>
      </c>
    </row>
    <row r="34" customFormat="false" ht="29" hidden="false" customHeight="true" outlineLevel="0" collapsed="false">
      <c r="A34" s="4" t="n">
        <f aca="false">Допускания!$D$6-WEEKDAY(Допускания!$D$6,2)+1+189</f>
        <v>46475</v>
      </c>
      <c r="B34" s="28"/>
      <c r="C34" s="28"/>
      <c r="D34" s="28"/>
      <c r="E34" s="28"/>
      <c r="F34" s="28"/>
      <c r="G34" s="28"/>
      <c r="H34" s="28"/>
      <c r="I34" s="29"/>
      <c r="J34" s="30"/>
      <c r="K34" s="30"/>
      <c r="L34" s="28"/>
      <c r="M34" s="28"/>
      <c r="N34" s="1" t="str">
        <f aca="false">IF(COUNT(B34:L34)=11,"Да","Не")</f>
        <v>Не</v>
      </c>
    </row>
    <row r="35" customFormat="false" ht="29" hidden="false" customHeight="true" outlineLevel="0" collapsed="false">
      <c r="A35" s="4" t="n">
        <f aca="false">Допускания!$D$6-WEEKDAY(Допускания!$D$6,2)+1+196</f>
        <v>46482</v>
      </c>
      <c r="B35" s="28"/>
      <c r="C35" s="28"/>
      <c r="D35" s="28"/>
      <c r="E35" s="28"/>
      <c r="F35" s="28"/>
      <c r="G35" s="28"/>
      <c r="H35" s="28"/>
      <c r="I35" s="29"/>
      <c r="J35" s="30"/>
      <c r="K35" s="30"/>
      <c r="L35" s="28"/>
      <c r="M35" s="28"/>
      <c r="N35" s="1" t="str">
        <f aca="false">IF(COUNT(B35:L35)=11,"Да","Не")</f>
        <v>Не</v>
      </c>
    </row>
    <row r="36" customFormat="false" ht="29" hidden="false" customHeight="true" outlineLevel="0" collapsed="false">
      <c r="A36" s="4" t="n">
        <f aca="false">Допускания!$D$6-WEEKDAY(Допускания!$D$6,2)+1+203</f>
        <v>46489</v>
      </c>
      <c r="B36" s="28"/>
      <c r="C36" s="28"/>
      <c r="D36" s="28"/>
      <c r="E36" s="28"/>
      <c r="F36" s="28"/>
      <c r="G36" s="28"/>
      <c r="H36" s="28"/>
      <c r="I36" s="29"/>
      <c r="J36" s="30"/>
      <c r="K36" s="30"/>
      <c r="L36" s="28"/>
      <c r="M36" s="28"/>
      <c r="N36" s="1" t="str">
        <f aca="false">IF(COUNT(B36:L36)=11,"Да","Не")</f>
        <v>Не</v>
      </c>
    </row>
    <row r="37" customFormat="false" ht="29" hidden="false" customHeight="true" outlineLevel="0" collapsed="false">
      <c r="A37" s="4" t="n">
        <f aca="false">Допускания!$D$6-WEEKDAY(Допускания!$D$6,2)+1+210</f>
        <v>46496</v>
      </c>
      <c r="B37" s="28"/>
      <c r="C37" s="28"/>
      <c r="D37" s="28"/>
      <c r="E37" s="28"/>
      <c r="F37" s="28"/>
      <c r="G37" s="28"/>
      <c r="H37" s="28"/>
      <c r="I37" s="29"/>
      <c r="J37" s="30"/>
      <c r="K37" s="30"/>
      <c r="L37" s="28"/>
      <c r="M37" s="28"/>
      <c r="N37" s="1" t="str">
        <f aca="false">IF(COUNT(B37:L37)=11,"Да","Не")</f>
        <v>Не</v>
      </c>
    </row>
    <row r="38" customFormat="false" ht="29" hidden="false" customHeight="true" outlineLevel="0" collapsed="false">
      <c r="A38" s="4" t="n">
        <f aca="false">Допускания!$D$6-WEEKDAY(Допускания!$D$6,2)+1+217</f>
        <v>46503</v>
      </c>
      <c r="B38" s="28"/>
      <c r="C38" s="28"/>
      <c r="D38" s="28"/>
      <c r="E38" s="28"/>
      <c r="F38" s="28"/>
      <c r="G38" s="28"/>
      <c r="H38" s="28"/>
      <c r="I38" s="29"/>
      <c r="J38" s="30"/>
      <c r="K38" s="30"/>
      <c r="L38" s="28"/>
      <c r="M38" s="28"/>
      <c r="N38" s="1" t="str">
        <f aca="false">IF(COUNT(B38:L38)=11,"Да","Не")</f>
        <v>Не</v>
      </c>
    </row>
    <row r="39" customFormat="false" ht="29" hidden="false" customHeight="true" outlineLevel="0" collapsed="false">
      <c r="A39" s="4" t="n">
        <f aca="false">Допускания!$D$6-WEEKDAY(Допускания!$D$6,2)+1+224</f>
        <v>46510</v>
      </c>
      <c r="B39" s="28"/>
      <c r="C39" s="28"/>
      <c r="D39" s="28"/>
      <c r="E39" s="28"/>
      <c r="F39" s="28"/>
      <c r="G39" s="28"/>
      <c r="H39" s="28"/>
      <c r="I39" s="29"/>
      <c r="J39" s="30"/>
      <c r="K39" s="30"/>
      <c r="L39" s="28"/>
      <c r="M39" s="28"/>
      <c r="N39" s="1" t="str">
        <f aca="false">IF(COUNT(B39:L39)=11,"Да","Не")</f>
        <v>Не</v>
      </c>
    </row>
    <row r="40" customFormat="false" ht="29" hidden="false" customHeight="true" outlineLevel="0" collapsed="false">
      <c r="A40" s="4" t="n">
        <f aca="false">Допускания!$D$6-WEEKDAY(Допускания!$D$6,2)+1+231</f>
        <v>46517</v>
      </c>
      <c r="B40" s="28"/>
      <c r="C40" s="28"/>
      <c r="D40" s="28"/>
      <c r="E40" s="28"/>
      <c r="F40" s="28"/>
      <c r="G40" s="28"/>
      <c r="H40" s="28"/>
      <c r="I40" s="29"/>
      <c r="J40" s="30"/>
      <c r="K40" s="30"/>
      <c r="L40" s="28"/>
      <c r="M40" s="28"/>
      <c r="N40" s="1" t="str">
        <f aca="false">IF(COUNT(B40:L40)=11,"Да","Не")</f>
        <v>Не</v>
      </c>
    </row>
    <row r="41" customFormat="false" ht="29" hidden="false" customHeight="true" outlineLevel="0" collapsed="false">
      <c r="A41" s="4" t="n">
        <f aca="false">Допускания!$D$6-WEEKDAY(Допускания!$D$6,2)+1+238</f>
        <v>46524</v>
      </c>
      <c r="B41" s="28"/>
      <c r="C41" s="28"/>
      <c r="D41" s="28"/>
      <c r="E41" s="28"/>
      <c r="F41" s="28"/>
      <c r="G41" s="28"/>
      <c r="H41" s="28"/>
      <c r="I41" s="29"/>
      <c r="J41" s="30"/>
      <c r="K41" s="30"/>
      <c r="L41" s="28"/>
      <c r="M41" s="28"/>
      <c r="N41" s="1" t="str">
        <f aca="false">IF(COUNT(B41:L41)=11,"Да","Не")</f>
        <v>Не</v>
      </c>
    </row>
    <row r="42" customFormat="false" ht="29" hidden="false" customHeight="true" outlineLevel="0" collapsed="false">
      <c r="A42" s="4" t="n">
        <f aca="false">Допускания!$D$6-WEEKDAY(Допускания!$D$6,2)+1+245</f>
        <v>46531</v>
      </c>
      <c r="B42" s="28"/>
      <c r="C42" s="28"/>
      <c r="D42" s="28"/>
      <c r="E42" s="28"/>
      <c r="F42" s="28"/>
      <c r="G42" s="28"/>
      <c r="H42" s="28"/>
      <c r="I42" s="29"/>
      <c r="J42" s="30"/>
      <c r="K42" s="30"/>
      <c r="L42" s="28"/>
      <c r="M42" s="28"/>
      <c r="N42" s="1" t="str">
        <f aca="false">IF(COUNT(B42:L42)=11,"Да","Не")</f>
        <v>Не</v>
      </c>
    </row>
    <row r="43" customFormat="false" ht="29" hidden="false" customHeight="true" outlineLevel="0" collapsed="false">
      <c r="A43" s="4" t="n">
        <f aca="false">Допускания!$D$6-WEEKDAY(Допускания!$D$6,2)+1+252</f>
        <v>46538</v>
      </c>
      <c r="B43" s="28"/>
      <c r="C43" s="28"/>
      <c r="D43" s="28"/>
      <c r="E43" s="28"/>
      <c r="F43" s="28"/>
      <c r="G43" s="28"/>
      <c r="H43" s="28"/>
      <c r="I43" s="29"/>
      <c r="J43" s="30"/>
      <c r="K43" s="30"/>
      <c r="L43" s="28"/>
      <c r="M43" s="28"/>
      <c r="N43" s="1" t="str">
        <f aca="false">IF(COUNT(B43:L43)=11,"Да","Не")</f>
        <v>Не</v>
      </c>
    </row>
    <row r="44" customFormat="false" ht="29" hidden="false" customHeight="true" outlineLevel="0" collapsed="false">
      <c r="A44" s="4" t="n">
        <f aca="false">Допускания!$D$6-WEEKDAY(Допускания!$D$6,2)+1+259</f>
        <v>46545</v>
      </c>
      <c r="B44" s="28"/>
      <c r="C44" s="28"/>
      <c r="D44" s="28"/>
      <c r="E44" s="28"/>
      <c r="F44" s="28"/>
      <c r="G44" s="28"/>
      <c r="H44" s="28"/>
      <c r="I44" s="29"/>
      <c r="J44" s="30"/>
      <c r="K44" s="30"/>
      <c r="L44" s="28"/>
      <c r="M44" s="28"/>
      <c r="N44" s="1" t="str">
        <f aca="false">IF(COUNT(B44:L44)=11,"Да","Не")</f>
        <v>Не</v>
      </c>
    </row>
    <row r="45" customFormat="false" ht="29" hidden="false" customHeight="true" outlineLevel="0" collapsed="false">
      <c r="A45" s="4" t="n">
        <f aca="false">Допускания!$D$6-WEEKDAY(Допускания!$D$6,2)+1+266</f>
        <v>46552</v>
      </c>
      <c r="B45" s="28"/>
      <c r="C45" s="28"/>
      <c r="D45" s="28"/>
      <c r="E45" s="28"/>
      <c r="F45" s="28"/>
      <c r="G45" s="28"/>
      <c r="H45" s="28"/>
      <c r="I45" s="29"/>
      <c r="J45" s="30"/>
      <c r="K45" s="30"/>
      <c r="L45" s="28"/>
      <c r="M45" s="28"/>
      <c r="N45" s="1" t="str">
        <f aca="false">IF(COUNT(B45:L45)=11,"Да","Не")</f>
        <v>Не</v>
      </c>
    </row>
    <row r="46" customFormat="false" ht="29" hidden="false" customHeight="true" outlineLevel="0" collapsed="false">
      <c r="A46" s="4" t="n">
        <f aca="false">Допускания!$D$6-WEEKDAY(Допускания!$D$6,2)+1+273</f>
        <v>46559</v>
      </c>
      <c r="B46" s="28"/>
      <c r="C46" s="28"/>
      <c r="D46" s="28"/>
      <c r="E46" s="28"/>
      <c r="F46" s="28"/>
      <c r="G46" s="28"/>
      <c r="H46" s="28"/>
      <c r="I46" s="29"/>
      <c r="J46" s="30"/>
      <c r="K46" s="30"/>
      <c r="L46" s="28"/>
      <c r="M46" s="28"/>
      <c r="N46" s="1" t="str">
        <f aca="false">IF(COUNT(B46:L46)=11,"Да","Не")</f>
        <v>Не</v>
      </c>
    </row>
    <row r="47" customFormat="false" ht="29" hidden="false" customHeight="true" outlineLevel="0" collapsed="false">
      <c r="A47" s="4" t="n">
        <f aca="false">Допускания!$D$6-WEEKDAY(Допускания!$D$6,2)+1+280</f>
        <v>46566</v>
      </c>
      <c r="B47" s="28"/>
      <c r="C47" s="28"/>
      <c r="D47" s="28"/>
      <c r="E47" s="28"/>
      <c r="F47" s="28"/>
      <c r="G47" s="28"/>
      <c r="H47" s="28"/>
      <c r="I47" s="29"/>
      <c r="J47" s="30"/>
      <c r="K47" s="30"/>
      <c r="L47" s="28"/>
      <c r="M47" s="28"/>
      <c r="N47" s="1" t="str">
        <f aca="false">IF(COUNT(B47:L47)=11,"Да","Не")</f>
        <v>Не</v>
      </c>
    </row>
    <row r="48" customFormat="false" ht="29" hidden="false" customHeight="true" outlineLevel="0" collapsed="false">
      <c r="A48" s="4" t="n">
        <f aca="false">Допускания!$D$6-WEEKDAY(Допускания!$D$6,2)+1+287</f>
        <v>46573</v>
      </c>
      <c r="B48" s="28"/>
      <c r="C48" s="28"/>
      <c r="D48" s="28"/>
      <c r="E48" s="28"/>
      <c r="F48" s="28"/>
      <c r="G48" s="28"/>
      <c r="H48" s="28"/>
      <c r="I48" s="29"/>
      <c r="J48" s="30"/>
      <c r="K48" s="30"/>
      <c r="L48" s="28"/>
      <c r="M48" s="28"/>
      <c r="N48" s="1" t="str">
        <f aca="false">IF(COUNT(B48:L48)=11,"Да","Не")</f>
        <v>Не</v>
      </c>
    </row>
    <row r="49" customFormat="false" ht="29" hidden="false" customHeight="true" outlineLevel="0" collapsed="false">
      <c r="A49" s="4" t="n">
        <f aca="false">Допускания!$D$6-WEEKDAY(Допускания!$D$6,2)+1+294</f>
        <v>46580</v>
      </c>
      <c r="B49" s="28"/>
      <c r="C49" s="28"/>
      <c r="D49" s="28"/>
      <c r="E49" s="28"/>
      <c r="F49" s="28"/>
      <c r="G49" s="28"/>
      <c r="H49" s="28"/>
      <c r="I49" s="29"/>
      <c r="J49" s="30"/>
      <c r="K49" s="30"/>
      <c r="L49" s="28"/>
      <c r="M49" s="28"/>
      <c r="N49" s="1" t="str">
        <f aca="false">IF(COUNT(B49:L49)=11,"Да","Не")</f>
        <v>Не</v>
      </c>
    </row>
    <row r="50" customFormat="false" ht="29" hidden="false" customHeight="true" outlineLevel="0" collapsed="false">
      <c r="A50" s="4" t="n">
        <f aca="false">Допускания!$D$6-WEEKDAY(Допускания!$D$6,2)+1+301</f>
        <v>46587</v>
      </c>
      <c r="B50" s="28"/>
      <c r="C50" s="28"/>
      <c r="D50" s="28"/>
      <c r="E50" s="28"/>
      <c r="F50" s="28"/>
      <c r="G50" s="28"/>
      <c r="H50" s="28"/>
      <c r="I50" s="29"/>
      <c r="J50" s="30"/>
      <c r="K50" s="30"/>
      <c r="L50" s="28"/>
      <c r="M50" s="28"/>
      <c r="N50" s="1" t="str">
        <f aca="false">IF(COUNT(B50:L50)=11,"Да","Не")</f>
        <v>Не</v>
      </c>
    </row>
    <row r="51" customFormat="false" ht="29" hidden="false" customHeight="true" outlineLevel="0" collapsed="false">
      <c r="A51" s="4" t="n">
        <f aca="false">Допускания!$D$6-WEEKDAY(Допускания!$D$6,2)+1+308</f>
        <v>46594</v>
      </c>
      <c r="B51" s="28"/>
      <c r="C51" s="28"/>
      <c r="D51" s="28"/>
      <c r="E51" s="28"/>
      <c r="F51" s="28"/>
      <c r="G51" s="28"/>
      <c r="H51" s="28"/>
      <c r="I51" s="29"/>
      <c r="J51" s="30"/>
      <c r="K51" s="30"/>
      <c r="L51" s="28"/>
      <c r="M51" s="28"/>
      <c r="N51" s="1" t="str">
        <f aca="false">IF(COUNT(B51:L51)=11,"Да","Не")</f>
        <v>Не</v>
      </c>
    </row>
    <row r="52" customFormat="false" ht="29" hidden="false" customHeight="true" outlineLevel="0" collapsed="false">
      <c r="A52" s="4" t="n">
        <f aca="false">Допускания!$D$6-WEEKDAY(Допускания!$D$6,2)+1+315</f>
        <v>46601</v>
      </c>
      <c r="B52" s="28"/>
      <c r="C52" s="28"/>
      <c r="D52" s="28"/>
      <c r="E52" s="28"/>
      <c r="F52" s="28"/>
      <c r="G52" s="28"/>
      <c r="H52" s="28"/>
      <c r="I52" s="29"/>
      <c r="J52" s="30"/>
      <c r="K52" s="30"/>
      <c r="L52" s="28"/>
      <c r="M52" s="28"/>
      <c r="N52" s="1" t="str">
        <f aca="false">IF(COUNT(B52:L52)=11,"Да","Не")</f>
        <v>Не</v>
      </c>
    </row>
    <row r="53" customFormat="false" ht="29" hidden="false" customHeight="true" outlineLevel="0" collapsed="false">
      <c r="A53" s="4" t="n">
        <f aca="false">Допускания!$D$6-WEEKDAY(Допускания!$D$6,2)+1+322</f>
        <v>46608</v>
      </c>
      <c r="B53" s="28"/>
      <c r="C53" s="28"/>
      <c r="D53" s="28"/>
      <c r="E53" s="28"/>
      <c r="F53" s="28"/>
      <c r="G53" s="28"/>
      <c r="H53" s="28"/>
      <c r="I53" s="29"/>
      <c r="J53" s="30"/>
      <c r="K53" s="30"/>
      <c r="L53" s="28"/>
      <c r="M53" s="28"/>
      <c r="N53" s="1" t="str">
        <f aca="false">IF(COUNT(B53:L53)=11,"Да","Не")</f>
        <v>Не</v>
      </c>
    </row>
    <row r="54" customFormat="false" ht="29" hidden="false" customHeight="true" outlineLevel="0" collapsed="false">
      <c r="A54" s="4" t="n">
        <f aca="false">Допускания!$D$6-WEEKDAY(Допускания!$D$6,2)+1+329</f>
        <v>46615</v>
      </c>
      <c r="B54" s="28"/>
      <c r="C54" s="28"/>
      <c r="D54" s="28"/>
      <c r="E54" s="28"/>
      <c r="F54" s="28"/>
      <c r="G54" s="28"/>
      <c r="H54" s="28"/>
      <c r="I54" s="29"/>
      <c r="J54" s="30"/>
      <c r="K54" s="30"/>
      <c r="L54" s="28"/>
      <c r="M54" s="28"/>
      <c r="N54" s="1" t="str">
        <f aca="false">IF(COUNT(B54:L54)=11,"Да","Не")</f>
        <v>Не</v>
      </c>
    </row>
    <row r="55" customFormat="false" ht="29" hidden="false" customHeight="true" outlineLevel="0" collapsed="false">
      <c r="A55" s="4" t="n">
        <f aca="false">Допускания!$D$6-WEEKDAY(Допускания!$D$6,2)+1+336</f>
        <v>46622</v>
      </c>
      <c r="B55" s="28"/>
      <c r="C55" s="28"/>
      <c r="D55" s="28"/>
      <c r="E55" s="28"/>
      <c r="F55" s="28"/>
      <c r="G55" s="28"/>
      <c r="H55" s="28"/>
      <c r="I55" s="29"/>
      <c r="J55" s="30"/>
      <c r="K55" s="30"/>
      <c r="L55" s="28"/>
      <c r="M55" s="28"/>
      <c r="N55" s="1" t="str">
        <f aca="false">IF(COUNT(B55:L55)=11,"Да","Не")</f>
        <v>Не</v>
      </c>
    </row>
    <row r="56" customFormat="false" ht="29" hidden="false" customHeight="true" outlineLevel="0" collapsed="false">
      <c r="A56" s="4" t="n">
        <f aca="false">Допускания!$D$6-WEEKDAY(Допускания!$D$6,2)+1+343</f>
        <v>46629</v>
      </c>
      <c r="B56" s="28"/>
      <c r="C56" s="28"/>
      <c r="D56" s="28"/>
      <c r="E56" s="28"/>
      <c r="F56" s="28"/>
      <c r="G56" s="28"/>
      <c r="H56" s="28"/>
      <c r="I56" s="29"/>
      <c r="J56" s="30"/>
      <c r="K56" s="30"/>
      <c r="L56" s="28"/>
      <c r="M56" s="28"/>
      <c r="N56" s="1" t="str">
        <f aca="false">IF(COUNT(B56:L56)=11,"Да","Не")</f>
        <v>Не</v>
      </c>
    </row>
    <row r="57" customFormat="false" ht="29" hidden="false" customHeight="true" outlineLevel="0" collapsed="false">
      <c r="A57" s="4" t="n">
        <f aca="false">Допускания!$D$6-WEEKDAY(Допускания!$D$6,2)+1+350</f>
        <v>46636</v>
      </c>
      <c r="B57" s="28"/>
      <c r="C57" s="28"/>
      <c r="D57" s="28"/>
      <c r="E57" s="28"/>
      <c r="F57" s="28"/>
      <c r="G57" s="28"/>
      <c r="H57" s="28"/>
      <c r="I57" s="29"/>
      <c r="J57" s="30"/>
      <c r="K57" s="30"/>
      <c r="L57" s="28"/>
      <c r="M57" s="28"/>
      <c r="N57" s="1" t="str">
        <f aca="false">IF(COUNT(B57:L57)=11,"Да","Не")</f>
        <v>Не</v>
      </c>
    </row>
    <row r="58" customFormat="false" ht="29" hidden="false" customHeight="true" outlineLevel="0" collapsed="false">
      <c r="A58" s="4" t="n">
        <f aca="false">Допускания!$D$6-WEEKDAY(Допускания!$D$6,2)+1+357</f>
        <v>46643</v>
      </c>
      <c r="B58" s="28"/>
      <c r="C58" s="28"/>
      <c r="D58" s="28"/>
      <c r="E58" s="28"/>
      <c r="F58" s="28"/>
      <c r="G58" s="28"/>
      <c r="H58" s="28"/>
      <c r="I58" s="29"/>
      <c r="J58" s="30"/>
      <c r="K58" s="30"/>
      <c r="L58" s="28"/>
      <c r="M58" s="28"/>
      <c r="N58" s="1" t="str">
        <f aca="false">IF(COUNT(B58:L58)=11,"Да","Не")</f>
        <v>Не</v>
      </c>
    </row>
    <row r="59" customFormat="false" ht="29" hidden="false" customHeight="true" outlineLevel="0" collapsed="false">
      <c r="A59" s="4" t="n">
        <f aca="false">Допускания!$D$6-WEEKDAY(Допускания!$D$6,2)+1+364</f>
        <v>46650</v>
      </c>
      <c r="B59" s="28"/>
      <c r="C59" s="28"/>
      <c r="D59" s="28"/>
      <c r="E59" s="28"/>
      <c r="F59" s="28"/>
      <c r="G59" s="28"/>
      <c r="H59" s="28"/>
      <c r="I59" s="29"/>
      <c r="J59" s="30"/>
      <c r="K59" s="30"/>
      <c r="L59" s="28"/>
      <c r="M59" s="28"/>
      <c r="N59" s="1" t="str">
        <f aca="false">IF(COUNT(B59:L59)=11,"Да","Не")</f>
        <v>Не</v>
      </c>
    </row>
    <row r="60" customFormat="false" ht="29" hidden="false" customHeight="true" outlineLevel="0" collapsed="false">
      <c r="A60" s="4" t="n">
        <f aca="false">Допускания!$D$6-WEEKDAY(Допускания!$D$6,2)+1+371</f>
        <v>46657</v>
      </c>
      <c r="B60" s="28"/>
      <c r="C60" s="28"/>
      <c r="D60" s="28"/>
      <c r="E60" s="28"/>
      <c r="F60" s="28"/>
      <c r="G60" s="28"/>
      <c r="H60" s="28"/>
      <c r="I60" s="29"/>
      <c r="J60" s="30"/>
      <c r="K60" s="30"/>
      <c r="L60" s="28"/>
      <c r="M60" s="28"/>
      <c r="N60" s="1" t="str">
        <f aca="false">IF(COUNT(B60:L60)=11,"Да","Не")</f>
        <v>Не</v>
      </c>
    </row>
    <row r="61" customFormat="false" ht="29" hidden="false" customHeight="true" outlineLevel="0" collapsed="false">
      <c r="A61" s="4" t="n">
        <f aca="false">Допускания!$D$6-WEEKDAY(Допускания!$D$6,2)+1+378</f>
        <v>46664</v>
      </c>
      <c r="B61" s="28"/>
      <c r="C61" s="28"/>
      <c r="D61" s="28"/>
      <c r="E61" s="28"/>
      <c r="F61" s="28"/>
      <c r="G61" s="28"/>
      <c r="H61" s="28"/>
      <c r="I61" s="29"/>
      <c r="J61" s="30"/>
      <c r="K61" s="30"/>
      <c r="L61" s="28"/>
      <c r="M61" s="28"/>
      <c r="N61" s="1" t="str">
        <f aca="false">IF(COUNT(B61:L61)=11,"Да","Не")</f>
        <v>Не</v>
      </c>
    </row>
    <row r="62" customFormat="false" ht="29" hidden="false" customHeight="true" outlineLevel="0" collapsed="false">
      <c r="A62" s="4" t="n">
        <f aca="false">Допускания!$D$6-WEEKDAY(Допускания!$D$6,2)+1+385</f>
        <v>46671</v>
      </c>
      <c r="B62" s="28"/>
      <c r="C62" s="28"/>
      <c r="D62" s="28"/>
      <c r="E62" s="28"/>
      <c r="F62" s="28"/>
      <c r="G62" s="28"/>
      <c r="H62" s="28"/>
      <c r="I62" s="29"/>
      <c r="J62" s="30"/>
      <c r="K62" s="30"/>
      <c r="L62" s="28"/>
      <c r="M62" s="28"/>
      <c r="N62" s="1" t="str">
        <f aca="false">IF(COUNT(B62:L62)=11,"Да","Не")</f>
        <v>Не</v>
      </c>
    </row>
    <row r="63" customFormat="false" ht="29" hidden="false" customHeight="true" outlineLevel="0" collapsed="false">
      <c r="A63" s="4" t="n">
        <f aca="false">Допускания!$D$6-WEEKDAY(Допускания!$D$6,2)+1+392</f>
        <v>46678</v>
      </c>
      <c r="B63" s="28"/>
      <c r="C63" s="28"/>
      <c r="D63" s="28"/>
      <c r="E63" s="28"/>
      <c r="F63" s="28"/>
      <c r="G63" s="28"/>
      <c r="H63" s="28"/>
      <c r="I63" s="29"/>
      <c r="J63" s="30"/>
      <c r="K63" s="30"/>
      <c r="L63" s="28"/>
      <c r="M63" s="28"/>
      <c r="N63" s="1" t="str">
        <f aca="false">IF(COUNT(B63:L63)=11,"Да","Не")</f>
        <v>Не</v>
      </c>
    </row>
    <row r="64" customFormat="false" ht="29" hidden="false" customHeight="true" outlineLevel="0" collapsed="false">
      <c r="A64" s="4" t="n">
        <f aca="false">Допускания!$D$6-WEEKDAY(Допускания!$D$6,2)+1+399</f>
        <v>46685</v>
      </c>
      <c r="B64" s="28"/>
      <c r="C64" s="28"/>
      <c r="D64" s="28"/>
      <c r="E64" s="28"/>
      <c r="F64" s="28"/>
      <c r="G64" s="28"/>
      <c r="H64" s="28"/>
      <c r="I64" s="29"/>
      <c r="J64" s="30"/>
      <c r="K64" s="30"/>
      <c r="L64" s="28"/>
      <c r="M64" s="28"/>
      <c r="N64" s="1" t="str">
        <f aca="false">IF(COUNT(B64:L64)=11,"Да","Не")</f>
        <v>Не</v>
      </c>
    </row>
    <row r="65" customFormat="false" ht="29" hidden="false" customHeight="true" outlineLevel="0" collapsed="false">
      <c r="A65" s="4" t="n">
        <f aca="false">Допускания!$D$6-WEEKDAY(Допускания!$D$6,2)+1+406</f>
        <v>46692</v>
      </c>
      <c r="B65" s="28"/>
      <c r="C65" s="28"/>
      <c r="D65" s="28"/>
      <c r="E65" s="28"/>
      <c r="F65" s="28"/>
      <c r="G65" s="28"/>
      <c r="H65" s="28"/>
      <c r="I65" s="29"/>
      <c r="J65" s="30"/>
      <c r="K65" s="30"/>
      <c r="L65" s="28"/>
      <c r="M65" s="28"/>
      <c r="N65" s="1" t="str">
        <f aca="false">IF(COUNT(B65:L65)=11,"Да","Не")</f>
        <v>Не</v>
      </c>
    </row>
    <row r="66" customFormat="false" ht="29" hidden="false" customHeight="true" outlineLevel="0" collapsed="false">
      <c r="A66" s="4" t="n">
        <f aca="false">Допускания!$D$6-WEEKDAY(Допускания!$D$6,2)+1+413</f>
        <v>46699</v>
      </c>
      <c r="B66" s="28"/>
      <c r="C66" s="28"/>
      <c r="D66" s="28"/>
      <c r="E66" s="28"/>
      <c r="F66" s="28"/>
      <c r="G66" s="28"/>
      <c r="H66" s="28"/>
      <c r="I66" s="29"/>
      <c r="J66" s="30"/>
      <c r="K66" s="30"/>
      <c r="L66" s="28"/>
      <c r="M66" s="28"/>
      <c r="N66" s="1" t="str">
        <f aca="false">IF(COUNT(B66:L66)=11,"Да","Не")</f>
        <v>Не</v>
      </c>
    </row>
    <row r="67" customFormat="false" ht="29" hidden="false" customHeight="true" outlineLevel="0" collapsed="false">
      <c r="A67" s="4" t="n">
        <f aca="false">Допускания!$D$6-WEEKDAY(Допускания!$D$6,2)+1+420</f>
        <v>46706</v>
      </c>
      <c r="B67" s="28"/>
      <c r="C67" s="28"/>
      <c r="D67" s="28"/>
      <c r="E67" s="28"/>
      <c r="F67" s="28"/>
      <c r="G67" s="28"/>
      <c r="H67" s="28"/>
      <c r="I67" s="29"/>
      <c r="J67" s="30"/>
      <c r="K67" s="30"/>
      <c r="L67" s="28"/>
      <c r="M67" s="28"/>
      <c r="N67" s="1" t="str">
        <f aca="false">IF(COUNT(B67:L67)=11,"Да","Не")</f>
        <v>Не</v>
      </c>
    </row>
    <row r="68" customFormat="false" ht="29" hidden="false" customHeight="true" outlineLevel="0" collapsed="false">
      <c r="A68" s="4" t="n">
        <f aca="false">Допускания!$D$6-WEEKDAY(Допускания!$D$6,2)+1+427</f>
        <v>46713</v>
      </c>
      <c r="B68" s="28"/>
      <c r="C68" s="28"/>
      <c r="D68" s="28"/>
      <c r="E68" s="28"/>
      <c r="F68" s="28"/>
      <c r="G68" s="28"/>
      <c r="H68" s="28"/>
      <c r="I68" s="29"/>
      <c r="J68" s="30"/>
      <c r="K68" s="30"/>
      <c r="L68" s="28"/>
      <c r="M68" s="28"/>
      <c r="N68" s="1" t="str">
        <f aca="false">IF(COUNT(B68:L68)=11,"Да","Не")</f>
        <v>Не</v>
      </c>
    </row>
    <row r="69" customFormat="false" ht="29" hidden="false" customHeight="true" outlineLevel="0" collapsed="false">
      <c r="A69" s="4" t="n">
        <f aca="false">Допускания!$D$6-WEEKDAY(Допускания!$D$6,2)+1+434</f>
        <v>46720</v>
      </c>
      <c r="B69" s="28"/>
      <c r="C69" s="28"/>
      <c r="D69" s="28"/>
      <c r="E69" s="28"/>
      <c r="F69" s="28"/>
      <c r="G69" s="28"/>
      <c r="H69" s="28"/>
      <c r="I69" s="29"/>
      <c r="J69" s="30"/>
      <c r="K69" s="30"/>
      <c r="L69" s="28"/>
      <c r="M69" s="28"/>
      <c r="N69" s="1" t="str">
        <f aca="false">IF(COUNT(B69:L69)=11,"Да","Не")</f>
        <v>Не</v>
      </c>
    </row>
    <row r="70" customFormat="false" ht="29" hidden="false" customHeight="true" outlineLevel="0" collapsed="false">
      <c r="A70" s="4" t="n">
        <f aca="false">Допускания!$D$6-WEEKDAY(Допускания!$D$6,2)+1+441</f>
        <v>46727</v>
      </c>
      <c r="B70" s="28"/>
      <c r="C70" s="28"/>
      <c r="D70" s="28"/>
      <c r="E70" s="28"/>
      <c r="F70" s="28"/>
      <c r="G70" s="28"/>
      <c r="H70" s="28"/>
      <c r="I70" s="29"/>
      <c r="J70" s="30"/>
      <c r="K70" s="30"/>
      <c r="L70" s="28"/>
      <c r="M70" s="28"/>
      <c r="N70" s="1" t="str">
        <f aca="false">IF(COUNT(B70:L70)=11,"Да","Не")</f>
        <v>Не</v>
      </c>
    </row>
    <row r="71" customFormat="false" ht="29" hidden="false" customHeight="true" outlineLevel="0" collapsed="false">
      <c r="A71" s="4" t="n">
        <f aca="false">Допускания!$D$6-WEEKDAY(Допускания!$D$6,2)+1+448</f>
        <v>46734</v>
      </c>
      <c r="B71" s="28"/>
      <c r="C71" s="28"/>
      <c r="D71" s="28"/>
      <c r="E71" s="28"/>
      <c r="F71" s="28"/>
      <c r="G71" s="28"/>
      <c r="H71" s="28"/>
      <c r="I71" s="29"/>
      <c r="J71" s="30"/>
      <c r="K71" s="30"/>
      <c r="L71" s="28"/>
      <c r="M71" s="28"/>
      <c r="N71" s="1" t="str">
        <f aca="false">IF(COUNT(B71:L71)=11,"Да","Не")</f>
        <v>Не</v>
      </c>
    </row>
    <row r="72" customFormat="false" ht="29" hidden="false" customHeight="true" outlineLevel="0" collapsed="false">
      <c r="A72" s="4" t="n">
        <f aca="false">Допускания!$D$6-WEEKDAY(Допускания!$D$6,2)+1+455</f>
        <v>46741</v>
      </c>
      <c r="B72" s="28"/>
      <c r="C72" s="28"/>
      <c r="D72" s="28"/>
      <c r="E72" s="28"/>
      <c r="F72" s="28"/>
      <c r="G72" s="28"/>
      <c r="H72" s="28"/>
      <c r="I72" s="29"/>
      <c r="J72" s="30"/>
      <c r="K72" s="30"/>
      <c r="L72" s="28"/>
      <c r="M72" s="28"/>
      <c r="N72" s="1" t="str">
        <f aca="false">IF(COUNT(B72:L72)=11,"Да","Не")</f>
        <v>Не</v>
      </c>
    </row>
    <row r="73" customFormat="false" ht="29" hidden="false" customHeight="true" outlineLevel="0" collapsed="false">
      <c r="A73" s="4" t="n">
        <f aca="false">Допускания!$D$6-WEEKDAY(Допускания!$D$6,2)+1+462</f>
        <v>46748</v>
      </c>
      <c r="B73" s="28"/>
      <c r="C73" s="28"/>
      <c r="D73" s="28"/>
      <c r="E73" s="28"/>
      <c r="F73" s="28"/>
      <c r="G73" s="28"/>
      <c r="H73" s="28"/>
      <c r="I73" s="29"/>
      <c r="J73" s="30"/>
      <c r="K73" s="30"/>
      <c r="L73" s="28"/>
      <c r="M73" s="28"/>
      <c r="N73" s="1" t="str">
        <f aca="false">IF(COUNT(B73:L73)=11,"Да","Не")</f>
        <v>Не</v>
      </c>
    </row>
    <row r="74" customFormat="false" ht="29" hidden="false" customHeight="true" outlineLevel="0" collapsed="false">
      <c r="A74" s="4" t="n">
        <f aca="false">Допускания!$D$6-WEEKDAY(Допускания!$D$6,2)+1+469</f>
        <v>46755</v>
      </c>
      <c r="B74" s="28"/>
      <c r="C74" s="28"/>
      <c r="D74" s="28"/>
      <c r="E74" s="28"/>
      <c r="F74" s="28"/>
      <c r="G74" s="28"/>
      <c r="H74" s="28"/>
      <c r="I74" s="29"/>
      <c r="J74" s="30"/>
      <c r="K74" s="30"/>
      <c r="L74" s="28"/>
      <c r="M74" s="28"/>
      <c r="N74" s="1" t="str">
        <f aca="false">IF(COUNT(B74:L74)=11,"Да","Не")</f>
        <v>Не</v>
      </c>
    </row>
    <row r="75" customFormat="false" ht="29" hidden="false" customHeight="true" outlineLevel="0" collapsed="false">
      <c r="A75" s="4" t="n">
        <f aca="false">Допускания!$D$6-WEEKDAY(Допускания!$D$6,2)+1+476</f>
        <v>46762</v>
      </c>
      <c r="B75" s="28"/>
      <c r="C75" s="28"/>
      <c r="D75" s="28"/>
      <c r="E75" s="28"/>
      <c r="F75" s="28"/>
      <c r="G75" s="28"/>
      <c r="H75" s="28"/>
      <c r="I75" s="29"/>
      <c r="J75" s="30"/>
      <c r="K75" s="30"/>
      <c r="L75" s="28"/>
      <c r="M75" s="28"/>
      <c r="N75" s="1" t="str">
        <f aca="false">IF(COUNT(B75:L75)=11,"Да","Не")</f>
        <v>Не</v>
      </c>
    </row>
    <row r="76" customFormat="false" ht="29" hidden="false" customHeight="true" outlineLevel="0" collapsed="false">
      <c r="A76" s="4" t="n">
        <f aca="false">Допускания!$D$6-WEEKDAY(Допускания!$D$6,2)+1+483</f>
        <v>46769</v>
      </c>
      <c r="B76" s="28"/>
      <c r="C76" s="28"/>
      <c r="D76" s="28"/>
      <c r="E76" s="28"/>
      <c r="F76" s="28"/>
      <c r="G76" s="28"/>
      <c r="H76" s="28"/>
      <c r="I76" s="29"/>
      <c r="J76" s="30"/>
      <c r="K76" s="30"/>
      <c r="L76" s="28"/>
      <c r="M76" s="28"/>
      <c r="N76" s="1" t="str">
        <f aca="false">IF(COUNT(B76:L76)=11,"Да","Не")</f>
        <v>Не</v>
      </c>
    </row>
    <row r="77" customFormat="false" ht="29" hidden="false" customHeight="true" outlineLevel="0" collapsed="false">
      <c r="A77" s="4" t="n">
        <f aca="false">Допускания!$D$6-WEEKDAY(Допускания!$D$6,2)+1+490</f>
        <v>46776</v>
      </c>
      <c r="B77" s="28"/>
      <c r="C77" s="28"/>
      <c r="D77" s="28"/>
      <c r="E77" s="28"/>
      <c r="F77" s="28"/>
      <c r="G77" s="28"/>
      <c r="H77" s="28"/>
      <c r="I77" s="29"/>
      <c r="J77" s="30"/>
      <c r="K77" s="30"/>
      <c r="L77" s="28"/>
      <c r="M77" s="28"/>
      <c r="N77" s="1" t="str">
        <f aca="false">IF(COUNT(B77:L77)=11,"Да","Не")</f>
        <v>Не</v>
      </c>
    </row>
    <row r="78" customFormat="false" ht="29" hidden="false" customHeight="true" outlineLevel="0" collapsed="false">
      <c r="A78" s="4" t="n">
        <f aca="false">Допускания!$D$6-WEEKDAY(Допускания!$D$6,2)+1+497</f>
        <v>46783</v>
      </c>
      <c r="B78" s="28"/>
      <c r="C78" s="28"/>
      <c r="D78" s="28"/>
      <c r="E78" s="28"/>
      <c r="F78" s="28"/>
      <c r="G78" s="28"/>
      <c r="H78" s="28"/>
      <c r="I78" s="29"/>
      <c r="J78" s="30"/>
      <c r="K78" s="30"/>
      <c r="L78" s="28"/>
      <c r="M78" s="28"/>
      <c r="N78" s="1" t="str">
        <f aca="false">IF(COUNT(B78:L78)=11,"Да","Не")</f>
        <v>Не</v>
      </c>
    </row>
    <row r="79" customFormat="false" ht="29" hidden="false" customHeight="true" outlineLevel="0" collapsed="false">
      <c r="A79" s="4" t="n">
        <f aca="false">Допускания!$D$6-WEEKDAY(Допускания!$D$6,2)+1+504</f>
        <v>46790</v>
      </c>
      <c r="B79" s="28"/>
      <c r="C79" s="28"/>
      <c r="D79" s="28"/>
      <c r="E79" s="28"/>
      <c r="F79" s="28"/>
      <c r="G79" s="28"/>
      <c r="H79" s="28"/>
      <c r="I79" s="29"/>
      <c r="J79" s="30"/>
      <c r="K79" s="30"/>
      <c r="L79" s="28"/>
      <c r="M79" s="28"/>
      <c r="N79" s="1" t="str">
        <f aca="false">IF(COUNT(B79:L79)=11,"Да","Не")</f>
        <v>Не</v>
      </c>
    </row>
    <row r="80" customFormat="false" ht="29" hidden="false" customHeight="true" outlineLevel="0" collapsed="false">
      <c r="A80" s="4" t="n">
        <f aca="false">Допускания!$D$6-WEEKDAY(Допускания!$D$6,2)+1+511</f>
        <v>46797</v>
      </c>
      <c r="B80" s="28"/>
      <c r="C80" s="28"/>
      <c r="D80" s="28"/>
      <c r="E80" s="28"/>
      <c r="F80" s="28"/>
      <c r="G80" s="28"/>
      <c r="H80" s="28"/>
      <c r="I80" s="29"/>
      <c r="J80" s="30"/>
      <c r="K80" s="30"/>
      <c r="L80" s="28"/>
      <c r="M80" s="28"/>
      <c r="N80" s="1" t="str">
        <f aca="false">IF(COUNT(B80:L80)=11,"Да","Не")</f>
        <v>Не</v>
      </c>
    </row>
    <row r="81" customFormat="false" ht="29" hidden="false" customHeight="true" outlineLevel="0" collapsed="false">
      <c r="A81" s="4" t="n">
        <f aca="false">Допускания!$D$6-WEEKDAY(Допускания!$D$6,2)+1+518</f>
        <v>46804</v>
      </c>
      <c r="B81" s="28"/>
      <c r="C81" s="28"/>
      <c r="D81" s="28"/>
      <c r="E81" s="28"/>
      <c r="F81" s="28"/>
      <c r="G81" s="28"/>
      <c r="H81" s="28"/>
      <c r="I81" s="29"/>
      <c r="J81" s="30"/>
      <c r="K81" s="30"/>
      <c r="L81" s="28"/>
      <c r="M81" s="28"/>
      <c r="N81" s="1" t="str">
        <f aca="false">IF(COUNT(B81:L81)=11,"Да","Не")</f>
        <v>Не</v>
      </c>
    </row>
    <row r="82" customFormat="false" ht="29" hidden="false" customHeight="true" outlineLevel="0" collapsed="false">
      <c r="A82" s="4" t="n">
        <f aca="false">Допускания!$D$6-WEEKDAY(Допускания!$D$6,2)+1+525</f>
        <v>46811</v>
      </c>
      <c r="B82" s="28"/>
      <c r="C82" s="28"/>
      <c r="D82" s="28"/>
      <c r="E82" s="28"/>
      <c r="F82" s="28"/>
      <c r="G82" s="28"/>
      <c r="H82" s="28"/>
      <c r="I82" s="29"/>
      <c r="J82" s="30"/>
      <c r="K82" s="30"/>
      <c r="L82" s="28"/>
      <c r="M82" s="28"/>
      <c r="N82" s="1" t="str">
        <f aca="false">IF(COUNT(B82:L82)=11,"Да","Не")</f>
        <v>Не</v>
      </c>
    </row>
    <row r="83" customFormat="false" ht="29" hidden="false" customHeight="true" outlineLevel="0" collapsed="false">
      <c r="A83" s="4" t="n">
        <f aca="false">Допускания!$D$6-WEEKDAY(Допускания!$D$6,2)+1+532</f>
        <v>46818</v>
      </c>
      <c r="B83" s="28"/>
      <c r="C83" s="28"/>
      <c r="D83" s="28"/>
      <c r="E83" s="28"/>
      <c r="F83" s="28"/>
      <c r="G83" s="28"/>
      <c r="H83" s="28"/>
      <c r="I83" s="29"/>
      <c r="J83" s="30"/>
      <c r="K83" s="30"/>
      <c r="L83" s="28"/>
      <c r="M83" s="28"/>
      <c r="N83" s="1" t="str">
        <f aca="false">IF(COUNT(B83:L83)=11,"Да","Не")</f>
        <v>Не</v>
      </c>
    </row>
    <row r="84" customFormat="false" ht="29" hidden="false" customHeight="true" outlineLevel="0" collapsed="false">
      <c r="A84" s="4" t="n">
        <f aca="false">Допускания!$D$6-WEEKDAY(Допускания!$D$6,2)+1+539</f>
        <v>46825</v>
      </c>
      <c r="B84" s="28"/>
      <c r="C84" s="28"/>
      <c r="D84" s="28"/>
      <c r="E84" s="28"/>
      <c r="F84" s="28"/>
      <c r="G84" s="28"/>
      <c r="H84" s="28"/>
      <c r="I84" s="29"/>
      <c r="J84" s="30"/>
      <c r="K84" s="30"/>
      <c r="L84" s="28"/>
      <c r="M84" s="28"/>
      <c r="N84" s="1" t="str">
        <f aca="false">IF(COUNT(B84:L84)=11,"Да","Не")</f>
        <v>Не</v>
      </c>
    </row>
    <row r="85" customFormat="false" ht="29" hidden="false" customHeight="true" outlineLevel="0" collapsed="false">
      <c r="A85" s="4" t="n">
        <f aca="false">Допускания!$D$6-WEEKDAY(Допускания!$D$6,2)+1+546</f>
        <v>46832</v>
      </c>
      <c r="B85" s="28"/>
      <c r="C85" s="28"/>
      <c r="D85" s="28"/>
      <c r="E85" s="28"/>
      <c r="F85" s="28"/>
      <c r="G85" s="28"/>
      <c r="H85" s="28"/>
      <c r="I85" s="29"/>
      <c r="J85" s="30"/>
      <c r="K85" s="30"/>
      <c r="L85" s="28"/>
      <c r="M85" s="28"/>
      <c r="N85" s="1" t="str">
        <f aca="false">IF(COUNT(B85:L85)=11,"Да","Не")</f>
        <v>Не</v>
      </c>
    </row>
    <row r="86" customFormat="false" ht="29" hidden="false" customHeight="true" outlineLevel="0" collapsed="false">
      <c r="A86" s="4" t="n">
        <f aca="false">Допускания!$D$6-WEEKDAY(Допускания!$D$6,2)+1+553</f>
        <v>46839</v>
      </c>
      <c r="B86" s="28"/>
      <c r="C86" s="28"/>
      <c r="D86" s="28"/>
      <c r="E86" s="28"/>
      <c r="F86" s="28"/>
      <c r="G86" s="28"/>
      <c r="H86" s="28"/>
      <c r="I86" s="29"/>
      <c r="J86" s="30"/>
      <c r="K86" s="30"/>
      <c r="L86" s="28"/>
      <c r="M86" s="28"/>
      <c r="N86" s="1" t="str">
        <f aca="false">IF(COUNT(B86:L86)=11,"Да","Не")</f>
        <v>Не</v>
      </c>
    </row>
    <row r="87" customFormat="false" ht="29" hidden="false" customHeight="true" outlineLevel="0" collapsed="false">
      <c r="A87" s="4" t="n">
        <f aca="false">Допускания!$D$6-WEEKDAY(Допускания!$D$6,2)+1+560</f>
        <v>46846</v>
      </c>
      <c r="B87" s="28"/>
      <c r="C87" s="28"/>
      <c r="D87" s="28"/>
      <c r="E87" s="28"/>
      <c r="F87" s="28"/>
      <c r="G87" s="28"/>
      <c r="H87" s="28"/>
      <c r="I87" s="29"/>
      <c r="J87" s="30"/>
      <c r="K87" s="30"/>
      <c r="L87" s="28"/>
      <c r="M87" s="28"/>
      <c r="N87" s="1" t="str">
        <f aca="false">IF(COUNT(B87:L87)=11,"Да","Не")</f>
        <v>Не</v>
      </c>
    </row>
    <row r="88" customFormat="false" ht="29" hidden="false" customHeight="true" outlineLevel="0" collapsed="false">
      <c r="A88" s="4" t="n">
        <f aca="false">Допускания!$D$6-WEEKDAY(Допускания!$D$6,2)+1+567</f>
        <v>46853</v>
      </c>
      <c r="B88" s="28"/>
      <c r="C88" s="28"/>
      <c r="D88" s="28"/>
      <c r="E88" s="28"/>
      <c r="F88" s="28"/>
      <c r="G88" s="28"/>
      <c r="H88" s="28"/>
      <c r="I88" s="29"/>
      <c r="J88" s="30"/>
      <c r="K88" s="30"/>
      <c r="L88" s="28"/>
      <c r="M88" s="28"/>
      <c r="N88" s="1" t="str">
        <f aca="false">IF(COUNT(B88:L88)=11,"Да","Не")</f>
        <v>Не</v>
      </c>
    </row>
    <row r="89" customFormat="false" ht="29" hidden="false" customHeight="true" outlineLevel="0" collapsed="false">
      <c r="A89" s="4" t="n">
        <f aca="false">Допускания!$D$6-WEEKDAY(Допускания!$D$6,2)+1+574</f>
        <v>46860</v>
      </c>
      <c r="B89" s="28"/>
      <c r="C89" s="28"/>
      <c r="D89" s="28"/>
      <c r="E89" s="28"/>
      <c r="F89" s="28"/>
      <c r="G89" s="28"/>
      <c r="H89" s="28"/>
      <c r="I89" s="29"/>
      <c r="J89" s="30"/>
      <c r="K89" s="30"/>
      <c r="L89" s="28"/>
      <c r="M89" s="28"/>
      <c r="N89" s="1" t="str">
        <f aca="false">IF(COUNT(B89:L89)=11,"Да","Не")</f>
        <v>Не</v>
      </c>
    </row>
    <row r="90" customFormat="false" ht="29" hidden="false" customHeight="true" outlineLevel="0" collapsed="false">
      <c r="A90" s="4" t="n">
        <f aca="false">Допускания!$D$6-WEEKDAY(Допускания!$D$6,2)+1+581</f>
        <v>46867</v>
      </c>
      <c r="B90" s="28"/>
      <c r="C90" s="28"/>
      <c r="D90" s="28"/>
      <c r="E90" s="28"/>
      <c r="F90" s="28"/>
      <c r="G90" s="28"/>
      <c r="H90" s="28"/>
      <c r="I90" s="29"/>
      <c r="J90" s="30"/>
      <c r="K90" s="30"/>
      <c r="L90" s="28"/>
      <c r="M90" s="28"/>
      <c r="N90" s="1" t="str">
        <f aca="false">IF(COUNT(B90:L90)=11,"Да","Не")</f>
        <v>Не</v>
      </c>
    </row>
    <row r="91" customFormat="false" ht="29" hidden="false" customHeight="true" outlineLevel="0" collapsed="false">
      <c r="A91" s="4" t="n">
        <f aca="false">Допускания!$D$6-WEEKDAY(Допускания!$D$6,2)+1+588</f>
        <v>46874</v>
      </c>
      <c r="B91" s="28"/>
      <c r="C91" s="28"/>
      <c r="D91" s="28"/>
      <c r="E91" s="28"/>
      <c r="F91" s="28"/>
      <c r="G91" s="28"/>
      <c r="H91" s="28"/>
      <c r="I91" s="29"/>
      <c r="J91" s="30"/>
      <c r="K91" s="30"/>
      <c r="L91" s="28"/>
      <c r="M91" s="28"/>
      <c r="N91" s="1" t="str">
        <f aca="false">IF(COUNT(B91:L91)=11,"Да","Не")</f>
        <v>Не</v>
      </c>
    </row>
    <row r="92" customFormat="false" ht="29" hidden="false" customHeight="true" outlineLevel="0" collapsed="false">
      <c r="A92" s="4" t="n">
        <f aca="false">Допускания!$D$6-WEEKDAY(Допускания!$D$6,2)+1+595</f>
        <v>46881</v>
      </c>
      <c r="B92" s="28"/>
      <c r="C92" s="28"/>
      <c r="D92" s="28"/>
      <c r="E92" s="28"/>
      <c r="F92" s="28"/>
      <c r="G92" s="28"/>
      <c r="H92" s="28"/>
      <c r="I92" s="29"/>
      <c r="J92" s="30"/>
      <c r="K92" s="30"/>
      <c r="L92" s="28"/>
      <c r="M92" s="28"/>
      <c r="N92" s="1" t="str">
        <f aca="false">IF(COUNT(B92:L92)=11,"Да","Не")</f>
        <v>Не</v>
      </c>
    </row>
    <row r="93" customFormat="false" ht="29" hidden="false" customHeight="true" outlineLevel="0" collapsed="false">
      <c r="A93" s="4" t="n">
        <f aca="false">Допускания!$D$6-WEEKDAY(Допускания!$D$6,2)+1+602</f>
        <v>46888</v>
      </c>
      <c r="B93" s="28"/>
      <c r="C93" s="28"/>
      <c r="D93" s="28"/>
      <c r="E93" s="28"/>
      <c r="F93" s="28"/>
      <c r="G93" s="28"/>
      <c r="H93" s="28"/>
      <c r="I93" s="29"/>
      <c r="J93" s="30"/>
      <c r="K93" s="30"/>
      <c r="L93" s="28"/>
      <c r="M93" s="28"/>
      <c r="N93" s="1" t="str">
        <f aca="false">IF(COUNT(B93:L93)=11,"Да","Не")</f>
        <v>Не</v>
      </c>
    </row>
    <row r="94" customFormat="false" ht="29" hidden="false" customHeight="true" outlineLevel="0" collapsed="false">
      <c r="A94" s="4" t="n">
        <f aca="false">Допускания!$D$6-WEEKDAY(Допускания!$D$6,2)+1+609</f>
        <v>46895</v>
      </c>
      <c r="B94" s="28"/>
      <c r="C94" s="28"/>
      <c r="D94" s="28"/>
      <c r="E94" s="28"/>
      <c r="F94" s="28"/>
      <c r="G94" s="28"/>
      <c r="H94" s="28"/>
      <c r="I94" s="29"/>
      <c r="J94" s="30"/>
      <c r="K94" s="30"/>
      <c r="L94" s="28"/>
      <c r="M94" s="28"/>
      <c r="N94" s="1" t="str">
        <f aca="false">IF(COUNT(B94:L94)=11,"Да","Не")</f>
        <v>Не</v>
      </c>
    </row>
    <row r="95" customFormat="false" ht="29" hidden="false" customHeight="true" outlineLevel="0" collapsed="false">
      <c r="A95" s="4" t="n">
        <f aca="false">Допускания!$D$6-WEEKDAY(Допускания!$D$6,2)+1+616</f>
        <v>46902</v>
      </c>
      <c r="B95" s="28"/>
      <c r="C95" s="28"/>
      <c r="D95" s="28"/>
      <c r="E95" s="28"/>
      <c r="F95" s="28"/>
      <c r="G95" s="28"/>
      <c r="H95" s="28"/>
      <c r="I95" s="29"/>
      <c r="J95" s="30"/>
      <c r="K95" s="30"/>
      <c r="L95" s="28"/>
      <c r="M95" s="28"/>
      <c r="N95" s="1" t="str">
        <f aca="false">IF(COUNT(B95:L95)=11,"Да","Не")</f>
        <v>Не</v>
      </c>
    </row>
    <row r="96" customFormat="false" ht="29" hidden="false" customHeight="true" outlineLevel="0" collapsed="false">
      <c r="A96" s="4" t="n">
        <f aca="false">Допускания!$D$6-WEEKDAY(Допускания!$D$6,2)+1+623</f>
        <v>46909</v>
      </c>
      <c r="B96" s="28"/>
      <c r="C96" s="28"/>
      <c r="D96" s="28"/>
      <c r="E96" s="28"/>
      <c r="F96" s="28"/>
      <c r="G96" s="28"/>
      <c r="H96" s="28"/>
      <c r="I96" s="29"/>
      <c r="J96" s="30"/>
      <c r="K96" s="30"/>
      <c r="L96" s="28"/>
      <c r="M96" s="28"/>
      <c r="N96" s="1" t="str">
        <f aca="false">IF(COUNT(B96:L96)=11,"Да","Не")</f>
        <v>Не</v>
      </c>
    </row>
    <row r="97" customFormat="false" ht="29" hidden="false" customHeight="true" outlineLevel="0" collapsed="false">
      <c r="A97" s="4" t="n">
        <f aca="false">Допускания!$D$6-WEEKDAY(Допускания!$D$6,2)+1+630</f>
        <v>46916</v>
      </c>
      <c r="B97" s="28"/>
      <c r="C97" s="28"/>
      <c r="D97" s="28"/>
      <c r="E97" s="28"/>
      <c r="F97" s="28"/>
      <c r="G97" s="28"/>
      <c r="H97" s="28"/>
      <c r="I97" s="29"/>
      <c r="J97" s="30"/>
      <c r="K97" s="30"/>
      <c r="L97" s="28"/>
      <c r="M97" s="28"/>
      <c r="N97" s="1" t="str">
        <f aca="false">IF(COUNT(B97:L97)=11,"Да","Не")</f>
        <v>Не</v>
      </c>
    </row>
    <row r="98" customFormat="false" ht="29" hidden="false" customHeight="true" outlineLevel="0" collapsed="false">
      <c r="A98" s="4" t="n">
        <f aca="false">Допускания!$D$6-WEEKDAY(Допускания!$D$6,2)+1+637</f>
        <v>46923</v>
      </c>
      <c r="B98" s="28"/>
      <c r="C98" s="28"/>
      <c r="D98" s="28"/>
      <c r="E98" s="28"/>
      <c r="F98" s="28"/>
      <c r="G98" s="28"/>
      <c r="H98" s="28"/>
      <c r="I98" s="29"/>
      <c r="J98" s="30"/>
      <c r="K98" s="30"/>
      <c r="L98" s="28"/>
      <c r="M98" s="28"/>
      <c r="N98" s="1" t="str">
        <f aca="false">IF(COUNT(B98:L98)=11,"Да","Не")</f>
        <v>Не</v>
      </c>
    </row>
    <row r="99" customFormat="false" ht="29" hidden="false" customHeight="true" outlineLevel="0" collapsed="false">
      <c r="A99" s="4" t="n">
        <f aca="false">Допускания!$D$6-WEEKDAY(Допускания!$D$6,2)+1+644</f>
        <v>46930</v>
      </c>
      <c r="B99" s="28"/>
      <c r="C99" s="28"/>
      <c r="D99" s="28"/>
      <c r="E99" s="28"/>
      <c r="F99" s="28"/>
      <c r="G99" s="28"/>
      <c r="H99" s="28"/>
      <c r="I99" s="29"/>
      <c r="J99" s="30"/>
      <c r="K99" s="30"/>
      <c r="L99" s="28"/>
      <c r="M99" s="28"/>
      <c r="N99" s="1" t="str">
        <f aca="false">IF(COUNT(B99:L99)=11,"Да","Не")</f>
        <v>Не</v>
      </c>
    </row>
    <row r="100" customFormat="false" ht="29" hidden="false" customHeight="true" outlineLevel="0" collapsed="false">
      <c r="A100" s="4" t="n">
        <f aca="false">Допускания!$D$6-WEEKDAY(Допускания!$D$6,2)+1+651</f>
        <v>46937</v>
      </c>
      <c r="B100" s="28"/>
      <c r="C100" s="28"/>
      <c r="D100" s="28"/>
      <c r="E100" s="28"/>
      <c r="F100" s="28"/>
      <c r="G100" s="28"/>
      <c r="H100" s="28"/>
      <c r="I100" s="29"/>
      <c r="J100" s="30"/>
      <c r="K100" s="30"/>
      <c r="L100" s="28"/>
      <c r="M100" s="28"/>
      <c r="N100" s="1" t="str">
        <f aca="false">IF(COUNT(B100:L100)=11,"Да","Не")</f>
        <v>Не</v>
      </c>
    </row>
    <row r="101" customFormat="false" ht="29" hidden="false" customHeight="true" outlineLevel="0" collapsed="false">
      <c r="A101" s="4" t="n">
        <f aca="false">Допускания!$D$6-WEEKDAY(Допускания!$D$6,2)+1+658</f>
        <v>46944</v>
      </c>
      <c r="B101" s="28"/>
      <c r="C101" s="28"/>
      <c r="D101" s="28"/>
      <c r="E101" s="28"/>
      <c r="F101" s="28"/>
      <c r="G101" s="28"/>
      <c r="H101" s="28"/>
      <c r="I101" s="29"/>
      <c r="J101" s="30"/>
      <c r="K101" s="30"/>
      <c r="L101" s="28"/>
      <c r="M101" s="28"/>
      <c r="N101" s="1" t="str">
        <f aca="false">IF(COUNT(B101:L101)=11,"Да","Не")</f>
        <v>Не</v>
      </c>
    </row>
    <row r="102" customFormat="false" ht="29" hidden="false" customHeight="true" outlineLevel="0" collapsed="false">
      <c r="A102" s="4" t="n">
        <f aca="false">Допускания!$D$6-WEEKDAY(Допускания!$D$6,2)+1+665</f>
        <v>46951</v>
      </c>
      <c r="B102" s="28"/>
      <c r="C102" s="28"/>
      <c r="D102" s="28"/>
      <c r="E102" s="28"/>
      <c r="F102" s="28"/>
      <c r="G102" s="28"/>
      <c r="H102" s="28"/>
      <c r="I102" s="29"/>
      <c r="J102" s="30"/>
      <c r="K102" s="30"/>
      <c r="L102" s="28"/>
      <c r="M102" s="28"/>
      <c r="N102" s="1" t="str">
        <f aca="false">IF(COUNT(B102:L102)=11,"Да","Не")</f>
        <v>Не</v>
      </c>
    </row>
    <row r="103" customFormat="false" ht="29" hidden="false" customHeight="true" outlineLevel="0" collapsed="false">
      <c r="A103" s="4" t="n">
        <f aca="false">Допускания!$D$6-WEEKDAY(Допускания!$D$6,2)+1+672</f>
        <v>46958</v>
      </c>
      <c r="B103" s="28"/>
      <c r="C103" s="28"/>
      <c r="D103" s="28"/>
      <c r="E103" s="28"/>
      <c r="F103" s="28"/>
      <c r="G103" s="28"/>
      <c r="H103" s="28"/>
      <c r="I103" s="29"/>
      <c r="J103" s="30"/>
      <c r="K103" s="30"/>
      <c r="L103" s="28"/>
      <c r="M103" s="28"/>
      <c r="N103" s="1" t="str">
        <f aca="false">IF(COUNT(B103:L103)=11,"Да","Не")</f>
        <v>Не</v>
      </c>
    </row>
    <row r="104" customFormat="false" ht="29" hidden="false" customHeight="true" outlineLevel="0" collapsed="false">
      <c r="A104" s="4" t="n">
        <f aca="false">Допускания!$D$6-WEEKDAY(Допускания!$D$6,2)+1+679</f>
        <v>46965</v>
      </c>
      <c r="B104" s="28"/>
      <c r="C104" s="28"/>
      <c r="D104" s="28"/>
      <c r="E104" s="28"/>
      <c r="F104" s="28"/>
      <c r="G104" s="28"/>
      <c r="H104" s="28"/>
      <c r="I104" s="29"/>
      <c r="J104" s="30"/>
      <c r="K104" s="30"/>
      <c r="L104" s="28"/>
      <c r="M104" s="28"/>
      <c r="N104" s="1" t="str">
        <f aca="false">IF(COUNT(B104:L104)=11,"Да","Не")</f>
        <v>Не</v>
      </c>
    </row>
    <row r="105" customFormat="false" ht="29" hidden="false" customHeight="true" outlineLevel="0" collapsed="false">
      <c r="A105" s="4" t="n">
        <f aca="false">Допускания!$D$6-WEEKDAY(Допускания!$D$6,2)+1+686</f>
        <v>46972</v>
      </c>
      <c r="B105" s="28"/>
      <c r="C105" s="28"/>
      <c r="D105" s="28"/>
      <c r="E105" s="28"/>
      <c r="F105" s="28"/>
      <c r="G105" s="28"/>
      <c r="H105" s="28"/>
      <c r="I105" s="29"/>
      <c r="J105" s="30"/>
      <c r="K105" s="30"/>
      <c r="L105" s="28"/>
      <c r="M105" s="28"/>
      <c r="N105" s="1" t="str">
        <f aca="false">IF(COUNT(B105:L105)=11,"Да","Не")</f>
        <v>Не</v>
      </c>
    </row>
    <row r="106" customFormat="false" ht="29" hidden="false" customHeight="true" outlineLevel="0" collapsed="false">
      <c r="A106" s="4" t="n">
        <f aca="false">Допускания!$D$6-WEEKDAY(Допускания!$D$6,2)+1+693</f>
        <v>46979</v>
      </c>
      <c r="B106" s="28"/>
      <c r="C106" s="28"/>
      <c r="D106" s="28"/>
      <c r="E106" s="28"/>
      <c r="F106" s="28"/>
      <c r="G106" s="28"/>
      <c r="H106" s="28"/>
      <c r="I106" s="29"/>
      <c r="J106" s="30"/>
      <c r="K106" s="30"/>
      <c r="L106" s="28"/>
      <c r="M106" s="28"/>
      <c r="N106" s="1" t="str">
        <f aca="false">IF(COUNT(B106:L106)=11,"Да","Не")</f>
        <v>Не</v>
      </c>
    </row>
    <row r="107" customFormat="false" ht="29" hidden="false" customHeight="true" outlineLevel="0" collapsed="false">
      <c r="A107" s="4" t="n">
        <f aca="false">Допускания!$D$6-WEEKDAY(Допускания!$D$6,2)+1+700</f>
        <v>46986</v>
      </c>
      <c r="B107" s="28"/>
      <c r="C107" s="28"/>
      <c r="D107" s="28"/>
      <c r="E107" s="28"/>
      <c r="F107" s="28"/>
      <c r="G107" s="28"/>
      <c r="H107" s="28"/>
      <c r="I107" s="29"/>
      <c r="J107" s="30"/>
      <c r="K107" s="30"/>
      <c r="L107" s="28"/>
      <c r="M107" s="28"/>
      <c r="N107" s="1" t="str">
        <f aca="false">IF(COUNT(B107:L107)=11,"Да","Не")</f>
        <v>Не</v>
      </c>
    </row>
    <row r="108" customFormat="false" ht="29" hidden="false" customHeight="true" outlineLevel="0" collapsed="false">
      <c r="A108" s="4" t="n">
        <f aca="false">Допускания!$D$6-WEEKDAY(Допускания!$D$6,2)+1+707</f>
        <v>46993</v>
      </c>
      <c r="B108" s="28"/>
      <c r="C108" s="28"/>
      <c r="D108" s="28"/>
      <c r="E108" s="28"/>
      <c r="F108" s="28"/>
      <c r="G108" s="28"/>
      <c r="H108" s="28"/>
      <c r="I108" s="29"/>
      <c r="J108" s="30"/>
      <c r="K108" s="30"/>
      <c r="L108" s="28"/>
      <c r="M108" s="28"/>
      <c r="N108" s="1" t="str">
        <f aca="false">IF(COUNT(B108:L108)=11,"Да","Не")</f>
        <v>Не</v>
      </c>
    </row>
    <row r="109" customFormat="false" ht="29" hidden="false" customHeight="true" outlineLevel="0" collapsed="false">
      <c r="A109" s="4" t="n">
        <f aca="false">Допускания!$D$6-WEEKDAY(Допускания!$D$6,2)+1+714</f>
        <v>47000</v>
      </c>
      <c r="B109" s="28"/>
      <c r="C109" s="28"/>
      <c r="D109" s="28"/>
      <c r="E109" s="28"/>
      <c r="F109" s="28"/>
      <c r="G109" s="28"/>
      <c r="H109" s="28"/>
      <c r="I109" s="29"/>
      <c r="J109" s="30"/>
      <c r="K109" s="30"/>
      <c r="L109" s="28"/>
      <c r="M109" s="28"/>
      <c r="N109" s="1" t="str">
        <f aca="false">IF(COUNT(B109:L109)=11,"Да","Не")</f>
        <v>Не</v>
      </c>
    </row>
    <row r="110" customFormat="false" ht="29" hidden="false" customHeight="true" outlineLevel="0" collapsed="false">
      <c r="A110" s="4" t="n">
        <f aca="false">Допускания!$D$6-WEEKDAY(Допускания!$D$6,2)+1+721</f>
        <v>47007</v>
      </c>
      <c r="B110" s="28"/>
      <c r="C110" s="28"/>
      <c r="D110" s="28"/>
      <c r="E110" s="28"/>
      <c r="F110" s="28"/>
      <c r="G110" s="28"/>
      <c r="H110" s="28"/>
      <c r="I110" s="29"/>
      <c r="J110" s="30"/>
      <c r="K110" s="30"/>
      <c r="L110" s="28"/>
      <c r="M110" s="28"/>
      <c r="N110" s="1" t="str">
        <f aca="false">IF(COUNT(B110:L110)=11,"Да","Не")</f>
        <v>Не</v>
      </c>
    </row>
    <row r="111" customFormat="false" ht="29" hidden="false" customHeight="true" outlineLevel="0" collapsed="false">
      <c r="A111" s="4" t="n">
        <f aca="false">Допускания!$D$6-WEEKDAY(Допускания!$D$6,2)+1+728</f>
        <v>47014</v>
      </c>
      <c r="B111" s="28"/>
      <c r="C111" s="28"/>
      <c r="D111" s="28"/>
      <c r="E111" s="28"/>
      <c r="F111" s="28"/>
      <c r="G111" s="28"/>
      <c r="H111" s="28"/>
      <c r="I111" s="29"/>
      <c r="J111" s="30"/>
      <c r="K111" s="30"/>
      <c r="L111" s="28"/>
      <c r="M111" s="28"/>
      <c r="N111" s="1" t="str">
        <f aca="false">IF(COUNT(B111:L111)=11,"Да","Не")</f>
        <v>Не</v>
      </c>
    </row>
    <row r="112" customFormat="false" ht="29" hidden="false" customHeight="true" outlineLevel="0" collapsed="false">
      <c r="A112" s="4" t="n">
        <f aca="false">Допускания!$D$6-WEEKDAY(Допускания!$D$6,2)+1+735</f>
        <v>47021</v>
      </c>
      <c r="B112" s="28"/>
      <c r="C112" s="28"/>
      <c r="D112" s="28"/>
      <c r="E112" s="28"/>
      <c r="F112" s="28"/>
      <c r="G112" s="28"/>
      <c r="H112" s="28"/>
      <c r="I112" s="29"/>
      <c r="J112" s="30"/>
      <c r="K112" s="30"/>
      <c r="L112" s="28"/>
      <c r="M112" s="28"/>
      <c r="N112" s="1" t="str">
        <f aca="false">IF(COUNT(B112:L112)=11,"Да","Не")</f>
        <v>Не</v>
      </c>
    </row>
    <row r="113" customFormat="false" ht="29" hidden="false" customHeight="true" outlineLevel="0" collapsed="false">
      <c r="A113" s="4" t="n">
        <f aca="false">Допускания!$D$6-WEEKDAY(Допускания!$D$6,2)+1+742</f>
        <v>47028</v>
      </c>
      <c r="B113" s="28"/>
      <c r="C113" s="28"/>
      <c r="D113" s="28"/>
      <c r="E113" s="28"/>
      <c r="F113" s="28"/>
      <c r="G113" s="28"/>
      <c r="H113" s="28"/>
      <c r="I113" s="29"/>
      <c r="J113" s="30"/>
      <c r="K113" s="30"/>
      <c r="L113" s="28"/>
      <c r="M113" s="28"/>
      <c r="N113" s="1" t="str">
        <f aca="false">IF(COUNT(B113:L113)=11,"Да","Не")</f>
        <v>Не</v>
      </c>
    </row>
    <row r="114" customFormat="false" ht="29" hidden="false" customHeight="true" outlineLevel="0" collapsed="false">
      <c r="A114" s="4" t="n">
        <f aca="false">Допускания!$D$6-WEEKDAY(Допускания!$D$6,2)+1+749</f>
        <v>47035</v>
      </c>
      <c r="B114" s="28"/>
      <c r="C114" s="28"/>
      <c r="D114" s="28"/>
      <c r="E114" s="28"/>
      <c r="F114" s="28"/>
      <c r="G114" s="28"/>
      <c r="H114" s="28"/>
      <c r="I114" s="29"/>
      <c r="J114" s="30"/>
      <c r="K114" s="30"/>
      <c r="L114" s="28"/>
      <c r="M114" s="28"/>
      <c r="N114" s="1" t="str">
        <f aca="false">IF(COUNT(B114:L114)=11,"Да","Не")</f>
        <v>Не</v>
      </c>
    </row>
    <row r="115" customFormat="false" ht="29" hidden="false" customHeight="true" outlineLevel="0" collapsed="false">
      <c r="A115" s="4" t="n">
        <f aca="false">Допускания!$D$6-WEEKDAY(Допускания!$D$6,2)+1+756</f>
        <v>47042</v>
      </c>
      <c r="B115" s="28"/>
      <c r="C115" s="28"/>
      <c r="D115" s="28"/>
      <c r="E115" s="28"/>
      <c r="F115" s="28"/>
      <c r="G115" s="28"/>
      <c r="H115" s="28"/>
      <c r="I115" s="29"/>
      <c r="J115" s="30"/>
      <c r="K115" s="30"/>
      <c r="L115" s="28"/>
      <c r="M115" s="28"/>
      <c r="N115" s="1" t="str">
        <f aca="false">IF(COUNT(B115:L115)=11,"Да","Не")</f>
        <v>Не</v>
      </c>
    </row>
    <row r="116" customFormat="false" ht="29" hidden="false" customHeight="true" outlineLevel="0" collapsed="false">
      <c r="A116" s="4" t="n">
        <f aca="false">Допускания!$D$6-WEEKDAY(Допускания!$D$6,2)+1+763</f>
        <v>47049</v>
      </c>
      <c r="B116" s="28"/>
      <c r="C116" s="28"/>
      <c r="D116" s="28"/>
      <c r="E116" s="28"/>
      <c r="F116" s="28"/>
      <c r="G116" s="28"/>
      <c r="H116" s="28"/>
      <c r="I116" s="29"/>
      <c r="J116" s="30"/>
      <c r="K116" s="30"/>
      <c r="L116" s="28"/>
      <c r="M116" s="28"/>
      <c r="N116" s="1" t="str">
        <f aca="false">IF(COUNT(B116:L116)=11,"Да","Не")</f>
        <v>Не</v>
      </c>
    </row>
    <row r="117" customFormat="false" ht="29" hidden="false" customHeight="true" outlineLevel="0" collapsed="false">
      <c r="A117" s="4" t="n">
        <f aca="false">Допускания!$D$6-WEEKDAY(Допускания!$D$6,2)+1+770</f>
        <v>47056</v>
      </c>
      <c r="B117" s="28"/>
      <c r="C117" s="28"/>
      <c r="D117" s="28"/>
      <c r="E117" s="28"/>
      <c r="F117" s="28"/>
      <c r="G117" s="28"/>
      <c r="H117" s="28"/>
      <c r="I117" s="29"/>
      <c r="J117" s="30"/>
      <c r="K117" s="30"/>
      <c r="L117" s="28"/>
      <c r="M117" s="28"/>
      <c r="N117" s="1" t="str">
        <f aca="false">IF(COUNT(B117:L117)=11,"Да","Не")</f>
        <v>Не</v>
      </c>
    </row>
    <row r="118" customFormat="false" ht="29" hidden="false" customHeight="true" outlineLevel="0" collapsed="false">
      <c r="A118" s="4" t="n">
        <f aca="false">Допускания!$D$6-WEEKDAY(Допускания!$D$6,2)+1+777</f>
        <v>47063</v>
      </c>
      <c r="B118" s="28"/>
      <c r="C118" s="28"/>
      <c r="D118" s="28"/>
      <c r="E118" s="28"/>
      <c r="F118" s="28"/>
      <c r="G118" s="28"/>
      <c r="H118" s="28"/>
      <c r="I118" s="29"/>
      <c r="J118" s="30"/>
      <c r="K118" s="30"/>
      <c r="L118" s="28"/>
      <c r="M118" s="28"/>
      <c r="N118" s="1" t="str">
        <f aca="false">IF(COUNT(B118:L118)=11,"Да","Не")</f>
        <v>Не</v>
      </c>
    </row>
    <row r="119" customFormat="false" ht="29" hidden="false" customHeight="true" outlineLevel="0" collapsed="false">
      <c r="A119" s="4" t="n">
        <f aca="false">Допускания!$D$6-WEEKDAY(Допускания!$D$6,2)+1+784</f>
        <v>47070</v>
      </c>
      <c r="B119" s="28"/>
      <c r="C119" s="28"/>
      <c r="D119" s="28"/>
      <c r="E119" s="28"/>
      <c r="F119" s="28"/>
      <c r="G119" s="28"/>
      <c r="H119" s="28"/>
      <c r="I119" s="29"/>
      <c r="J119" s="30"/>
      <c r="K119" s="30"/>
      <c r="L119" s="28"/>
      <c r="M119" s="28"/>
      <c r="N119" s="1" t="str">
        <f aca="false">IF(COUNT(B119:L119)=11,"Да","Не")</f>
        <v>Не</v>
      </c>
    </row>
    <row r="120" customFormat="false" ht="29" hidden="false" customHeight="true" outlineLevel="0" collapsed="false">
      <c r="A120" s="4" t="n">
        <f aca="false">Допускания!$D$6-WEEKDAY(Допускания!$D$6,2)+1+791</f>
        <v>47077</v>
      </c>
      <c r="B120" s="28"/>
      <c r="C120" s="28"/>
      <c r="D120" s="28"/>
      <c r="E120" s="28"/>
      <c r="F120" s="28"/>
      <c r="G120" s="28"/>
      <c r="H120" s="28"/>
      <c r="I120" s="29"/>
      <c r="J120" s="30"/>
      <c r="K120" s="30"/>
      <c r="L120" s="28"/>
      <c r="M120" s="28"/>
      <c r="N120" s="1" t="str">
        <f aca="false">IF(COUNT(B120:L120)=11,"Да","Не")</f>
        <v>Не</v>
      </c>
    </row>
    <row r="121" customFormat="false" ht="29" hidden="false" customHeight="true" outlineLevel="0" collapsed="false">
      <c r="A121" s="4" t="n">
        <f aca="false">Допускания!$D$6-WEEKDAY(Допускания!$D$6,2)+1+798</f>
        <v>47084</v>
      </c>
      <c r="B121" s="28"/>
      <c r="C121" s="28"/>
      <c r="D121" s="28"/>
      <c r="E121" s="28"/>
      <c r="F121" s="28"/>
      <c r="G121" s="28"/>
      <c r="H121" s="28"/>
      <c r="I121" s="29"/>
      <c r="J121" s="30"/>
      <c r="K121" s="30"/>
      <c r="L121" s="28"/>
      <c r="M121" s="28"/>
      <c r="N121" s="1" t="str">
        <f aca="false">IF(COUNT(B121:L121)=11,"Да","Не")</f>
        <v>Не</v>
      </c>
    </row>
    <row r="122" customFormat="false" ht="29" hidden="false" customHeight="true" outlineLevel="0" collapsed="false">
      <c r="A122" s="4" t="n">
        <f aca="false">Допускания!$D$6-WEEKDAY(Допускания!$D$6,2)+1+805</f>
        <v>47091</v>
      </c>
      <c r="B122" s="28"/>
      <c r="C122" s="28"/>
      <c r="D122" s="28"/>
      <c r="E122" s="28"/>
      <c r="F122" s="28"/>
      <c r="G122" s="28"/>
      <c r="H122" s="28"/>
      <c r="I122" s="29"/>
      <c r="J122" s="30"/>
      <c r="K122" s="30"/>
      <c r="L122" s="28"/>
      <c r="M122" s="28"/>
      <c r="N122" s="1" t="str">
        <f aca="false">IF(COUNT(B122:L122)=11,"Да","Не")</f>
        <v>Не</v>
      </c>
    </row>
    <row r="123" customFormat="false" ht="29" hidden="false" customHeight="true" outlineLevel="0" collapsed="false">
      <c r="A123" s="4" t="n">
        <f aca="false">Допускания!$D$6-WEEKDAY(Допускания!$D$6,2)+1+812</f>
        <v>47098</v>
      </c>
      <c r="B123" s="28"/>
      <c r="C123" s="28"/>
      <c r="D123" s="28"/>
      <c r="E123" s="28"/>
      <c r="F123" s="28"/>
      <c r="G123" s="28"/>
      <c r="H123" s="28"/>
      <c r="I123" s="29"/>
      <c r="J123" s="30"/>
      <c r="K123" s="30"/>
      <c r="L123" s="28"/>
      <c r="M123" s="28"/>
      <c r="N123" s="1" t="str">
        <f aca="false">IF(COUNT(B123:L123)=11,"Да","Не")</f>
        <v>Не</v>
      </c>
    </row>
    <row r="124" customFormat="false" ht="29" hidden="false" customHeight="true" outlineLevel="0" collapsed="false">
      <c r="A124" s="4" t="n">
        <f aca="false">Допускания!$D$6-WEEKDAY(Допускания!$D$6,2)+1+819</f>
        <v>47105</v>
      </c>
      <c r="B124" s="28"/>
      <c r="C124" s="28"/>
      <c r="D124" s="28"/>
      <c r="E124" s="28"/>
      <c r="F124" s="28"/>
      <c r="G124" s="28"/>
      <c r="H124" s="28"/>
      <c r="I124" s="29"/>
      <c r="J124" s="30"/>
      <c r="K124" s="30"/>
      <c r="L124" s="28"/>
      <c r="M124" s="28"/>
      <c r="N124" s="1" t="str">
        <f aca="false">IF(COUNT(B124:L124)=11,"Да","Не")</f>
        <v>Не</v>
      </c>
    </row>
    <row r="125" customFormat="false" ht="29" hidden="false" customHeight="true" outlineLevel="0" collapsed="false">
      <c r="A125" s="4" t="n">
        <f aca="false">Допускания!$D$6-WEEKDAY(Допускания!$D$6,2)+1+826</f>
        <v>47112</v>
      </c>
      <c r="B125" s="28"/>
      <c r="C125" s="28"/>
      <c r="D125" s="28"/>
      <c r="E125" s="28"/>
      <c r="F125" s="28"/>
      <c r="G125" s="28"/>
      <c r="H125" s="28"/>
      <c r="I125" s="29"/>
      <c r="J125" s="30"/>
      <c r="K125" s="30"/>
      <c r="L125" s="28"/>
      <c r="M125" s="28"/>
      <c r="N125" s="1" t="str">
        <f aca="false">IF(COUNT(B125:L125)=11,"Да","Не")</f>
        <v>Не</v>
      </c>
    </row>
    <row r="126" customFormat="false" ht="29" hidden="false" customHeight="true" outlineLevel="0" collapsed="false">
      <c r="A126" s="4" t="n">
        <f aca="false">Допускания!$D$6-WEEKDAY(Допускания!$D$6,2)+1+833</f>
        <v>47119</v>
      </c>
      <c r="B126" s="28"/>
      <c r="C126" s="28"/>
      <c r="D126" s="28"/>
      <c r="E126" s="28"/>
      <c r="F126" s="28"/>
      <c r="G126" s="28"/>
      <c r="H126" s="28"/>
      <c r="I126" s="29"/>
      <c r="J126" s="30"/>
      <c r="K126" s="30"/>
      <c r="L126" s="28"/>
      <c r="M126" s="28"/>
      <c r="N126" s="1" t="str">
        <f aca="false">IF(COUNT(B126:L126)=11,"Да","Не")</f>
        <v>Не</v>
      </c>
    </row>
    <row r="127" customFormat="false" ht="29" hidden="false" customHeight="true" outlineLevel="0" collapsed="false">
      <c r="A127" s="4" t="n">
        <f aca="false">Допускания!$D$6-WEEKDAY(Допускания!$D$6,2)+1+840</f>
        <v>47126</v>
      </c>
      <c r="B127" s="28"/>
      <c r="C127" s="28"/>
      <c r="D127" s="28"/>
      <c r="E127" s="28"/>
      <c r="F127" s="28"/>
      <c r="G127" s="28"/>
      <c r="H127" s="28"/>
      <c r="I127" s="29"/>
      <c r="J127" s="30"/>
      <c r="K127" s="30"/>
      <c r="L127" s="28"/>
      <c r="M127" s="28"/>
      <c r="N127" s="1" t="str">
        <f aca="false">IF(COUNT(B127:L127)=11,"Да","Не")</f>
        <v>Не</v>
      </c>
    </row>
    <row r="128" customFormat="false" ht="29" hidden="false" customHeight="true" outlineLevel="0" collapsed="false">
      <c r="A128" s="4" t="n">
        <f aca="false">Допускания!$D$6-WEEKDAY(Допускания!$D$6,2)+1+847</f>
        <v>47133</v>
      </c>
      <c r="B128" s="28"/>
      <c r="C128" s="28"/>
      <c r="D128" s="28"/>
      <c r="E128" s="28"/>
      <c r="F128" s="28"/>
      <c r="G128" s="28"/>
      <c r="H128" s="28"/>
      <c r="I128" s="29"/>
      <c r="J128" s="30"/>
      <c r="K128" s="30"/>
      <c r="L128" s="28"/>
      <c r="M128" s="28"/>
      <c r="N128" s="1" t="str">
        <f aca="false">IF(COUNT(B128:L128)=11,"Да","Не")</f>
        <v>Не</v>
      </c>
    </row>
    <row r="129" customFormat="false" ht="29" hidden="false" customHeight="true" outlineLevel="0" collapsed="false">
      <c r="A129" s="4" t="n">
        <f aca="false">Допускания!$D$6-WEEKDAY(Допускания!$D$6,2)+1+854</f>
        <v>47140</v>
      </c>
      <c r="B129" s="28"/>
      <c r="C129" s="28"/>
      <c r="D129" s="28"/>
      <c r="E129" s="28"/>
      <c r="F129" s="28"/>
      <c r="G129" s="28"/>
      <c r="H129" s="28"/>
      <c r="I129" s="29"/>
      <c r="J129" s="30"/>
      <c r="K129" s="30"/>
      <c r="L129" s="28"/>
      <c r="M129" s="28"/>
      <c r="N129" s="1" t="str">
        <f aca="false">IF(COUNT(B129:L129)=11,"Да","Не")</f>
        <v>Не</v>
      </c>
    </row>
    <row r="130" customFormat="false" ht="29" hidden="false" customHeight="true" outlineLevel="0" collapsed="false">
      <c r="A130" s="4" t="n">
        <f aca="false">Допускания!$D$6-WEEKDAY(Допускания!$D$6,2)+1+861</f>
        <v>47147</v>
      </c>
      <c r="B130" s="28"/>
      <c r="C130" s="28"/>
      <c r="D130" s="28"/>
      <c r="E130" s="28"/>
      <c r="F130" s="28"/>
      <c r="G130" s="28"/>
      <c r="H130" s="28"/>
      <c r="I130" s="29"/>
      <c r="J130" s="30"/>
      <c r="K130" s="30"/>
      <c r="L130" s="28"/>
      <c r="M130" s="28"/>
      <c r="N130" s="1" t="str">
        <f aca="false">IF(COUNT(B130:L130)=11,"Да","Не")</f>
        <v>Не</v>
      </c>
    </row>
    <row r="131" customFormat="false" ht="29" hidden="false" customHeight="true" outlineLevel="0" collapsed="false">
      <c r="A131" s="4" t="n">
        <f aca="false">Допускания!$D$6-WEEKDAY(Допускания!$D$6,2)+1+868</f>
        <v>47154</v>
      </c>
      <c r="B131" s="28"/>
      <c r="C131" s="28"/>
      <c r="D131" s="28"/>
      <c r="E131" s="28"/>
      <c r="F131" s="28"/>
      <c r="G131" s="28"/>
      <c r="H131" s="28"/>
      <c r="I131" s="29"/>
      <c r="J131" s="30"/>
      <c r="K131" s="30"/>
      <c r="L131" s="28"/>
      <c r="M131" s="28"/>
      <c r="N131" s="1" t="str">
        <f aca="false">IF(COUNT(B131:L131)=11,"Да","Не")</f>
        <v>Не</v>
      </c>
    </row>
    <row r="132" customFormat="false" ht="29" hidden="false" customHeight="true" outlineLevel="0" collapsed="false">
      <c r="A132" s="4" t="n">
        <f aca="false">Допускания!$D$6-WEEKDAY(Допускания!$D$6,2)+1+875</f>
        <v>47161</v>
      </c>
      <c r="B132" s="28"/>
      <c r="C132" s="28"/>
      <c r="D132" s="28"/>
      <c r="E132" s="28"/>
      <c r="F132" s="28"/>
      <c r="G132" s="28"/>
      <c r="H132" s="28"/>
      <c r="I132" s="29"/>
      <c r="J132" s="30"/>
      <c r="K132" s="30"/>
      <c r="L132" s="28"/>
      <c r="M132" s="28"/>
      <c r="N132" s="1" t="str">
        <f aca="false">IF(COUNT(B132:L132)=11,"Да","Не")</f>
        <v>Не</v>
      </c>
    </row>
    <row r="133" customFormat="false" ht="29" hidden="false" customHeight="true" outlineLevel="0" collapsed="false">
      <c r="A133" s="4" t="n">
        <f aca="false">Допускания!$D$6-WEEKDAY(Допускания!$D$6,2)+1+882</f>
        <v>47168</v>
      </c>
      <c r="B133" s="28"/>
      <c r="C133" s="28"/>
      <c r="D133" s="28"/>
      <c r="E133" s="28"/>
      <c r="F133" s="28"/>
      <c r="G133" s="28"/>
      <c r="H133" s="28"/>
      <c r="I133" s="29"/>
      <c r="J133" s="30"/>
      <c r="K133" s="30"/>
      <c r="L133" s="28"/>
      <c r="M133" s="28"/>
      <c r="N133" s="1" t="str">
        <f aca="false">IF(COUNT(B133:L133)=11,"Да","Не")</f>
        <v>Не</v>
      </c>
    </row>
    <row r="134" customFormat="false" ht="29" hidden="false" customHeight="true" outlineLevel="0" collapsed="false">
      <c r="A134" s="4" t="n">
        <f aca="false">Допускания!$D$6-WEEKDAY(Допускания!$D$6,2)+1+889</f>
        <v>47175</v>
      </c>
      <c r="B134" s="28"/>
      <c r="C134" s="28"/>
      <c r="D134" s="28"/>
      <c r="E134" s="28"/>
      <c r="F134" s="28"/>
      <c r="G134" s="28"/>
      <c r="H134" s="28"/>
      <c r="I134" s="29"/>
      <c r="J134" s="30"/>
      <c r="K134" s="30"/>
      <c r="L134" s="28"/>
      <c r="M134" s="28"/>
      <c r="N134" s="1" t="str">
        <f aca="false">IF(COUNT(B134:L134)=11,"Да","Не")</f>
        <v>Не</v>
      </c>
    </row>
    <row r="135" customFormat="false" ht="29" hidden="false" customHeight="true" outlineLevel="0" collapsed="false">
      <c r="A135" s="4" t="n">
        <f aca="false">Допускания!$D$6-WEEKDAY(Допускания!$D$6,2)+1+896</f>
        <v>47182</v>
      </c>
      <c r="B135" s="28"/>
      <c r="C135" s="28"/>
      <c r="D135" s="28"/>
      <c r="E135" s="28"/>
      <c r="F135" s="28"/>
      <c r="G135" s="28"/>
      <c r="H135" s="28"/>
      <c r="I135" s="29"/>
      <c r="J135" s="30"/>
      <c r="K135" s="30"/>
      <c r="L135" s="28"/>
      <c r="M135" s="28"/>
      <c r="N135" s="1" t="str">
        <f aca="false">IF(COUNT(B135:L135)=11,"Да","Не")</f>
        <v>Не</v>
      </c>
    </row>
    <row r="136" customFormat="false" ht="29" hidden="false" customHeight="true" outlineLevel="0" collapsed="false">
      <c r="A136" s="4" t="n">
        <f aca="false">Допускания!$D$6-WEEKDAY(Допускания!$D$6,2)+1+903</f>
        <v>47189</v>
      </c>
      <c r="B136" s="28"/>
      <c r="C136" s="28"/>
      <c r="D136" s="28"/>
      <c r="E136" s="28"/>
      <c r="F136" s="28"/>
      <c r="G136" s="28"/>
      <c r="H136" s="28"/>
      <c r="I136" s="29"/>
      <c r="J136" s="30"/>
      <c r="K136" s="30"/>
      <c r="L136" s="28"/>
      <c r="M136" s="28"/>
      <c r="N136" s="1" t="str">
        <f aca="false">IF(COUNT(B136:L136)=11,"Да","Не")</f>
        <v>Не</v>
      </c>
    </row>
    <row r="137" customFormat="false" ht="29" hidden="false" customHeight="true" outlineLevel="0" collapsed="false">
      <c r="A137" s="4" t="n">
        <f aca="false">Допускания!$D$6-WEEKDAY(Допускания!$D$6,2)+1+910</f>
        <v>47196</v>
      </c>
      <c r="B137" s="28"/>
      <c r="C137" s="28"/>
      <c r="D137" s="28"/>
      <c r="E137" s="28"/>
      <c r="F137" s="28"/>
      <c r="G137" s="28"/>
      <c r="H137" s="28"/>
      <c r="I137" s="29"/>
      <c r="J137" s="30"/>
      <c r="K137" s="30"/>
      <c r="L137" s="28"/>
      <c r="M137" s="28"/>
      <c r="N137" s="1" t="str">
        <f aca="false">IF(COUNT(B137:L137)=11,"Да","Не")</f>
        <v>Не</v>
      </c>
    </row>
    <row r="138" customFormat="false" ht="29" hidden="false" customHeight="true" outlineLevel="0" collapsed="false">
      <c r="A138" s="4" t="n">
        <f aca="false">Допускания!$D$6-WEEKDAY(Допускания!$D$6,2)+1+917</f>
        <v>47203</v>
      </c>
      <c r="B138" s="28"/>
      <c r="C138" s="28"/>
      <c r="D138" s="28"/>
      <c r="E138" s="28"/>
      <c r="F138" s="28"/>
      <c r="G138" s="28"/>
      <c r="H138" s="28"/>
      <c r="I138" s="29"/>
      <c r="J138" s="30"/>
      <c r="K138" s="30"/>
      <c r="L138" s="28"/>
      <c r="M138" s="28"/>
      <c r="N138" s="1" t="str">
        <f aca="false">IF(COUNT(B138:L138)=11,"Да","Не")</f>
        <v>Не</v>
      </c>
    </row>
    <row r="139" customFormat="false" ht="29" hidden="false" customHeight="true" outlineLevel="0" collapsed="false">
      <c r="A139" s="4" t="n">
        <f aca="false">Допускания!$D$6-WEEKDAY(Допускания!$D$6,2)+1+924</f>
        <v>47210</v>
      </c>
      <c r="B139" s="28"/>
      <c r="C139" s="28"/>
      <c r="D139" s="28"/>
      <c r="E139" s="28"/>
      <c r="F139" s="28"/>
      <c r="G139" s="28"/>
      <c r="H139" s="28"/>
      <c r="I139" s="29"/>
      <c r="J139" s="30"/>
      <c r="K139" s="30"/>
      <c r="L139" s="28"/>
      <c r="M139" s="28"/>
      <c r="N139" s="1" t="str">
        <f aca="false">IF(COUNT(B139:L139)=11,"Да","Не")</f>
        <v>Не</v>
      </c>
    </row>
    <row r="140" customFormat="false" ht="29" hidden="false" customHeight="true" outlineLevel="0" collapsed="false">
      <c r="A140" s="4" t="n">
        <f aca="false">Допускания!$D$6-WEEKDAY(Допускания!$D$6,2)+1+931</f>
        <v>47217</v>
      </c>
      <c r="B140" s="28"/>
      <c r="C140" s="28"/>
      <c r="D140" s="28"/>
      <c r="E140" s="28"/>
      <c r="F140" s="28"/>
      <c r="G140" s="28"/>
      <c r="H140" s="28"/>
      <c r="I140" s="29"/>
      <c r="J140" s="30"/>
      <c r="K140" s="30"/>
      <c r="L140" s="28"/>
      <c r="M140" s="28"/>
      <c r="N140" s="1" t="str">
        <f aca="false">IF(COUNT(B140:L140)=11,"Да","Не")</f>
        <v>Не</v>
      </c>
    </row>
    <row r="141" customFormat="false" ht="29" hidden="false" customHeight="true" outlineLevel="0" collapsed="false">
      <c r="A141" s="4" t="n">
        <f aca="false">Допускания!$D$6-WEEKDAY(Допускания!$D$6,2)+1+938</f>
        <v>47224</v>
      </c>
      <c r="B141" s="28"/>
      <c r="C141" s="28"/>
      <c r="D141" s="28"/>
      <c r="E141" s="28"/>
      <c r="F141" s="28"/>
      <c r="G141" s="28"/>
      <c r="H141" s="28"/>
      <c r="I141" s="29"/>
      <c r="J141" s="30"/>
      <c r="K141" s="30"/>
      <c r="L141" s="28"/>
      <c r="M141" s="28"/>
      <c r="N141" s="1" t="str">
        <f aca="false">IF(COUNT(B141:L141)=11,"Да","Не")</f>
        <v>Не</v>
      </c>
    </row>
    <row r="142" customFormat="false" ht="29" hidden="false" customHeight="true" outlineLevel="0" collapsed="false">
      <c r="A142" s="4" t="n">
        <f aca="false">Допускания!$D$6-WEEKDAY(Допускания!$D$6,2)+1+945</f>
        <v>47231</v>
      </c>
      <c r="B142" s="28"/>
      <c r="C142" s="28"/>
      <c r="D142" s="28"/>
      <c r="E142" s="28"/>
      <c r="F142" s="28"/>
      <c r="G142" s="28"/>
      <c r="H142" s="28"/>
      <c r="I142" s="29"/>
      <c r="J142" s="30"/>
      <c r="K142" s="30"/>
      <c r="L142" s="28"/>
      <c r="M142" s="28"/>
      <c r="N142" s="1" t="str">
        <f aca="false">IF(COUNT(B142:L142)=11,"Да","Не")</f>
        <v>Не</v>
      </c>
    </row>
    <row r="143" customFormat="false" ht="29" hidden="false" customHeight="true" outlineLevel="0" collapsed="false">
      <c r="A143" s="4" t="n">
        <f aca="false">Допускания!$D$6-WEEKDAY(Допускания!$D$6,2)+1+952</f>
        <v>47238</v>
      </c>
      <c r="B143" s="28"/>
      <c r="C143" s="28"/>
      <c r="D143" s="28"/>
      <c r="E143" s="28"/>
      <c r="F143" s="28"/>
      <c r="G143" s="28"/>
      <c r="H143" s="28"/>
      <c r="I143" s="29"/>
      <c r="J143" s="30"/>
      <c r="K143" s="30"/>
      <c r="L143" s="28"/>
      <c r="M143" s="28"/>
      <c r="N143" s="1" t="str">
        <f aca="false">IF(COUNT(B143:L143)=11,"Да","Не")</f>
        <v>Не</v>
      </c>
    </row>
    <row r="144" customFormat="false" ht="29" hidden="false" customHeight="true" outlineLevel="0" collapsed="false">
      <c r="A144" s="4" t="n">
        <f aca="false">Допускания!$D$6-WEEKDAY(Допускания!$D$6,2)+1+959</f>
        <v>47245</v>
      </c>
      <c r="B144" s="28"/>
      <c r="C144" s="28"/>
      <c r="D144" s="28"/>
      <c r="E144" s="28"/>
      <c r="F144" s="28"/>
      <c r="G144" s="28"/>
      <c r="H144" s="28"/>
      <c r="I144" s="29"/>
      <c r="J144" s="30"/>
      <c r="K144" s="30"/>
      <c r="L144" s="28"/>
      <c r="M144" s="28"/>
      <c r="N144" s="1" t="str">
        <f aca="false">IF(COUNT(B144:L144)=11,"Да","Не")</f>
        <v>Не</v>
      </c>
    </row>
    <row r="145" customFormat="false" ht="29" hidden="false" customHeight="true" outlineLevel="0" collapsed="false">
      <c r="A145" s="4" t="n">
        <f aca="false">Допускания!$D$6-WEEKDAY(Допускания!$D$6,2)+1+966</f>
        <v>47252</v>
      </c>
      <c r="B145" s="28"/>
      <c r="C145" s="28"/>
      <c r="D145" s="28"/>
      <c r="E145" s="28"/>
      <c r="F145" s="28"/>
      <c r="G145" s="28"/>
      <c r="H145" s="28"/>
      <c r="I145" s="29"/>
      <c r="J145" s="30"/>
      <c r="K145" s="30"/>
      <c r="L145" s="28"/>
      <c r="M145" s="28"/>
      <c r="N145" s="1" t="str">
        <f aca="false">IF(COUNT(B145:L145)=11,"Да","Не")</f>
        <v>Не</v>
      </c>
    </row>
    <row r="146" customFormat="false" ht="29" hidden="false" customHeight="true" outlineLevel="0" collapsed="false">
      <c r="A146" s="4" t="n">
        <f aca="false">Допускания!$D$6-WEEKDAY(Допускания!$D$6,2)+1+973</f>
        <v>47259</v>
      </c>
      <c r="B146" s="28"/>
      <c r="C146" s="28"/>
      <c r="D146" s="28"/>
      <c r="E146" s="28"/>
      <c r="F146" s="28"/>
      <c r="G146" s="28"/>
      <c r="H146" s="28"/>
      <c r="I146" s="29"/>
      <c r="J146" s="30"/>
      <c r="K146" s="30"/>
      <c r="L146" s="28"/>
      <c r="M146" s="28"/>
      <c r="N146" s="1" t="str">
        <f aca="false">IF(COUNT(B146:L146)=11,"Да","Не")</f>
        <v>Не</v>
      </c>
    </row>
    <row r="147" customFormat="false" ht="29" hidden="false" customHeight="true" outlineLevel="0" collapsed="false">
      <c r="A147" s="4" t="n">
        <f aca="false">Допускания!$D$6-WEEKDAY(Допускания!$D$6,2)+1+980</f>
        <v>47266</v>
      </c>
      <c r="B147" s="28"/>
      <c r="C147" s="28"/>
      <c r="D147" s="28"/>
      <c r="E147" s="28"/>
      <c r="F147" s="28"/>
      <c r="G147" s="28"/>
      <c r="H147" s="28"/>
      <c r="I147" s="29"/>
      <c r="J147" s="30"/>
      <c r="K147" s="30"/>
      <c r="L147" s="28"/>
      <c r="M147" s="28"/>
      <c r="N147" s="1" t="str">
        <f aca="false">IF(COUNT(B147:L147)=11,"Да","Не")</f>
        <v>Не</v>
      </c>
    </row>
    <row r="148" customFormat="false" ht="29" hidden="false" customHeight="true" outlineLevel="0" collapsed="false">
      <c r="A148" s="4" t="n">
        <f aca="false">Допускания!$D$6-WEEKDAY(Допускания!$D$6,2)+1+987</f>
        <v>47273</v>
      </c>
      <c r="B148" s="28"/>
      <c r="C148" s="28"/>
      <c r="D148" s="28"/>
      <c r="E148" s="28"/>
      <c r="F148" s="28"/>
      <c r="G148" s="28"/>
      <c r="H148" s="28"/>
      <c r="I148" s="29"/>
      <c r="J148" s="30"/>
      <c r="K148" s="30"/>
      <c r="L148" s="28"/>
      <c r="M148" s="28"/>
      <c r="N148" s="1" t="str">
        <f aca="false">IF(COUNT(B148:L148)=11,"Да","Не")</f>
        <v>Не</v>
      </c>
    </row>
    <row r="149" customFormat="false" ht="29" hidden="false" customHeight="true" outlineLevel="0" collapsed="false">
      <c r="A149" s="4" t="n">
        <f aca="false">Допускания!$D$6-WEEKDAY(Допускания!$D$6,2)+1+994</f>
        <v>47280</v>
      </c>
      <c r="B149" s="28"/>
      <c r="C149" s="28"/>
      <c r="D149" s="28"/>
      <c r="E149" s="28"/>
      <c r="F149" s="28"/>
      <c r="G149" s="28"/>
      <c r="H149" s="28"/>
      <c r="I149" s="29"/>
      <c r="J149" s="30"/>
      <c r="K149" s="30"/>
      <c r="L149" s="28"/>
      <c r="M149" s="28"/>
      <c r="N149" s="1" t="str">
        <f aca="false">IF(COUNT(B149:L149)=11,"Да","Не")</f>
        <v>Не</v>
      </c>
    </row>
    <row r="150" customFormat="false" ht="29" hidden="false" customHeight="true" outlineLevel="0" collapsed="false">
      <c r="A150" s="4" t="n">
        <f aca="false">Допускания!$D$6-WEEKDAY(Допускания!$D$6,2)+1+1001</f>
        <v>47287</v>
      </c>
      <c r="B150" s="28"/>
      <c r="C150" s="28"/>
      <c r="D150" s="28"/>
      <c r="E150" s="28"/>
      <c r="F150" s="28"/>
      <c r="G150" s="28"/>
      <c r="H150" s="28"/>
      <c r="I150" s="29"/>
      <c r="J150" s="30"/>
      <c r="K150" s="30"/>
      <c r="L150" s="28"/>
      <c r="M150" s="28"/>
      <c r="N150" s="1" t="str">
        <f aca="false">IF(COUNT(B150:L150)=11,"Да","Не")</f>
        <v>Не</v>
      </c>
    </row>
    <row r="151" customFormat="false" ht="29" hidden="false" customHeight="true" outlineLevel="0" collapsed="false">
      <c r="A151" s="4" t="n">
        <f aca="false">Допускания!$D$6-WEEKDAY(Допускания!$D$6,2)+1+1008</f>
        <v>47294</v>
      </c>
      <c r="B151" s="28"/>
      <c r="C151" s="28"/>
      <c r="D151" s="28"/>
      <c r="E151" s="28"/>
      <c r="F151" s="28"/>
      <c r="G151" s="28"/>
      <c r="H151" s="28"/>
      <c r="I151" s="29"/>
      <c r="J151" s="30"/>
      <c r="K151" s="30"/>
      <c r="L151" s="28"/>
      <c r="M151" s="28"/>
      <c r="N151" s="1" t="str">
        <f aca="false">IF(COUNT(B151:L151)=11,"Да","Не")</f>
        <v>Не</v>
      </c>
    </row>
    <row r="152" customFormat="false" ht="29" hidden="false" customHeight="true" outlineLevel="0" collapsed="false">
      <c r="A152" s="4" t="n">
        <f aca="false">Допускания!$D$6-WEEKDAY(Допускания!$D$6,2)+1+1015</f>
        <v>47301</v>
      </c>
      <c r="B152" s="28"/>
      <c r="C152" s="28"/>
      <c r="D152" s="28"/>
      <c r="E152" s="28"/>
      <c r="F152" s="28"/>
      <c r="G152" s="28"/>
      <c r="H152" s="28"/>
      <c r="I152" s="29"/>
      <c r="J152" s="30"/>
      <c r="K152" s="30"/>
      <c r="L152" s="28"/>
      <c r="M152" s="28"/>
      <c r="N152" s="1" t="str">
        <f aca="false">IF(COUNT(B152:L152)=11,"Да","Не")</f>
        <v>Не</v>
      </c>
    </row>
    <row r="153" customFormat="false" ht="29" hidden="false" customHeight="true" outlineLevel="0" collapsed="false">
      <c r="A153" s="4" t="n">
        <f aca="false">Допускания!$D$6-WEEKDAY(Допускания!$D$6,2)+1+1022</f>
        <v>47308</v>
      </c>
      <c r="B153" s="28"/>
      <c r="C153" s="28"/>
      <c r="D153" s="28"/>
      <c r="E153" s="28"/>
      <c r="F153" s="28"/>
      <c r="G153" s="28"/>
      <c r="H153" s="28"/>
      <c r="I153" s="29"/>
      <c r="J153" s="30"/>
      <c r="K153" s="30"/>
      <c r="L153" s="28"/>
      <c r="M153" s="28"/>
      <c r="N153" s="1" t="str">
        <f aca="false">IF(COUNT(B153:L153)=11,"Да","Не")</f>
        <v>Не</v>
      </c>
    </row>
    <row r="154" customFormat="false" ht="29" hidden="false" customHeight="true" outlineLevel="0" collapsed="false">
      <c r="A154" s="4" t="n">
        <f aca="false">Допускания!$D$6-WEEKDAY(Допускания!$D$6,2)+1+1029</f>
        <v>47315</v>
      </c>
      <c r="B154" s="28"/>
      <c r="C154" s="28"/>
      <c r="D154" s="28"/>
      <c r="E154" s="28"/>
      <c r="F154" s="28"/>
      <c r="G154" s="28"/>
      <c r="H154" s="28"/>
      <c r="I154" s="29"/>
      <c r="J154" s="30"/>
      <c r="K154" s="30"/>
      <c r="L154" s="28"/>
      <c r="M154" s="28"/>
      <c r="N154" s="1" t="str">
        <f aca="false">IF(COUNT(B154:L154)=11,"Да","Не")</f>
        <v>Не</v>
      </c>
    </row>
    <row r="155" customFormat="false" ht="29" hidden="false" customHeight="true" outlineLevel="0" collapsed="false">
      <c r="A155" s="4" t="n">
        <f aca="false">Допускания!$D$6-WEEKDAY(Допускания!$D$6,2)+1+1036</f>
        <v>47322</v>
      </c>
      <c r="B155" s="28"/>
      <c r="C155" s="28"/>
      <c r="D155" s="28"/>
      <c r="E155" s="28"/>
      <c r="F155" s="28"/>
      <c r="G155" s="28"/>
      <c r="H155" s="28"/>
      <c r="I155" s="29"/>
      <c r="J155" s="30"/>
      <c r="K155" s="30"/>
      <c r="L155" s="28"/>
      <c r="M155" s="28"/>
      <c r="N155" s="1" t="str">
        <f aca="false">IF(COUNT(B155:L155)=11,"Да","Не")</f>
        <v>Не</v>
      </c>
    </row>
    <row r="156" customFormat="false" ht="29" hidden="false" customHeight="true" outlineLevel="0" collapsed="false">
      <c r="A156" s="4" t="n">
        <f aca="false">Допускания!$D$6-WEEKDAY(Допускания!$D$6,2)+1+1043</f>
        <v>47329</v>
      </c>
      <c r="B156" s="28"/>
      <c r="C156" s="28"/>
      <c r="D156" s="28"/>
      <c r="E156" s="28"/>
      <c r="F156" s="28"/>
      <c r="G156" s="28"/>
      <c r="H156" s="28"/>
      <c r="I156" s="29"/>
      <c r="J156" s="30"/>
      <c r="K156" s="30"/>
      <c r="L156" s="28"/>
      <c r="M156" s="28"/>
      <c r="N156" s="1" t="str">
        <f aca="false">IF(COUNT(B156:L156)=11,"Да","Не")</f>
        <v>Не</v>
      </c>
    </row>
    <row r="157" customFormat="false" ht="29" hidden="false" customHeight="true" outlineLevel="0" collapsed="false">
      <c r="A157" s="4" t="n">
        <f aca="false">Допускания!$D$6-WEEKDAY(Допускания!$D$6,2)+1+1050</f>
        <v>47336</v>
      </c>
      <c r="B157" s="28"/>
      <c r="C157" s="28"/>
      <c r="D157" s="28"/>
      <c r="E157" s="28"/>
      <c r="F157" s="28"/>
      <c r="G157" s="28"/>
      <c r="H157" s="28"/>
      <c r="I157" s="29"/>
      <c r="J157" s="30"/>
      <c r="K157" s="30"/>
      <c r="L157" s="28"/>
      <c r="M157" s="28"/>
      <c r="N157" s="1" t="str">
        <f aca="false">IF(COUNT(B157:L157)=11,"Да","Не")</f>
        <v>Не</v>
      </c>
    </row>
    <row r="158" customFormat="false" ht="29" hidden="false" customHeight="true" outlineLevel="0" collapsed="false">
      <c r="A158" s="4" t="n">
        <f aca="false">Допускания!$D$6-WEEKDAY(Допускания!$D$6,2)+1+1057</f>
        <v>47343</v>
      </c>
      <c r="B158" s="28"/>
      <c r="C158" s="28"/>
      <c r="D158" s="28"/>
      <c r="E158" s="28"/>
      <c r="F158" s="28"/>
      <c r="G158" s="28"/>
      <c r="H158" s="28"/>
      <c r="I158" s="29"/>
      <c r="J158" s="30"/>
      <c r="K158" s="30"/>
      <c r="L158" s="28"/>
      <c r="M158" s="28"/>
      <c r="N158" s="1" t="str">
        <f aca="false">IF(COUNT(B158:L158)=11,"Да","Не")</f>
        <v>Не</v>
      </c>
    </row>
    <row r="159" customFormat="false" ht="29" hidden="false" customHeight="true" outlineLevel="0" collapsed="false">
      <c r="A159" s="4" t="n">
        <f aca="false">Допускания!$D$6-WEEKDAY(Допускания!$D$6,2)+1+1064</f>
        <v>47350</v>
      </c>
      <c r="B159" s="28"/>
      <c r="C159" s="28"/>
      <c r="D159" s="28"/>
      <c r="E159" s="28"/>
      <c r="F159" s="28"/>
      <c r="G159" s="28"/>
      <c r="H159" s="28"/>
      <c r="I159" s="29"/>
      <c r="J159" s="30"/>
      <c r="K159" s="30"/>
      <c r="L159" s="28"/>
      <c r="M159" s="28"/>
      <c r="N159" s="1" t="str">
        <f aca="false">IF(COUNT(B159:L159)=11,"Да","Не")</f>
        <v>Не</v>
      </c>
    </row>
    <row r="160" customFormat="false" ht="29" hidden="false" customHeight="true" outlineLevel="0" collapsed="false">
      <c r="A160" s="4" t="n">
        <f aca="false">Допускания!$D$6-WEEKDAY(Допускания!$D$6,2)+1+1071</f>
        <v>47357</v>
      </c>
      <c r="B160" s="28"/>
      <c r="C160" s="28"/>
      <c r="D160" s="28"/>
      <c r="E160" s="28"/>
      <c r="F160" s="28"/>
      <c r="G160" s="28"/>
      <c r="H160" s="28"/>
      <c r="I160" s="29"/>
      <c r="J160" s="30"/>
      <c r="K160" s="30"/>
      <c r="L160" s="28"/>
      <c r="M160" s="28"/>
      <c r="N160" s="1" t="str">
        <f aca="false">IF(COUNT(B160:L160)=11,"Да","Не")</f>
        <v>Не</v>
      </c>
    </row>
    <row r="161" customFormat="false" ht="29" hidden="false" customHeight="true" outlineLevel="0" collapsed="false">
      <c r="A161" s="4" t="n">
        <f aca="false">Допускания!$D$6-WEEKDAY(Допускания!$D$6,2)+1+1078</f>
        <v>47364</v>
      </c>
      <c r="B161" s="28"/>
      <c r="C161" s="28"/>
      <c r="D161" s="28"/>
      <c r="E161" s="28"/>
      <c r="F161" s="28"/>
      <c r="G161" s="28"/>
      <c r="H161" s="28"/>
      <c r="I161" s="29"/>
      <c r="J161" s="30"/>
      <c r="K161" s="30"/>
      <c r="L161" s="28"/>
      <c r="M161" s="28"/>
      <c r="N161" s="1" t="str">
        <f aca="false">IF(COUNT(B161:L161)=11,"Да","Не")</f>
        <v>Не</v>
      </c>
    </row>
    <row r="162" customFormat="false" ht="29" hidden="false" customHeight="true" outlineLevel="0" collapsed="false">
      <c r="A162" s="4" t="n">
        <f aca="false">Допускания!$D$6-WEEKDAY(Допускания!$D$6,2)+1+1085</f>
        <v>47371</v>
      </c>
      <c r="B162" s="28"/>
      <c r="C162" s="28"/>
      <c r="D162" s="28"/>
      <c r="E162" s="28"/>
      <c r="F162" s="28"/>
      <c r="G162" s="28"/>
      <c r="H162" s="28"/>
      <c r="I162" s="29"/>
      <c r="J162" s="30"/>
      <c r="K162" s="30"/>
      <c r="L162" s="28"/>
      <c r="M162" s="28"/>
      <c r="N162" s="1" t="str">
        <f aca="false">IF(COUNT(B162:L162)=11,"Да","Не")</f>
        <v>Не</v>
      </c>
    </row>
    <row r="163" customFormat="false" ht="23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BFA9"/>
    <pageSetUpPr fitToPage="false"/>
  </sheetPr>
  <dimension ref="A1:U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1" min="1" style="0" width="18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9" hidden="false" customHeight="true" outlineLevel="0" collapsed="false">
      <c r="A2" s="2" t="s">
        <v>194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23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23" hidden="false" customHeight="true" outlineLevel="0" collapsed="false">
      <c r="A4" s="1" t="s">
        <v>195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customFormat="false" ht="23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customFormat="false" ht="52" hidden="false" customHeight="true" outlineLevel="0" collapsed="false">
      <c r="A6" s="6" t="s">
        <v>196</v>
      </c>
      <c r="B6" s="6" t="s">
        <v>197</v>
      </c>
      <c r="C6" s="6" t="s">
        <v>198</v>
      </c>
      <c r="D6" s="6" t="s">
        <v>199</v>
      </c>
      <c r="E6" s="6" t="s">
        <v>200</v>
      </c>
      <c r="F6" s="6" t="s">
        <v>201</v>
      </c>
      <c r="G6" s="6" t="s">
        <v>202</v>
      </c>
      <c r="H6" s="6" t="s">
        <v>203</v>
      </c>
      <c r="I6" s="6" t="s">
        <v>36</v>
      </c>
      <c r="J6" s="6" t="s">
        <v>204</v>
      </c>
      <c r="K6" s="6" t="s">
        <v>205</v>
      </c>
      <c r="L6" s="6" t="s">
        <v>206</v>
      </c>
      <c r="M6" s="6" t="s">
        <v>207</v>
      </c>
      <c r="N6" s="6" t="s">
        <v>208</v>
      </c>
      <c r="O6" s="6" t="s">
        <v>209</v>
      </c>
      <c r="P6" s="6" t="s">
        <v>210</v>
      </c>
      <c r="Q6" s="6" t="s">
        <v>211</v>
      </c>
      <c r="R6" s="6" t="s">
        <v>212</v>
      </c>
      <c r="S6" s="6" t="s">
        <v>213</v>
      </c>
      <c r="T6" s="6" t="s">
        <v>214</v>
      </c>
      <c r="U6" s="6" t="s">
        <v>215</v>
      </c>
    </row>
    <row r="7" customFormat="false" ht="30" hidden="false" customHeight="true" outlineLevel="0" collapsed="false">
      <c r="A7" s="12" t="n">
        <f aca="false">EDATE(DATE(YEAR(Допускания!$D$6),MONTH(Допускания!$D$6),1),-1)</f>
        <v>46235</v>
      </c>
      <c r="B7" s="29"/>
      <c r="C7" s="29"/>
      <c r="D7" s="10" t="str">
        <f aca="false">IF(COUNT(B7:C7)&lt;2,"",SUM(B7:C7))</f>
        <v/>
      </c>
      <c r="E7" s="29"/>
      <c r="F7" s="29"/>
      <c r="G7" s="29"/>
      <c r="H7" s="10" t="str">
        <f aca="false">IF(OR(NOT(ISNUMBER(D7)),COUNT(F7:G7)&lt;2),"",D7-SUM(F7:G7))</f>
        <v/>
      </c>
      <c r="I7" s="11" t="str">
        <f aca="false">IF(OR(NOT(ISNUMBER(H7)),D7=0),"",H7/D7)</f>
        <v/>
      </c>
      <c r="J7" s="29"/>
      <c r="K7" s="28"/>
      <c r="L7" s="28"/>
      <c r="M7" s="28"/>
      <c r="N7" s="11" t="str">
        <f aca="false">IF(COUNT(L7:M7)&lt;2,"",IF(L7=0,IF(M7=0,1,""),M7/L7))</f>
        <v/>
      </c>
      <c r="O7" s="28"/>
      <c r="P7" s="28" t="s">
        <v>216</v>
      </c>
      <c r="Q7" s="28" t="s">
        <v>216</v>
      </c>
      <c r="R7" s="1" t="str">
        <f aca="false">IF(AND(Q7="Да",EOMONTH(A7,0)&lt;Допускания!$D$7,COUNT(B7:C7)=2,COUNT(E7:G7)=3,COUNT(L7:M7)=2,ISNUMBER(O7),L7&gt;=M7,ISNUMBER(I7),ISNUMBER(N7)),IF(AND(D7&gt;=30000,E7&gt;=15000,I7&gt;=Допускания!$D$10,N7&gt;=Допускания!$D$11,O7=0,P7="Да"),1,0),"")</f>
        <v/>
      </c>
      <c r="S7" s="1" t="str">
        <f aca="false">IF(NOT(ISNUMBER(R7)),"",IF(R7=1,1,0))</f>
        <v/>
      </c>
      <c r="T7" s="1" t="str">
        <f aca="false">IF(AND(Q7="Да",EOMONTH(A7,0)&lt;Допускания!$D$7,COUNT(B7:C7)=2,COUNT(E7:G7)=3,COUNT(L7:M7)=2,ISNUMBER(O7),L7&gt;=M7,ISNUMBER(I7),ISNUMBER(N7)),IF(AND(D7&gt;=50000,E7&gt;=30000,I7&gt;=Допускания!$D$10,N7&gt;=Допускания!$D$11,O7=0,P7="Да"),1,0),"")</f>
        <v/>
      </c>
      <c r="U7" s="1" t="str">
        <f aca="false">IF(NOT(ISNUMBER(T7)),"",IF(T7=1,1,0))</f>
        <v/>
      </c>
    </row>
    <row r="8" customFormat="false" ht="30" hidden="false" customHeight="true" outlineLevel="0" collapsed="false">
      <c r="A8" s="12" t="n">
        <f aca="false">EDATE(DATE(YEAR(Допускания!$D$6),MONTH(Допускания!$D$6),1),0)</f>
        <v>46266</v>
      </c>
      <c r="B8" s="29"/>
      <c r="C8" s="29"/>
      <c r="D8" s="10" t="str">
        <f aca="false">IF(COUNT(B8:C8)&lt;2,"",SUM(B8:C8))</f>
        <v/>
      </c>
      <c r="E8" s="29"/>
      <c r="F8" s="29"/>
      <c r="G8" s="29"/>
      <c r="H8" s="10" t="str">
        <f aca="false">IF(OR(NOT(ISNUMBER(D8)),COUNT(F8:G8)&lt;2),"",D8-SUM(F8:G8))</f>
        <v/>
      </c>
      <c r="I8" s="11" t="str">
        <f aca="false">IF(OR(NOT(ISNUMBER(H8)),D8=0),"",H8/D8)</f>
        <v/>
      </c>
      <c r="J8" s="29"/>
      <c r="K8" s="28"/>
      <c r="L8" s="28"/>
      <c r="M8" s="28"/>
      <c r="N8" s="11" t="str">
        <f aca="false">IF(COUNT(L8:M8)&lt;2,"",IF(L8=0,IF(M8=0,1,""),M8/L8))</f>
        <v/>
      </c>
      <c r="O8" s="28"/>
      <c r="P8" s="28" t="s">
        <v>216</v>
      </c>
      <c r="Q8" s="28" t="s">
        <v>216</v>
      </c>
      <c r="R8" s="1" t="str">
        <f aca="false">IF(AND(Q8="Да",EOMONTH(A8,0)&lt;Допускания!$D$7,COUNT(B8:C8)=2,COUNT(E8:G8)=3,COUNT(L8:M8)=2,ISNUMBER(O8),L8&gt;=M8,ISNUMBER(I8),ISNUMBER(N8)),IF(AND(D8&gt;=30000,E8&gt;=15000,I8&gt;=Допускания!$D$10,N8&gt;=Допускания!$D$11,O8=0,P8="Да"),1,0),"")</f>
        <v/>
      </c>
      <c r="S8" s="1" t="str">
        <f aca="false">IF(NOT(ISNUMBER(R8)),"",IF(R8=1,IF(ISNUMBER(S7),S7+1,1),0))</f>
        <v/>
      </c>
      <c r="T8" s="1" t="str">
        <f aca="false">IF(AND(Q8="Да",EOMONTH(A8,0)&lt;Допускания!$D$7,COUNT(B8:C8)=2,COUNT(E8:G8)=3,COUNT(L8:M8)=2,ISNUMBER(O8),L8&gt;=M8,ISNUMBER(I8),ISNUMBER(N8)),IF(AND(D8&gt;=50000,E8&gt;=30000,I8&gt;=Допускания!$D$10,N8&gt;=Допускания!$D$11,O8=0,P8="Да"),1,0),"")</f>
        <v/>
      </c>
      <c r="U8" s="1" t="str">
        <f aca="false">IF(NOT(ISNUMBER(T8)),"",IF(T8=1,IF(ISNUMBER(U7),U7+1,1),0))</f>
        <v/>
      </c>
    </row>
    <row r="9" customFormat="false" ht="30" hidden="false" customHeight="true" outlineLevel="0" collapsed="false">
      <c r="A9" s="12" t="n">
        <f aca="false">EDATE(DATE(YEAR(Допускания!$D$6),MONTH(Допускания!$D$6),1),1)</f>
        <v>46296</v>
      </c>
      <c r="B9" s="29"/>
      <c r="C9" s="29"/>
      <c r="D9" s="10" t="str">
        <f aca="false">IF(COUNT(B9:C9)&lt;2,"",SUM(B9:C9))</f>
        <v/>
      </c>
      <c r="E9" s="29"/>
      <c r="F9" s="29"/>
      <c r="G9" s="29"/>
      <c r="H9" s="10" t="str">
        <f aca="false">IF(OR(NOT(ISNUMBER(D9)),COUNT(F9:G9)&lt;2),"",D9-SUM(F9:G9))</f>
        <v/>
      </c>
      <c r="I9" s="11" t="str">
        <f aca="false">IF(OR(NOT(ISNUMBER(H9)),D9=0),"",H9/D9)</f>
        <v/>
      </c>
      <c r="J9" s="29"/>
      <c r="K9" s="28"/>
      <c r="L9" s="28"/>
      <c r="M9" s="28"/>
      <c r="N9" s="11" t="str">
        <f aca="false">IF(COUNT(L9:M9)&lt;2,"",IF(L9=0,IF(M9=0,1,""),M9/L9))</f>
        <v/>
      </c>
      <c r="O9" s="28"/>
      <c r="P9" s="28" t="s">
        <v>216</v>
      </c>
      <c r="Q9" s="28" t="s">
        <v>216</v>
      </c>
      <c r="R9" s="1" t="str">
        <f aca="false">IF(AND(Q9="Да",EOMONTH(A9,0)&lt;Допускания!$D$7,COUNT(B9:C9)=2,COUNT(E9:G9)=3,COUNT(L9:M9)=2,ISNUMBER(O9),L9&gt;=M9,ISNUMBER(I9),ISNUMBER(N9)),IF(AND(D9&gt;=30000,E9&gt;=15000,I9&gt;=Допускания!$D$10,N9&gt;=Допускания!$D$11,O9=0,P9="Да"),1,0),"")</f>
        <v/>
      </c>
      <c r="S9" s="1" t="str">
        <f aca="false">IF(NOT(ISNUMBER(R9)),"",IF(R9=1,IF(ISNUMBER(S8),S8+1,1),0))</f>
        <v/>
      </c>
      <c r="T9" s="1" t="str">
        <f aca="false">IF(AND(Q9="Да",EOMONTH(A9,0)&lt;Допускания!$D$7,COUNT(B9:C9)=2,COUNT(E9:G9)=3,COUNT(L9:M9)=2,ISNUMBER(O9),L9&gt;=M9,ISNUMBER(I9),ISNUMBER(N9)),IF(AND(D9&gt;=50000,E9&gt;=30000,I9&gt;=Допускания!$D$10,N9&gt;=Допускания!$D$11,O9=0,P9="Да"),1,0),"")</f>
        <v/>
      </c>
      <c r="U9" s="1" t="str">
        <f aca="false">IF(NOT(ISNUMBER(T9)),"",IF(T9=1,IF(ISNUMBER(U8),U8+1,1),0))</f>
        <v/>
      </c>
    </row>
    <row r="10" customFormat="false" ht="30" hidden="false" customHeight="true" outlineLevel="0" collapsed="false">
      <c r="A10" s="12" t="n">
        <f aca="false">EDATE(DATE(YEAR(Допускания!$D$6),MONTH(Допускания!$D$6),1),2)</f>
        <v>46327</v>
      </c>
      <c r="B10" s="29"/>
      <c r="C10" s="29"/>
      <c r="D10" s="10" t="str">
        <f aca="false">IF(COUNT(B10:C10)&lt;2,"",SUM(B10:C10))</f>
        <v/>
      </c>
      <c r="E10" s="29"/>
      <c r="F10" s="29"/>
      <c r="G10" s="29"/>
      <c r="H10" s="10" t="str">
        <f aca="false">IF(OR(NOT(ISNUMBER(D10)),COUNT(F10:G10)&lt;2),"",D10-SUM(F10:G10))</f>
        <v/>
      </c>
      <c r="I10" s="11" t="str">
        <f aca="false">IF(OR(NOT(ISNUMBER(H10)),D10=0),"",H10/D10)</f>
        <v/>
      </c>
      <c r="J10" s="29"/>
      <c r="K10" s="28"/>
      <c r="L10" s="28"/>
      <c r="M10" s="28"/>
      <c r="N10" s="11" t="str">
        <f aca="false">IF(COUNT(L10:M10)&lt;2,"",IF(L10=0,IF(M10=0,1,""),M10/L10))</f>
        <v/>
      </c>
      <c r="O10" s="28"/>
      <c r="P10" s="28" t="s">
        <v>216</v>
      </c>
      <c r="Q10" s="28" t="s">
        <v>216</v>
      </c>
      <c r="R10" s="1" t="str">
        <f aca="false">IF(AND(Q10="Да",EOMONTH(A10,0)&lt;Допускания!$D$7,COUNT(B10:C10)=2,COUNT(E10:G10)=3,COUNT(L10:M10)=2,ISNUMBER(O10),L10&gt;=M10,ISNUMBER(I10),ISNUMBER(N10)),IF(AND(D10&gt;=30000,E10&gt;=15000,I10&gt;=Допускания!$D$10,N10&gt;=Допускания!$D$11,O10=0,P10="Да"),1,0),"")</f>
        <v/>
      </c>
      <c r="S10" s="1" t="str">
        <f aca="false">IF(NOT(ISNUMBER(R10)),"",IF(R10=1,IF(ISNUMBER(S9),S9+1,1),0))</f>
        <v/>
      </c>
      <c r="T10" s="1" t="str">
        <f aca="false">IF(AND(Q10="Да",EOMONTH(A10,0)&lt;Допускания!$D$7,COUNT(B10:C10)=2,COUNT(E10:G10)=3,COUNT(L10:M10)=2,ISNUMBER(O10),L10&gt;=M10,ISNUMBER(I10),ISNUMBER(N10)),IF(AND(D10&gt;=50000,E10&gt;=30000,I10&gt;=Допускания!$D$10,N10&gt;=Допускания!$D$11,O10=0,P10="Да"),1,0),"")</f>
        <v/>
      </c>
      <c r="U10" s="1" t="str">
        <f aca="false">IF(NOT(ISNUMBER(T10)),"",IF(T10=1,IF(ISNUMBER(U9),U9+1,1),0))</f>
        <v/>
      </c>
    </row>
    <row r="11" customFormat="false" ht="30" hidden="false" customHeight="true" outlineLevel="0" collapsed="false">
      <c r="A11" s="12" t="n">
        <f aca="false">EDATE(DATE(YEAR(Допускания!$D$6),MONTH(Допускания!$D$6),1),3)</f>
        <v>46357</v>
      </c>
      <c r="B11" s="29"/>
      <c r="C11" s="29"/>
      <c r="D11" s="10" t="str">
        <f aca="false">IF(COUNT(B11:C11)&lt;2,"",SUM(B11:C11))</f>
        <v/>
      </c>
      <c r="E11" s="29"/>
      <c r="F11" s="29"/>
      <c r="G11" s="29"/>
      <c r="H11" s="10" t="str">
        <f aca="false">IF(OR(NOT(ISNUMBER(D11)),COUNT(F11:G11)&lt;2),"",D11-SUM(F11:G11))</f>
        <v/>
      </c>
      <c r="I11" s="11" t="str">
        <f aca="false">IF(OR(NOT(ISNUMBER(H11)),D11=0),"",H11/D11)</f>
        <v/>
      </c>
      <c r="J11" s="29"/>
      <c r="K11" s="28"/>
      <c r="L11" s="28"/>
      <c r="M11" s="28"/>
      <c r="N11" s="11" t="str">
        <f aca="false">IF(COUNT(L11:M11)&lt;2,"",IF(L11=0,IF(M11=0,1,""),M11/L11))</f>
        <v/>
      </c>
      <c r="O11" s="28"/>
      <c r="P11" s="28" t="s">
        <v>216</v>
      </c>
      <c r="Q11" s="28" t="s">
        <v>216</v>
      </c>
      <c r="R11" s="1" t="str">
        <f aca="false">IF(AND(Q11="Да",EOMONTH(A11,0)&lt;Допускания!$D$7,COUNT(B11:C11)=2,COUNT(E11:G11)=3,COUNT(L11:M11)=2,ISNUMBER(O11),L11&gt;=M11,ISNUMBER(I11),ISNUMBER(N11)),IF(AND(D11&gt;=30000,E11&gt;=15000,I11&gt;=Допускания!$D$10,N11&gt;=Допускания!$D$11,O11=0,P11="Да"),1,0),"")</f>
        <v/>
      </c>
      <c r="S11" s="1" t="str">
        <f aca="false">IF(NOT(ISNUMBER(R11)),"",IF(R11=1,IF(ISNUMBER(S10),S10+1,1),0))</f>
        <v/>
      </c>
      <c r="T11" s="1" t="str">
        <f aca="false">IF(AND(Q11="Да",EOMONTH(A11,0)&lt;Допускания!$D$7,COUNT(B11:C11)=2,COUNT(E11:G11)=3,COUNT(L11:M11)=2,ISNUMBER(O11),L11&gt;=M11,ISNUMBER(I11),ISNUMBER(N11)),IF(AND(D11&gt;=50000,E11&gt;=30000,I11&gt;=Допускания!$D$10,N11&gt;=Допускания!$D$11,O11=0,P11="Да"),1,0),"")</f>
        <v/>
      </c>
      <c r="U11" s="1" t="str">
        <f aca="false">IF(NOT(ISNUMBER(T11)),"",IF(T11=1,IF(ISNUMBER(U10),U10+1,1),0))</f>
        <v/>
      </c>
    </row>
    <row r="12" customFormat="false" ht="30" hidden="false" customHeight="true" outlineLevel="0" collapsed="false">
      <c r="A12" s="12" t="n">
        <f aca="false">EDATE(DATE(YEAR(Допускания!$D$6),MONTH(Допускания!$D$6),1),4)</f>
        <v>46388</v>
      </c>
      <c r="B12" s="29"/>
      <c r="C12" s="29"/>
      <c r="D12" s="10" t="str">
        <f aca="false">IF(COUNT(B12:C12)&lt;2,"",SUM(B12:C12))</f>
        <v/>
      </c>
      <c r="E12" s="29"/>
      <c r="F12" s="29"/>
      <c r="G12" s="29"/>
      <c r="H12" s="10" t="str">
        <f aca="false">IF(OR(NOT(ISNUMBER(D12)),COUNT(F12:G12)&lt;2),"",D12-SUM(F12:G12))</f>
        <v/>
      </c>
      <c r="I12" s="11" t="str">
        <f aca="false">IF(OR(NOT(ISNUMBER(H12)),D12=0),"",H12/D12)</f>
        <v/>
      </c>
      <c r="J12" s="29"/>
      <c r="K12" s="28"/>
      <c r="L12" s="28"/>
      <c r="M12" s="28"/>
      <c r="N12" s="11" t="str">
        <f aca="false">IF(COUNT(L12:M12)&lt;2,"",IF(L12=0,IF(M12=0,1,""),M12/L12))</f>
        <v/>
      </c>
      <c r="O12" s="28"/>
      <c r="P12" s="28" t="s">
        <v>216</v>
      </c>
      <c r="Q12" s="28" t="s">
        <v>216</v>
      </c>
      <c r="R12" s="1" t="str">
        <f aca="false">IF(AND(Q12="Да",EOMONTH(A12,0)&lt;Допускания!$D$7,COUNT(B12:C12)=2,COUNT(E12:G12)=3,COUNT(L12:M12)=2,ISNUMBER(O12),L12&gt;=M12,ISNUMBER(I12),ISNUMBER(N12)),IF(AND(D12&gt;=30000,E12&gt;=15000,I12&gt;=Допускания!$D$10,N12&gt;=Допускания!$D$11,O12=0,P12="Да"),1,0),"")</f>
        <v/>
      </c>
      <c r="S12" s="1" t="str">
        <f aca="false">IF(NOT(ISNUMBER(R12)),"",IF(R12=1,IF(ISNUMBER(S11),S11+1,1),0))</f>
        <v/>
      </c>
      <c r="T12" s="1" t="str">
        <f aca="false">IF(AND(Q12="Да",EOMONTH(A12,0)&lt;Допускания!$D$7,COUNT(B12:C12)=2,COUNT(E12:G12)=3,COUNT(L12:M12)=2,ISNUMBER(O12),L12&gt;=M12,ISNUMBER(I12),ISNUMBER(N12)),IF(AND(D12&gt;=50000,E12&gt;=30000,I12&gt;=Допускания!$D$10,N12&gt;=Допускания!$D$11,O12=0,P12="Да"),1,0),"")</f>
        <v/>
      </c>
      <c r="U12" s="1" t="str">
        <f aca="false">IF(NOT(ISNUMBER(T12)),"",IF(T12=1,IF(ISNUMBER(U11),U11+1,1),0))</f>
        <v/>
      </c>
    </row>
    <row r="13" customFormat="false" ht="30" hidden="false" customHeight="true" outlineLevel="0" collapsed="false">
      <c r="A13" s="12" t="n">
        <f aca="false">EDATE(DATE(YEAR(Допускания!$D$6),MONTH(Допускания!$D$6),1),5)</f>
        <v>46419</v>
      </c>
      <c r="B13" s="29"/>
      <c r="C13" s="29"/>
      <c r="D13" s="10" t="str">
        <f aca="false">IF(COUNT(B13:C13)&lt;2,"",SUM(B13:C13))</f>
        <v/>
      </c>
      <c r="E13" s="29"/>
      <c r="F13" s="29"/>
      <c r="G13" s="29"/>
      <c r="H13" s="10" t="str">
        <f aca="false">IF(OR(NOT(ISNUMBER(D13)),COUNT(F13:G13)&lt;2),"",D13-SUM(F13:G13))</f>
        <v/>
      </c>
      <c r="I13" s="11" t="str">
        <f aca="false">IF(OR(NOT(ISNUMBER(H13)),D13=0),"",H13/D13)</f>
        <v/>
      </c>
      <c r="J13" s="29"/>
      <c r="K13" s="28"/>
      <c r="L13" s="28"/>
      <c r="M13" s="28"/>
      <c r="N13" s="11" t="str">
        <f aca="false">IF(COUNT(L13:M13)&lt;2,"",IF(L13=0,IF(M13=0,1,""),M13/L13))</f>
        <v/>
      </c>
      <c r="O13" s="28"/>
      <c r="P13" s="28" t="s">
        <v>216</v>
      </c>
      <c r="Q13" s="28" t="s">
        <v>216</v>
      </c>
      <c r="R13" s="1" t="str">
        <f aca="false">IF(AND(Q13="Да",EOMONTH(A13,0)&lt;Допускания!$D$7,COUNT(B13:C13)=2,COUNT(E13:G13)=3,COUNT(L13:M13)=2,ISNUMBER(O13),L13&gt;=M13,ISNUMBER(I13),ISNUMBER(N13)),IF(AND(D13&gt;=30000,E13&gt;=15000,I13&gt;=Допускания!$D$10,N13&gt;=Допускания!$D$11,O13=0,P13="Да"),1,0),"")</f>
        <v/>
      </c>
      <c r="S13" s="1" t="str">
        <f aca="false">IF(NOT(ISNUMBER(R13)),"",IF(R13=1,IF(ISNUMBER(S12),S12+1,1),0))</f>
        <v/>
      </c>
      <c r="T13" s="1" t="str">
        <f aca="false">IF(AND(Q13="Да",EOMONTH(A13,0)&lt;Допускания!$D$7,COUNT(B13:C13)=2,COUNT(E13:G13)=3,COUNT(L13:M13)=2,ISNUMBER(O13),L13&gt;=M13,ISNUMBER(I13),ISNUMBER(N13)),IF(AND(D13&gt;=50000,E13&gt;=30000,I13&gt;=Допускания!$D$10,N13&gt;=Допускания!$D$11,O13=0,P13="Да"),1,0),"")</f>
        <v/>
      </c>
      <c r="U13" s="1" t="str">
        <f aca="false">IF(NOT(ISNUMBER(T13)),"",IF(T13=1,IF(ISNUMBER(U12),U12+1,1),0))</f>
        <v/>
      </c>
    </row>
    <row r="14" customFormat="false" ht="30" hidden="false" customHeight="true" outlineLevel="0" collapsed="false">
      <c r="A14" s="12" t="n">
        <f aca="false">EDATE(DATE(YEAR(Допускания!$D$6),MONTH(Допускания!$D$6),1),6)</f>
        <v>46447</v>
      </c>
      <c r="B14" s="29"/>
      <c r="C14" s="29"/>
      <c r="D14" s="10" t="str">
        <f aca="false">IF(COUNT(B14:C14)&lt;2,"",SUM(B14:C14))</f>
        <v/>
      </c>
      <c r="E14" s="29"/>
      <c r="F14" s="29"/>
      <c r="G14" s="29"/>
      <c r="H14" s="10" t="str">
        <f aca="false">IF(OR(NOT(ISNUMBER(D14)),COUNT(F14:G14)&lt;2),"",D14-SUM(F14:G14))</f>
        <v/>
      </c>
      <c r="I14" s="11" t="str">
        <f aca="false">IF(OR(NOT(ISNUMBER(H14)),D14=0),"",H14/D14)</f>
        <v/>
      </c>
      <c r="J14" s="29"/>
      <c r="K14" s="28"/>
      <c r="L14" s="28"/>
      <c r="M14" s="28"/>
      <c r="N14" s="11" t="str">
        <f aca="false">IF(COUNT(L14:M14)&lt;2,"",IF(L14=0,IF(M14=0,1,""),M14/L14))</f>
        <v/>
      </c>
      <c r="O14" s="28"/>
      <c r="P14" s="28" t="s">
        <v>216</v>
      </c>
      <c r="Q14" s="28" t="s">
        <v>216</v>
      </c>
      <c r="R14" s="1" t="str">
        <f aca="false">IF(AND(Q14="Да",EOMONTH(A14,0)&lt;Допускания!$D$7,COUNT(B14:C14)=2,COUNT(E14:G14)=3,COUNT(L14:M14)=2,ISNUMBER(O14),L14&gt;=M14,ISNUMBER(I14),ISNUMBER(N14)),IF(AND(D14&gt;=30000,E14&gt;=15000,I14&gt;=Допускания!$D$10,N14&gt;=Допускания!$D$11,O14=0,P14="Да"),1,0),"")</f>
        <v/>
      </c>
      <c r="S14" s="1" t="str">
        <f aca="false">IF(NOT(ISNUMBER(R14)),"",IF(R14=1,IF(ISNUMBER(S13),S13+1,1),0))</f>
        <v/>
      </c>
      <c r="T14" s="1" t="str">
        <f aca="false">IF(AND(Q14="Да",EOMONTH(A14,0)&lt;Допускания!$D$7,COUNT(B14:C14)=2,COUNT(E14:G14)=3,COUNT(L14:M14)=2,ISNUMBER(O14),L14&gt;=M14,ISNUMBER(I14),ISNUMBER(N14)),IF(AND(D14&gt;=50000,E14&gt;=30000,I14&gt;=Допускания!$D$10,N14&gt;=Допускания!$D$11,O14=0,P14="Да"),1,0),"")</f>
        <v/>
      </c>
      <c r="U14" s="1" t="str">
        <f aca="false">IF(NOT(ISNUMBER(T14)),"",IF(T14=1,IF(ISNUMBER(U13),U13+1,1),0))</f>
        <v/>
      </c>
    </row>
    <row r="15" customFormat="false" ht="30" hidden="false" customHeight="true" outlineLevel="0" collapsed="false">
      <c r="A15" s="12" t="n">
        <f aca="false">EDATE(DATE(YEAR(Допускания!$D$6),MONTH(Допускания!$D$6),1),7)</f>
        <v>46478</v>
      </c>
      <c r="B15" s="29"/>
      <c r="C15" s="29"/>
      <c r="D15" s="10" t="str">
        <f aca="false">IF(COUNT(B15:C15)&lt;2,"",SUM(B15:C15))</f>
        <v/>
      </c>
      <c r="E15" s="29"/>
      <c r="F15" s="29"/>
      <c r="G15" s="29"/>
      <c r="H15" s="10" t="str">
        <f aca="false">IF(OR(NOT(ISNUMBER(D15)),COUNT(F15:G15)&lt;2),"",D15-SUM(F15:G15))</f>
        <v/>
      </c>
      <c r="I15" s="11" t="str">
        <f aca="false">IF(OR(NOT(ISNUMBER(H15)),D15=0),"",H15/D15)</f>
        <v/>
      </c>
      <c r="J15" s="29"/>
      <c r="K15" s="28"/>
      <c r="L15" s="28"/>
      <c r="M15" s="28"/>
      <c r="N15" s="11" t="str">
        <f aca="false">IF(COUNT(L15:M15)&lt;2,"",IF(L15=0,IF(M15=0,1,""),M15/L15))</f>
        <v/>
      </c>
      <c r="O15" s="28"/>
      <c r="P15" s="28" t="s">
        <v>216</v>
      </c>
      <c r="Q15" s="28" t="s">
        <v>216</v>
      </c>
      <c r="R15" s="1" t="str">
        <f aca="false">IF(AND(Q15="Да",EOMONTH(A15,0)&lt;Допускания!$D$7,COUNT(B15:C15)=2,COUNT(E15:G15)=3,COUNT(L15:M15)=2,ISNUMBER(O15),L15&gt;=M15,ISNUMBER(I15),ISNUMBER(N15)),IF(AND(D15&gt;=30000,E15&gt;=15000,I15&gt;=Допускания!$D$10,N15&gt;=Допускания!$D$11,O15=0,P15="Да"),1,0),"")</f>
        <v/>
      </c>
      <c r="S15" s="1" t="str">
        <f aca="false">IF(NOT(ISNUMBER(R15)),"",IF(R15=1,IF(ISNUMBER(S14),S14+1,1),0))</f>
        <v/>
      </c>
      <c r="T15" s="1" t="str">
        <f aca="false">IF(AND(Q15="Да",EOMONTH(A15,0)&lt;Допускания!$D$7,COUNT(B15:C15)=2,COUNT(E15:G15)=3,COUNT(L15:M15)=2,ISNUMBER(O15),L15&gt;=M15,ISNUMBER(I15),ISNUMBER(N15)),IF(AND(D15&gt;=50000,E15&gt;=30000,I15&gt;=Допускания!$D$10,N15&gt;=Допускания!$D$11,O15=0,P15="Да"),1,0),"")</f>
        <v/>
      </c>
      <c r="U15" s="1" t="str">
        <f aca="false">IF(NOT(ISNUMBER(T15)),"",IF(T15=1,IF(ISNUMBER(U14),U14+1,1),0))</f>
        <v/>
      </c>
    </row>
    <row r="16" customFormat="false" ht="30" hidden="false" customHeight="true" outlineLevel="0" collapsed="false">
      <c r="A16" s="12" t="n">
        <f aca="false">EDATE(DATE(YEAR(Допускания!$D$6),MONTH(Допускания!$D$6),1),8)</f>
        <v>46508</v>
      </c>
      <c r="B16" s="29"/>
      <c r="C16" s="29"/>
      <c r="D16" s="10" t="str">
        <f aca="false">IF(COUNT(B16:C16)&lt;2,"",SUM(B16:C16))</f>
        <v/>
      </c>
      <c r="E16" s="29"/>
      <c r="F16" s="29"/>
      <c r="G16" s="29"/>
      <c r="H16" s="10" t="str">
        <f aca="false">IF(OR(NOT(ISNUMBER(D16)),COUNT(F16:G16)&lt;2),"",D16-SUM(F16:G16))</f>
        <v/>
      </c>
      <c r="I16" s="11" t="str">
        <f aca="false">IF(OR(NOT(ISNUMBER(H16)),D16=0),"",H16/D16)</f>
        <v/>
      </c>
      <c r="J16" s="29"/>
      <c r="K16" s="28"/>
      <c r="L16" s="28"/>
      <c r="M16" s="28"/>
      <c r="N16" s="11" t="str">
        <f aca="false">IF(COUNT(L16:M16)&lt;2,"",IF(L16=0,IF(M16=0,1,""),M16/L16))</f>
        <v/>
      </c>
      <c r="O16" s="28"/>
      <c r="P16" s="28" t="s">
        <v>216</v>
      </c>
      <c r="Q16" s="28" t="s">
        <v>216</v>
      </c>
      <c r="R16" s="1" t="str">
        <f aca="false">IF(AND(Q16="Да",EOMONTH(A16,0)&lt;Допускания!$D$7,COUNT(B16:C16)=2,COUNT(E16:G16)=3,COUNT(L16:M16)=2,ISNUMBER(O16),L16&gt;=M16,ISNUMBER(I16),ISNUMBER(N16)),IF(AND(D16&gt;=30000,E16&gt;=15000,I16&gt;=Допускания!$D$10,N16&gt;=Допускания!$D$11,O16=0,P16="Да"),1,0),"")</f>
        <v/>
      </c>
      <c r="S16" s="1" t="str">
        <f aca="false">IF(NOT(ISNUMBER(R16)),"",IF(R16=1,IF(ISNUMBER(S15),S15+1,1),0))</f>
        <v/>
      </c>
      <c r="T16" s="1" t="str">
        <f aca="false">IF(AND(Q16="Да",EOMONTH(A16,0)&lt;Допускания!$D$7,COUNT(B16:C16)=2,COUNT(E16:G16)=3,COUNT(L16:M16)=2,ISNUMBER(O16),L16&gt;=M16,ISNUMBER(I16),ISNUMBER(N16)),IF(AND(D16&gt;=50000,E16&gt;=30000,I16&gt;=Допускания!$D$10,N16&gt;=Допускания!$D$11,O16=0,P16="Да"),1,0),"")</f>
        <v/>
      </c>
      <c r="U16" s="1" t="str">
        <f aca="false">IF(NOT(ISNUMBER(T16)),"",IF(T16=1,IF(ISNUMBER(U15),U15+1,1),0))</f>
        <v/>
      </c>
    </row>
    <row r="17" customFormat="false" ht="30" hidden="false" customHeight="true" outlineLevel="0" collapsed="false">
      <c r="A17" s="12" t="n">
        <f aca="false">EDATE(DATE(YEAR(Допускания!$D$6),MONTH(Допускания!$D$6),1),9)</f>
        <v>46539</v>
      </c>
      <c r="B17" s="29"/>
      <c r="C17" s="29"/>
      <c r="D17" s="10" t="str">
        <f aca="false">IF(COUNT(B17:C17)&lt;2,"",SUM(B17:C17))</f>
        <v/>
      </c>
      <c r="E17" s="29"/>
      <c r="F17" s="29"/>
      <c r="G17" s="29"/>
      <c r="H17" s="10" t="str">
        <f aca="false">IF(OR(NOT(ISNUMBER(D17)),COUNT(F17:G17)&lt;2),"",D17-SUM(F17:G17))</f>
        <v/>
      </c>
      <c r="I17" s="11" t="str">
        <f aca="false">IF(OR(NOT(ISNUMBER(H17)),D17=0),"",H17/D17)</f>
        <v/>
      </c>
      <c r="J17" s="29"/>
      <c r="K17" s="28"/>
      <c r="L17" s="28"/>
      <c r="M17" s="28"/>
      <c r="N17" s="11" t="str">
        <f aca="false">IF(COUNT(L17:M17)&lt;2,"",IF(L17=0,IF(M17=0,1,""),M17/L17))</f>
        <v/>
      </c>
      <c r="O17" s="28"/>
      <c r="P17" s="28" t="s">
        <v>216</v>
      </c>
      <c r="Q17" s="28" t="s">
        <v>216</v>
      </c>
      <c r="R17" s="1" t="str">
        <f aca="false">IF(AND(Q17="Да",EOMONTH(A17,0)&lt;Допускания!$D$7,COUNT(B17:C17)=2,COUNT(E17:G17)=3,COUNT(L17:M17)=2,ISNUMBER(O17),L17&gt;=M17,ISNUMBER(I17),ISNUMBER(N17)),IF(AND(D17&gt;=30000,E17&gt;=15000,I17&gt;=Допускания!$D$10,N17&gt;=Допускания!$D$11,O17=0,P17="Да"),1,0),"")</f>
        <v/>
      </c>
      <c r="S17" s="1" t="str">
        <f aca="false">IF(NOT(ISNUMBER(R17)),"",IF(R17=1,IF(ISNUMBER(S16),S16+1,1),0))</f>
        <v/>
      </c>
      <c r="T17" s="1" t="str">
        <f aca="false">IF(AND(Q17="Да",EOMONTH(A17,0)&lt;Допускания!$D$7,COUNT(B17:C17)=2,COUNT(E17:G17)=3,COUNT(L17:M17)=2,ISNUMBER(O17),L17&gt;=M17,ISNUMBER(I17),ISNUMBER(N17)),IF(AND(D17&gt;=50000,E17&gt;=30000,I17&gt;=Допускания!$D$10,N17&gt;=Допускания!$D$11,O17=0,P17="Да"),1,0),"")</f>
        <v/>
      </c>
      <c r="U17" s="1" t="str">
        <f aca="false">IF(NOT(ISNUMBER(T17)),"",IF(T17=1,IF(ISNUMBER(U16),U16+1,1),0))</f>
        <v/>
      </c>
    </row>
    <row r="18" customFormat="false" ht="30" hidden="false" customHeight="true" outlineLevel="0" collapsed="false">
      <c r="A18" s="12" t="n">
        <f aca="false">EDATE(DATE(YEAR(Допускания!$D$6),MONTH(Допускания!$D$6),1),10)</f>
        <v>46569</v>
      </c>
      <c r="B18" s="29"/>
      <c r="C18" s="29"/>
      <c r="D18" s="10" t="str">
        <f aca="false">IF(COUNT(B18:C18)&lt;2,"",SUM(B18:C18))</f>
        <v/>
      </c>
      <c r="E18" s="29"/>
      <c r="F18" s="29"/>
      <c r="G18" s="29"/>
      <c r="H18" s="10" t="str">
        <f aca="false">IF(OR(NOT(ISNUMBER(D18)),COUNT(F18:G18)&lt;2),"",D18-SUM(F18:G18))</f>
        <v/>
      </c>
      <c r="I18" s="11" t="str">
        <f aca="false">IF(OR(NOT(ISNUMBER(H18)),D18=0),"",H18/D18)</f>
        <v/>
      </c>
      <c r="J18" s="29"/>
      <c r="K18" s="28"/>
      <c r="L18" s="28"/>
      <c r="M18" s="28"/>
      <c r="N18" s="11" t="str">
        <f aca="false">IF(COUNT(L18:M18)&lt;2,"",IF(L18=0,IF(M18=0,1,""),M18/L18))</f>
        <v/>
      </c>
      <c r="O18" s="28"/>
      <c r="P18" s="28" t="s">
        <v>216</v>
      </c>
      <c r="Q18" s="28" t="s">
        <v>216</v>
      </c>
      <c r="R18" s="1" t="str">
        <f aca="false">IF(AND(Q18="Да",EOMONTH(A18,0)&lt;Допускания!$D$7,COUNT(B18:C18)=2,COUNT(E18:G18)=3,COUNT(L18:M18)=2,ISNUMBER(O18),L18&gt;=M18,ISNUMBER(I18),ISNUMBER(N18)),IF(AND(D18&gt;=30000,E18&gt;=15000,I18&gt;=Допускания!$D$10,N18&gt;=Допускания!$D$11,O18=0,P18="Да"),1,0),"")</f>
        <v/>
      </c>
      <c r="S18" s="1" t="str">
        <f aca="false">IF(NOT(ISNUMBER(R18)),"",IF(R18=1,IF(ISNUMBER(S17),S17+1,1),0))</f>
        <v/>
      </c>
      <c r="T18" s="1" t="str">
        <f aca="false">IF(AND(Q18="Да",EOMONTH(A18,0)&lt;Допускания!$D$7,COUNT(B18:C18)=2,COUNT(E18:G18)=3,COUNT(L18:M18)=2,ISNUMBER(O18),L18&gt;=M18,ISNUMBER(I18),ISNUMBER(N18)),IF(AND(D18&gt;=50000,E18&gt;=30000,I18&gt;=Допускания!$D$10,N18&gt;=Допускания!$D$11,O18=0,P18="Да"),1,0),"")</f>
        <v/>
      </c>
      <c r="U18" s="1" t="str">
        <f aca="false">IF(NOT(ISNUMBER(T18)),"",IF(T18=1,IF(ISNUMBER(U17),U17+1,1),0))</f>
        <v/>
      </c>
    </row>
    <row r="19" customFormat="false" ht="30" hidden="false" customHeight="true" outlineLevel="0" collapsed="false">
      <c r="A19" s="12" t="n">
        <f aca="false">EDATE(DATE(YEAR(Допускания!$D$6),MONTH(Допускания!$D$6),1),11)</f>
        <v>46600</v>
      </c>
      <c r="B19" s="29"/>
      <c r="C19" s="29"/>
      <c r="D19" s="10" t="str">
        <f aca="false">IF(COUNT(B19:C19)&lt;2,"",SUM(B19:C19))</f>
        <v/>
      </c>
      <c r="E19" s="29"/>
      <c r="F19" s="29"/>
      <c r="G19" s="29"/>
      <c r="H19" s="10" t="str">
        <f aca="false">IF(OR(NOT(ISNUMBER(D19)),COUNT(F19:G19)&lt;2),"",D19-SUM(F19:G19))</f>
        <v/>
      </c>
      <c r="I19" s="11" t="str">
        <f aca="false">IF(OR(NOT(ISNUMBER(H19)),D19=0),"",H19/D19)</f>
        <v/>
      </c>
      <c r="J19" s="29"/>
      <c r="K19" s="28"/>
      <c r="L19" s="28"/>
      <c r="M19" s="28"/>
      <c r="N19" s="11" t="str">
        <f aca="false">IF(COUNT(L19:M19)&lt;2,"",IF(L19=0,IF(M19=0,1,""),M19/L19))</f>
        <v/>
      </c>
      <c r="O19" s="28"/>
      <c r="P19" s="28" t="s">
        <v>216</v>
      </c>
      <c r="Q19" s="28" t="s">
        <v>216</v>
      </c>
      <c r="R19" s="1" t="str">
        <f aca="false">IF(AND(Q19="Да",EOMONTH(A19,0)&lt;Допускания!$D$7,COUNT(B19:C19)=2,COUNT(E19:G19)=3,COUNT(L19:M19)=2,ISNUMBER(O19),L19&gt;=M19,ISNUMBER(I19),ISNUMBER(N19)),IF(AND(D19&gt;=30000,E19&gt;=15000,I19&gt;=Допускания!$D$10,N19&gt;=Допускания!$D$11,O19=0,P19="Да"),1,0),"")</f>
        <v/>
      </c>
      <c r="S19" s="1" t="str">
        <f aca="false">IF(NOT(ISNUMBER(R19)),"",IF(R19=1,IF(ISNUMBER(S18),S18+1,1),0))</f>
        <v/>
      </c>
      <c r="T19" s="1" t="str">
        <f aca="false">IF(AND(Q19="Да",EOMONTH(A19,0)&lt;Допускания!$D$7,COUNT(B19:C19)=2,COUNT(E19:G19)=3,COUNT(L19:M19)=2,ISNUMBER(O19),L19&gt;=M19,ISNUMBER(I19),ISNUMBER(N19)),IF(AND(D19&gt;=50000,E19&gt;=30000,I19&gt;=Допускания!$D$10,N19&gt;=Допускания!$D$11,O19=0,P19="Да"),1,0),"")</f>
        <v/>
      </c>
      <c r="U19" s="1" t="str">
        <f aca="false">IF(NOT(ISNUMBER(T19)),"",IF(T19=1,IF(ISNUMBER(U18),U18+1,1),0))</f>
        <v/>
      </c>
    </row>
    <row r="20" customFormat="false" ht="30" hidden="false" customHeight="true" outlineLevel="0" collapsed="false">
      <c r="A20" s="12" t="n">
        <f aca="false">EDATE(DATE(YEAR(Допускания!$D$6),MONTH(Допускания!$D$6),1),12)</f>
        <v>46631</v>
      </c>
      <c r="B20" s="29"/>
      <c r="C20" s="29"/>
      <c r="D20" s="10" t="str">
        <f aca="false">IF(COUNT(B20:C20)&lt;2,"",SUM(B20:C20))</f>
        <v/>
      </c>
      <c r="E20" s="29"/>
      <c r="F20" s="29"/>
      <c r="G20" s="29"/>
      <c r="H20" s="10" t="str">
        <f aca="false">IF(OR(NOT(ISNUMBER(D20)),COUNT(F20:G20)&lt;2),"",D20-SUM(F20:G20))</f>
        <v/>
      </c>
      <c r="I20" s="11" t="str">
        <f aca="false">IF(OR(NOT(ISNUMBER(H20)),D20=0),"",H20/D20)</f>
        <v/>
      </c>
      <c r="J20" s="29"/>
      <c r="K20" s="28"/>
      <c r="L20" s="28"/>
      <c r="M20" s="28"/>
      <c r="N20" s="11" t="str">
        <f aca="false">IF(COUNT(L20:M20)&lt;2,"",IF(L20=0,IF(M20=0,1,""),M20/L20))</f>
        <v/>
      </c>
      <c r="O20" s="28"/>
      <c r="P20" s="28" t="s">
        <v>216</v>
      </c>
      <c r="Q20" s="28" t="s">
        <v>216</v>
      </c>
      <c r="R20" s="1" t="str">
        <f aca="false">IF(AND(Q20="Да",EOMONTH(A20,0)&lt;Допускания!$D$7,COUNT(B20:C20)=2,COUNT(E20:G20)=3,COUNT(L20:M20)=2,ISNUMBER(O20),L20&gt;=M20,ISNUMBER(I20),ISNUMBER(N20)),IF(AND(D20&gt;=30000,E20&gt;=15000,I20&gt;=Допускания!$D$10,N20&gt;=Допускания!$D$11,O20=0,P20="Да"),1,0),"")</f>
        <v/>
      </c>
      <c r="S20" s="1" t="str">
        <f aca="false">IF(NOT(ISNUMBER(R20)),"",IF(R20=1,IF(ISNUMBER(S19),S19+1,1),0))</f>
        <v/>
      </c>
      <c r="T20" s="1" t="str">
        <f aca="false">IF(AND(Q20="Да",EOMONTH(A20,0)&lt;Допускания!$D$7,COUNT(B20:C20)=2,COUNT(E20:G20)=3,COUNT(L20:M20)=2,ISNUMBER(O20),L20&gt;=M20,ISNUMBER(I20),ISNUMBER(N20)),IF(AND(D20&gt;=50000,E20&gt;=30000,I20&gt;=Допускания!$D$10,N20&gt;=Допускания!$D$11,O20=0,P20="Да"),1,0),"")</f>
        <v/>
      </c>
      <c r="U20" s="1" t="str">
        <f aca="false">IF(NOT(ISNUMBER(T20)),"",IF(T20=1,IF(ISNUMBER(U19),U19+1,1),0))</f>
        <v/>
      </c>
    </row>
    <row r="21" customFormat="false" ht="30" hidden="false" customHeight="true" outlineLevel="0" collapsed="false">
      <c r="A21" s="12" t="n">
        <f aca="false">EDATE(DATE(YEAR(Допускания!$D$6),MONTH(Допускания!$D$6),1),13)</f>
        <v>46661</v>
      </c>
      <c r="B21" s="29"/>
      <c r="C21" s="29"/>
      <c r="D21" s="10" t="str">
        <f aca="false">IF(COUNT(B21:C21)&lt;2,"",SUM(B21:C21))</f>
        <v/>
      </c>
      <c r="E21" s="29"/>
      <c r="F21" s="29"/>
      <c r="G21" s="29"/>
      <c r="H21" s="10" t="str">
        <f aca="false">IF(OR(NOT(ISNUMBER(D21)),COUNT(F21:G21)&lt;2),"",D21-SUM(F21:G21))</f>
        <v/>
      </c>
      <c r="I21" s="11" t="str">
        <f aca="false">IF(OR(NOT(ISNUMBER(H21)),D21=0),"",H21/D21)</f>
        <v/>
      </c>
      <c r="J21" s="29"/>
      <c r="K21" s="28"/>
      <c r="L21" s="28"/>
      <c r="M21" s="28"/>
      <c r="N21" s="11" t="str">
        <f aca="false">IF(COUNT(L21:M21)&lt;2,"",IF(L21=0,IF(M21=0,1,""),M21/L21))</f>
        <v/>
      </c>
      <c r="O21" s="28"/>
      <c r="P21" s="28" t="s">
        <v>216</v>
      </c>
      <c r="Q21" s="28" t="s">
        <v>216</v>
      </c>
      <c r="R21" s="1" t="str">
        <f aca="false">IF(AND(Q21="Да",EOMONTH(A21,0)&lt;Допускания!$D$7,COUNT(B21:C21)=2,COUNT(E21:G21)=3,COUNT(L21:M21)=2,ISNUMBER(O21),L21&gt;=M21,ISNUMBER(I21),ISNUMBER(N21)),IF(AND(D21&gt;=30000,E21&gt;=15000,I21&gt;=Допускания!$D$10,N21&gt;=Допускания!$D$11,O21=0,P21="Да"),1,0),"")</f>
        <v/>
      </c>
      <c r="S21" s="1" t="str">
        <f aca="false">IF(NOT(ISNUMBER(R21)),"",IF(R21=1,IF(ISNUMBER(S20),S20+1,1),0))</f>
        <v/>
      </c>
      <c r="T21" s="1" t="str">
        <f aca="false">IF(AND(Q21="Да",EOMONTH(A21,0)&lt;Допускания!$D$7,COUNT(B21:C21)=2,COUNT(E21:G21)=3,COUNT(L21:M21)=2,ISNUMBER(O21),L21&gt;=M21,ISNUMBER(I21),ISNUMBER(N21)),IF(AND(D21&gt;=50000,E21&gt;=30000,I21&gt;=Допускания!$D$10,N21&gt;=Допускания!$D$11,O21=0,P21="Да"),1,0),"")</f>
        <v/>
      </c>
      <c r="U21" s="1" t="str">
        <f aca="false">IF(NOT(ISNUMBER(T21)),"",IF(T21=1,IF(ISNUMBER(U20),U20+1,1),0))</f>
        <v/>
      </c>
    </row>
    <row r="22" customFormat="false" ht="30" hidden="false" customHeight="true" outlineLevel="0" collapsed="false">
      <c r="A22" s="12" t="n">
        <f aca="false">EDATE(DATE(YEAR(Допускания!$D$6),MONTH(Допускания!$D$6),1),14)</f>
        <v>46692</v>
      </c>
      <c r="B22" s="29"/>
      <c r="C22" s="29"/>
      <c r="D22" s="10" t="str">
        <f aca="false">IF(COUNT(B22:C22)&lt;2,"",SUM(B22:C22))</f>
        <v/>
      </c>
      <c r="E22" s="29"/>
      <c r="F22" s="29"/>
      <c r="G22" s="29"/>
      <c r="H22" s="10" t="str">
        <f aca="false">IF(OR(NOT(ISNUMBER(D22)),COUNT(F22:G22)&lt;2),"",D22-SUM(F22:G22))</f>
        <v/>
      </c>
      <c r="I22" s="11" t="str">
        <f aca="false">IF(OR(NOT(ISNUMBER(H22)),D22=0),"",H22/D22)</f>
        <v/>
      </c>
      <c r="J22" s="29"/>
      <c r="K22" s="28"/>
      <c r="L22" s="28"/>
      <c r="M22" s="28"/>
      <c r="N22" s="11" t="str">
        <f aca="false">IF(COUNT(L22:M22)&lt;2,"",IF(L22=0,IF(M22=0,1,""),M22/L22))</f>
        <v/>
      </c>
      <c r="O22" s="28"/>
      <c r="P22" s="28" t="s">
        <v>216</v>
      </c>
      <c r="Q22" s="28" t="s">
        <v>216</v>
      </c>
      <c r="R22" s="1" t="str">
        <f aca="false">IF(AND(Q22="Да",EOMONTH(A22,0)&lt;Допускания!$D$7,COUNT(B22:C22)=2,COUNT(E22:G22)=3,COUNT(L22:M22)=2,ISNUMBER(O22),L22&gt;=M22,ISNUMBER(I22),ISNUMBER(N22)),IF(AND(D22&gt;=30000,E22&gt;=15000,I22&gt;=Допускания!$D$10,N22&gt;=Допускания!$D$11,O22=0,P22="Да"),1,0),"")</f>
        <v/>
      </c>
      <c r="S22" s="1" t="str">
        <f aca="false">IF(NOT(ISNUMBER(R22)),"",IF(R22=1,IF(ISNUMBER(S21),S21+1,1),0))</f>
        <v/>
      </c>
      <c r="T22" s="1" t="str">
        <f aca="false">IF(AND(Q22="Да",EOMONTH(A22,0)&lt;Допускания!$D$7,COUNT(B22:C22)=2,COUNT(E22:G22)=3,COUNT(L22:M22)=2,ISNUMBER(O22),L22&gt;=M22,ISNUMBER(I22),ISNUMBER(N22)),IF(AND(D22&gt;=50000,E22&gt;=30000,I22&gt;=Допускания!$D$10,N22&gt;=Допускания!$D$11,O22=0,P22="Да"),1,0),"")</f>
        <v/>
      </c>
      <c r="U22" s="1" t="str">
        <f aca="false">IF(NOT(ISNUMBER(T22)),"",IF(T22=1,IF(ISNUMBER(U21),U21+1,1),0))</f>
        <v/>
      </c>
    </row>
    <row r="23" customFormat="false" ht="30" hidden="false" customHeight="true" outlineLevel="0" collapsed="false">
      <c r="A23" s="12" t="n">
        <f aca="false">EDATE(DATE(YEAR(Допускания!$D$6),MONTH(Допускания!$D$6),1),15)</f>
        <v>46722</v>
      </c>
      <c r="B23" s="29"/>
      <c r="C23" s="29"/>
      <c r="D23" s="10" t="str">
        <f aca="false">IF(COUNT(B23:C23)&lt;2,"",SUM(B23:C23))</f>
        <v/>
      </c>
      <c r="E23" s="29"/>
      <c r="F23" s="29"/>
      <c r="G23" s="29"/>
      <c r="H23" s="10" t="str">
        <f aca="false">IF(OR(NOT(ISNUMBER(D23)),COUNT(F23:G23)&lt;2),"",D23-SUM(F23:G23))</f>
        <v/>
      </c>
      <c r="I23" s="11" t="str">
        <f aca="false">IF(OR(NOT(ISNUMBER(H23)),D23=0),"",H23/D23)</f>
        <v/>
      </c>
      <c r="J23" s="29"/>
      <c r="K23" s="28"/>
      <c r="L23" s="28"/>
      <c r="M23" s="28"/>
      <c r="N23" s="11" t="str">
        <f aca="false">IF(COUNT(L23:M23)&lt;2,"",IF(L23=0,IF(M23=0,1,""),M23/L23))</f>
        <v/>
      </c>
      <c r="O23" s="28"/>
      <c r="P23" s="28" t="s">
        <v>216</v>
      </c>
      <c r="Q23" s="28" t="s">
        <v>216</v>
      </c>
      <c r="R23" s="1" t="str">
        <f aca="false">IF(AND(Q23="Да",EOMONTH(A23,0)&lt;Допускания!$D$7,COUNT(B23:C23)=2,COUNT(E23:G23)=3,COUNT(L23:M23)=2,ISNUMBER(O23),L23&gt;=M23,ISNUMBER(I23),ISNUMBER(N23)),IF(AND(D23&gt;=30000,E23&gt;=15000,I23&gt;=Допускания!$D$10,N23&gt;=Допускания!$D$11,O23=0,P23="Да"),1,0),"")</f>
        <v/>
      </c>
      <c r="S23" s="1" t="str">
        <f aca="false">IF(NOT(ISNUMBER(R23)),"",IF(R23=1,IF(ISNUMBER(S22),S22+1,1),0))</f>
        <v/>
      </c>
      <c r="T23" s="1" t="str">
        <f aca="false">IF(AND(Q23="Да",EOMONTH(A23,0)&lt;Допускания!$D$7,COUNT(B23:C23)=2,COUNT(E23:G23)=3,COUNT(L23:M23)=2,ISNUMBER(O23),L23&gt;=M23,ISNUMBER(I23),ISNUMBER(N23)),IF(AND(D23&gt;=50000,E23&gt;=30000,I23&gt;=Допускания!$D$10,N23&gt;=Допускания!$D$11,O23=0,P23="Да"),1,0),"")</f>
        <v/>
      </c>
      <c r="U23" s="1" t="str">
        <f aca="false">IF(NOT(ISNUMBER(T23)),"",IF(T23=1,IF(ISNUMBER(U22),U22+1,1),0))</f>
        <v/>
      </c>
    </row>
    <row r="24" customFormat="false" ht="30" hidden="false" customHeight="true" outlineLevel="0" collapsed="false">
      <c r="A24" s="12" t="n">
        <f aca="false">EDATE(DATE(YEAR(Допускания!$D$6),MONTH(Допускания!$D$6),1),16)</f>
        <v>46753</v>
      </c>
      <c r="B24" s="29"/>
      <c r="C24" s="29"/>
      <c r="D24" s="10" t="str">
        <f aca="false">IF(COUNT(B24:C24)&lt;2,"",SUM(B24:C24))</f>
        <v/>
      </c>
      <c r="E24" s="29"/>
      <c r="F24" s="29"/>
      <c r="G24" s="29"/>
      <c r="H24" s="10" t="str">
        <f aca="false">IF(OR(NOT(ISNUMBER(D24)),COUNT(F24:G24)&lt;2),"",D24-SUM(F24:G24))</f>
        <v/>
      </c>
      <c r="I24" s="11" t="str">
        <f aca="false">IF(OR(NOT(ISNUMBER(H24)),D24=0),"",H24/D24)</f>
        <v/>
      </c>
      <c r="J24" s="29"/>
      <c r="K24" s="28"/>
      <c r="L24" s="28"/>
      <c r="M24" s="28"/>
      <c r="N24" s="11" t="str">
        <f aca="false">IF(COUNT(L24:M24)&lt;2,"",IF(L24=0,IF(M24=0,1,""),M24/L24))</f>
        <v/>
      </c>
      <c r="O24" s="28"/>
      <c r="P24" s="28" t="s">
        <v>216</v>
      </c>
      <c r="Q24" s="28" t="s">
        <v>216</v>
      </c>
      <c r="R24" s="1" t="str">
        <f aca="false">IF(AND(Q24="Да",EOMONTH(A24,0)&lt;Допускания!$D$7,COUNT(B24:C24)=2,COUNT(E24:G24)=3,COUNT(L24:M24)=2,ISNUMBER(O24),L24&gt;=M24,ISNUMBER(I24),ISNUMBER(N24)),IF(AND(D24&gt;=30000,E24&gt;=15000,I24&gt;=Допускания!$D$10,N24&gt;=Допускания!$D$11,O24=0,P24="Да"),1,0),"")</f>
        <v/>
      </c>
      <c r="S24" s="1" t="str">
        <f aca="false">IF(NOT(ISNUMBER(R24)),"",IF(R24=1,IF(ISNUMBER(S23),S23+1,1),0))</f>
        <v/>
      </c>
      <c r="T24" s="1" t="str">
        <f aca="false">IF(AND(Q24="Да",EOMONTH(A24,0)&lt;Допускания!$D$7,COUNT(B24:C24)=2,COUNT(E24:G24)=3,COUNT(L24:M24)=2,ISNUMBER(O24),L24&gt;=M24,ISNUMBER(I24),ISNUMBER(N24)),IF(AND(D24&gt;=50000,E24&gt;=30000,I24&gt;=Допускания!$D$10,N24&gt;=Допускания!$D$11,O24=0,P24="Да"),1,0),"")</f>
        <v/>
      </c>
      <c r="U24" s="1" t="str">
        <f aca="false">IF(NOT(ISNUMBER(T24)),"",IF(T24=1,IF(ISNUMBER(U23),U23+1,1),0))</f>
        <v/>
      </c>
    </row>
    <row r="25" customFormat="false" ht="30" hidden="false" customHeight="true" outlineLevel="0" collapsed="false">
      <c r="A25" s="12" t="n">
        <f aca="false">EDATE(DATE(YEAR(Допускания!$D$6),MONTH(Допускания!$D$6),1),17)</f>
        <v>46784</v>
      </c>
      <c r="B25" s="29"/>
      <c r="C25" s="29"/>
      <c r="D25" s="10" t="str">
        <f aca="false">IF(COUNT(B25:C25)&lt;2,"",SUM(B25:C25))</f>
        <v/>
      </c>
      <c r="E25" s="29"/>
      <c r="F25" s="29"/>
      <c r="G25" s="29"/>
      <c r="H25" s="10" t="str">
        <f aca="false">IF(OR(NOT(ISNUMBER(D25)),COUNT(F25:G25)&lt;2),"",D25-SUM(F25:G25))</f>
        <v/>
      </c>
      <c r="I25" s="11" t="str">
        <f aca="false">IF(OR(NOT(ISNUMBER(H25)),D25=0),"",H25/D25)</f>
        <v/>
      </c>
      <c r="J25" s="29"/>
      <c r="K25" s="28"/>
      <c r="L25" s="28"/>
      <c r="M25" s="28"/>
      <c r="N25" s="11" t="str">
        <f aca="false">IF(COUNT(L25:M25)&lt;2,"",IF(L25=0,IF(M25=0,1,""),M25/L25))</f>
        <v/>
      </c>
      <c r="O25" s="28"/>
      <c r="P25" s="28" t="s">
        <v>216</v>
      </c>
      <c r="Q25" s="28" t="s">
        <v>216</v>
      </c>
      <c r="R25" s="1" t="str">
        <f aca="false">IF(AND(Q25="Да",EOMONTH(A25,0)&lt;Допускания!$D$7,COUNT(B25:C25)=2,COUNT(E25:G25)=3,COUNT(L25:M25)=2,ISNUMBER(O25),L25&gt;=M25,ISNUMBER(I25),ISNUMBER(N25)),IF(AND(D25&gt;=30000,E25&gt;=15000,I25&gt;=Допускания!$D$10,N25&gt;=Допускания!$D$11,O25=0,P25="Да"),1,0),"")</f>
        <v/>
      </c>
      <c r="S25" s="1" t="str">
        <f aca="false">IF(NOT(ISNUMBER(R25)),"",IF(R25=1,IF(ISNUMBER(S24),S24+1,1),0))</f>
        <v/>
      </c>
      <c r="T25" s="1" t="str">
        <f aca="false">IF(AND(Q25="Да",EOMONTH(A25,0)&lt;Допускания!$D$7,COUNT(B25:C25)=2,COUNT(E25:G25)=3,COUNT(L25:M25)=2,ISNUMBER(O25),L25&gt;=M25,ISNUMBER(I25),ISNUMBER(N25)),IF(AND(D25&gt;=50000,E25&gt;=30000,I25&gt;=Допускания!$D$10,N25&gt;=Допускания!$D$11,O25=0,P25="Да"),1,0),"")</f>
        <v/>
      </c>
      <c r="U25" s="1" t="str">
        <f aca="false">IF(NOT(ISNUMBER(T25)),"",IF(T25=1,IF(ISNUMBER(U24),U24+1,1),0))</f>
        <v/>
      </c>
    </row>
    <row r="26" customFormat="false" ht="30" hidden="false" customHeight="true" outlineLevel="0" collapsed="false">
      <c r="A26" s="12" t="n">
        <f aca="false">EDATE(DATE(YEAR(Допускания!$D$6),MONTH(Допускания!$D$6),1),18)</f>
        <v>46813</v>
      </c>
      <c r="B26" s="29"/>
      <c r="C26" s="29"/>
      <c r="D26" s="10" t="str">
        <f aca="false">IF(COUNT(B26:C26)&lt;2,"",SUM(B26:C26))</f>
        <v/>
      </c>
      <c r="E26" s="29"/>
      <c r="F26" s="29"/>
      <c r="G26" s="29"/>
      <c r="H26" s="10" t="str">
        <f aca="false">IF(OR(NOT(ISNUMBER(D26)),COUNT(F26:G26)&lt;2),"",D26-SUM(F26:G26))</f>
        <v/>
      </c>
      <c r="I26" s="11" t="str">
        <f aca="false">IF(OR(NOT(ISNUMBER(H26)),D26=0),"",H26/D26)</f>
        <v/>
      </c>
      <c r="J26" s="29"/>
      <c r="K26" s="28"/>
      <c r="L26" s="28"/>
      <c r="M26" s="28"/>
      <c r="N26" s="11" t="str">
        <f aca="false">IF(COUNT(L26:M26)&lt;2,"",IF(L26=0,IF(M26=0,1,""),M26/L26))</f>
        <v/>
      </c>
      <c r="O26" s="28"/>
      <c r="P26" s="28" t="s">
        <v>216</v>
      </c>
      <c r="Q26" s="28" t="s">
        <v>216</v>
      </c>
      <c r="R26" s="1" t="str">
        <f aca="false">IF(AND(Q26="Да",EOMONTH(A26,0)&lt;Допускания!$D$7,COUNT(B26:C26)=2,COUNT(E26:G26)=3,COUNT(L26:M26)=2,ISNUMBER(O26),L26&gt;=M26,ISNUMBER(I26),ISNUMBER(N26)),IF(AND(D26&gt;=30000,E26&gt;=15000,I26&gt;=Допускания!$D$10,N26&gt;=Допускания!$D$11,O26=0,P26="Да"),1,0),"")</f>
        <v/>
      </c>
      <c r="S26" s="1" t="str">
        <f aca="false">IF(NOT(ISNUMBER(R26)),"",IF(R26=1,IF(ISNUMBER(S25),S25+1,1),0))</f>
        <v/>
      </c>
      <c r="T26" s="1" t="str">
        <f aca="false">IF(AND(Q26="Да",EOMONTH(A26,0)&lt;Допускания!$D$7,COUNT(B26:C26)=2,COUNT(E26:G26)=3,COUNT(L26:M26)=2,ISNUMBER(O26),L26&gt;=M26,ISNUMBER(I26),ISNUMBER(N26)),IF(AND(D26&gt;=50000,E26&gt;=30000,I26&gt;=Допускания!$D$10,N26&gt;=Допускания!$D$11,O26=0,P26="Да"),1,0),"")</f>
        <v/>
      </c>
      <c r="U26" s="1" t="str">
        <f aca="false">IF(NOT(ISNUMBER(T26)),"",IF(T26=1,IF(ISNUMBER(U25),U25+1,1),0))</f>
        <v/>
      </c>
    </row>
    <row r="27" customFormat="false" ht="30" hidden="false" customHeight="true" outlineLevel="0" collapsed="false">
      <c r="A27" s="12" t="n">
        <f aca="false">EDATE(DATE(YEAR(Допускания!$D$6),MONTH(Допускания!$D$6),1),19)</f>
        <v>46844</v>
      </c>
      <c r="B27" s="29"/>
      <c r="C27" s="29"/>
      <c r="D27" s="10" t="str">
        <f aca="false">IF(COUNT(B27:C27)&lt;2,"",SUM(B27:C27))</f>
        <v/>
      </c>
      <c r="E27" s="29"/>
      <c r="F27" s="29"/>
      <c r="G27" s="29"/>
      <c r="H27" s="10" t="str">
        <f aca="false">IF(OR(NOT(ISNUMBER(D27)),COUNT(F27:G27)&lt;2),"",D27-SUM(F27:G27))</f>
        <v/>
      </c>
      <c r="I27" s="11" t="str">
        <f aca="false">IF(OR(NOT(ISNUMBER(H27)),D27=0),"",H27/D27)</f>
        <v/>
      </c>
      <c r="J27" s="29"/>
      <c r="K27" s="28"/>
      <c r="L27" s="28"/>
      <c r="M27" s="28"/>
      <c r="N27" s="11" t="str">
        <f aca="false">IF(COUNT(L27:M27)&lt;2,"",IF(L27=0,IF(M27=0,1,""),M27/L27))</f>
        <v/>
      </c>
      <c r="O27" s="28"/>
      <c r="P27" s="28" t="s">
        <v>216</v>
      </c>
      <c r="Q27" s="28" t="s">
        <v>216</v>
      </c>
      <c r="R27" s="1" t="str">
        <f aca="false">IF(AND(Q27="Да",EOMONTH(A27,0)&lt;Допускания!$D$7,COUNT(B27:C27)=2,COUNT(E27:G27)=3,COUNT(L27:M27)=2,ISNUMBER(O27),L27&gt;=M27,ISNUMBER(I27),ISNUMBER(N27)),IF(AND(D27&gt;=30000,E27&gt;=15000,I27&gt;=Допускания!$D$10,N27&gt;=Допускания!$D$11,O27=0,P27="Да"),1,0),"")</f>
        <v/>
      </c>
      <c r="S27" s="1" t="str">
        <f aca="false">IF(NOT(ISNUMBER(R27)),"",IF(R27=1,IF(ISNUMBER(S26),S26+1,1),0))</f>
        <v/>
      </c>
      <c r="T27" s="1" t="str">
        <f aca="false">IF(AND(Q27="Да",EOMONTH(A27,0)&lt;Допускания!$D$7,COUNT(B27:C27)=2,COUNT(E27:G27)=3,COUNT(L27:M27)=2,ISNUMBER(O27),L27&gt;=M27,ISNUMBER(I27),ISNUMBER(N27)),IF(AND(D27&gt;=50000,E27&gt;=30000,I27&gt;=Допускания!$D$10,N27&gt;=Допускания!$D$11,O27=0,P27="Да"),1,0),"")</f>
        <v/>
      </c>
      <c r="U27" s="1" t="str">
        <f aca="false">IF(NOT(ISNUMBER(T27)),"",IF(T27=1,IF(ISNUMBER(U26),U26+1,1),0))</f>
        <v/>
      </c>
    </row>
    <row r="28" customFormat="false" ht="30" hidden="false" customHeight="true" outlineLevel="0" collapsed="false">
      <c r="A28" s="12" t="n">
        <f aca="false">EDATE(DATE(YEAR(Допускания!$D$6),MONTH(Допускания!$D$6),1),20)</f>
        <v>46874</v>
      </c>
      <c r="B28" s="29"/>
      <c r="C28" s="29"/>
      <c r="D28" s="10" t="str">
        <f aca="false">IF(COUNT(B28:C28)&lt;2,"",SUM(B28:C28))</f>
        <v/>
      </c>
      <c r="E28" s="29"/>
      <c r="F28" s="29"/>
      <c r="G28" s="29"/>
      <c r="H28" s="10" t="str">
        <f aca="false">IF(OR(NOT(ISNUMBER(D28)),COUNT(F28:G28)&lt;2),"",D28-SUM(F28:G28))</f>
        <v/>
      </c>
      <c r="I28" s="11" t="str">
        <f aca="false">IF(OR(NOT(ISNUMBER(H28)),D28=0),"",H28/D28)</f>
        <v/>
      </c>
      <c r="J28" s="29"/>
      <c r="K28" s="28"/>
      <c r="L28" s="28"/>
      <c r="M28" s="28"/>
      <c r="N28" s="11" t="str">
        <f aca="false">IF(COUNT(L28:M28)&lt;2,"",IF(L28=0,IF(M28=0,1,""),M28/L28))</f>
        <v/>
      </c>
      <c r="O28" s="28"/>
      <c r="P28" s="28" t="s">
        <v>216</v>
      </c>
      <c r="Q28" s="28" t="s">
        <v>216</v>
      </c>
      <c r="R28" s="1" t="str">
        <f aca="false">IF(AND(Q28="Да",EOMONTH(A28,0)&lt;Допускания!$D$7,COUNT(B28:C28)=2,COUNT(E28:G28)=3,COUNT(L28:M28)=2,ISNUMBER(O28),L28&gt;=M28,ISNUMBER(I28),ISNUMBER(N28)),IF(AND(D28&gt;=30000,E28&gt;=15000,I28&gt;=Допускания!$D$10,N28&gt;=Допускания!$D$11,O28=0,P28="Да"),1,0),"")</f>
        <v/>
      </c>
      <c r="S28" s="1" t="str">
        <f aca="false">IF(NOT(ISNUMBER(R28)),"",IF(R28=1,IF(ISNUMBER(S27),S27+1,1),0))</f>
        <v/>
      </c>
      <c r="T28" s="1" t="str">
        <f aca="false">IF(AND(Q28="Да",EOMONTH(A28,0)&lt;Допускания!$D$7,COUNT(B28:C28)=2,COUNT(E28:G28)=3,COUNT(L28:M28)=2,ISNUMBER(O28),L28&gt;=M28,ISNUMBER(I28),ISNUMBER(N28)),IF(AND(D28&gt;=50000,E28&gt;=30000,I28&gt;=Допускания!$D$10,N28&gt;=Допускания!$D$11,O28=0,P28="Да"),1,0),"")</f>
        <v/>
      </c>
      <c r="U28" s="1" t="str">
        <f aca="false">IF(NOT(ISNUMBER(T28)),"",IF(T28=1,IF(ISNUMBER(U27),U27+1,1),0))</f>
        <v/>
      </c>
    </row>
    <row r="29" customFormat="false" ht="30" hidden="false" customHeight="true" outlineLevel="0" collapsed="false">
      <c r="A29" s="12" t="n">
        <f aca="false">EDATE(DATE(YEAR(Допускания!$D$6),MONTH(Допускания!$D$6),1),21)</f>
        <v>46905</v>
      </c>
      <c r="B29" s="29"/>
      <c r="C29" s="29"/>
      <c r="D29" s="10" t="str">
        <f aca="false">IF(COUNT(B29:C29)&lt;2,"",SUM(B29:C29))</f>
        <v/>
      </c>
      <c r="E29" s="29"/>
      <c r="F29" s="29"/>
      <c r="G29" s="29"/>
      <c r="H29" s="10" t="str">
        <f aca="false">IF(OR(NOT(ISNUMBER(D29)),COUNT(F29:G29)&lt;2),"",D29-SUM(F29:G29))</f>
        <v/>
      </c>
      <c r="I29" s="11" t="str">
        <f aca="false">IF(OR(NOT(ISNUMBER(H29)),D29=0),"",H29/D29)</f>
        <v/>
      </c>
      <c r="J29" s="29"/>
      <c r="K29" s="28"/>
      <c r="L29" s="28"/>
      <c r="M29" s="28"/>
      <c r="N29" s="11" t="str">
        <f aca="false">IF(COUNT(L29:M29)&lt;2,"",IF(L29=0,IF(M29=0,1,""),M29/L29))</f>
        <v/>
      </c>
      <c r="O29" s="28"/>
      <c r="P29" s="28" t="s">
        <v>216</v>
      </c>
      <c r="Q29" s="28" t="s">
        <v>216</v>
      </c>
      <c r="R29" s="1" t="str">
        <f aca="false">IF(AND(Q29="Да",EOMONTH(A29,0)&lt;Допускания!$D$7,COUNT(B29:C29)=2,COUNT(E29:G29)=3,COUNT(L29:M29)=2,ISNUMBER(O29),L29&gt;=M29,ISNUMBER(I29),ISNUMBER(N29)),IF(AND(D29&gt;=30000,E29&gt;=15000,I29&gt;=Допускания!$D$10,N29&gt;=Допускания!$D$11,O29=0,P29="Да"),1,0),"")</f>
        <v/>
      </c>
      <c r="S29" s="1" t="str">
        <f aca="false">IF(NOT(ISNUMBER(R29)),"",IF(R29=1,IF(ISNUMBER(S28),S28+1,1),0))</f>
        <v/>
      </c>
      <c r="T29" s="1" t="str">
        <f aca="false">IF(AND(Q29="Да",EOMONTH(A29,0)&lt;Допускания!$D$7,COUNT(B29:C29)=2,COUNT(E29:G29)=3,COUNT(L29:M29)=2,ISNUMBER(O29),L29&gt;=M29,ISNUMBER(I29),ISNUMBER(N29)),IF(AND(D29&gt;=50000,E29&gt;=30000,I29&gt;=Допускания!$D$10,N29&gt;=Допускания!$D$11,O29=0,P29="Да"),1,0),"")</f>
        <v/>
      </c>
      <c r="U29" s="1" t="str">
        <f aca="false">IF(NOT(ISNUMBER(T29)),"",IF(T29=1,IF(ISNUMBER(U28),U28+1,1),0))</f>
        <v/>
      </c>
    </row>
    <row r="30" customFormat="false" ht="30" hidden="false" customHeight="true" outlineLevel="0" collapsed="false">
      <c r="A30" s="12" t="n">
        <f aca="false">EDATE(DATE(YEAR(Допускания!$D$6),MONTH(Допускания!$D$6),1),22)</f>
        <v>46935</v>
      </c>
      <c r="B30" s="29"/>
      <c r="C30" s="29"/>
      <c r="D30" s="10" t="str">
        <f aca="false">IF(COUNT(B30:C30)&lt;2,"",SUM(B30:C30))</f>
        <v/>
      </c>
      <c r="E30" s="29"/>
      <c r="F30" s="29"/>
      <c r="G30" s="29"/>
      <c r="H30" s="10" t="str">
        <f aca="false">IF(OR(NOT(ISNUMBER(D30)),COUNT(F30:G30)&lt;2),"",D30-SUM(F30:G30))</f>
        <v/>
      </c>
      <c r="I30" s="11" t="str">
        <f aca="false">IF(OR(NOT(ISNUMBER(H30)),D30=0),"",H30/D30)</f>
        <v/>
      </c>
      <c r="J30" s="29"/>
      <c r="K30" s="28"/>
      <c r="L30" s="28"/>
      <c r="M30" s="28"/>
      <c r="N30" s="11" t="str">
        <f aca="false">IF(COUNT(L30:M30)&lt;2,"",IF(L30=0,IF(M30=0,1,""),M30/L30))</f>
        <v/>
      </c>
      <c r="O30" s="28"/>
      <c r="P30" s="28" t="s">
        <v>216</v>
      </c>
      <c r="Q30" s="28" t="s">
        <v>216</v>
      </c>
      <c r="R30" s="1" t="str">
        <f aca="false">IF(AND(Q30="Да",EOMONTH(A30,0)&lt;Допускания!$D$7,COUNT(B30:C30)=2,COUNT(E30:G30)=3,COUNT(L30:M30)=2,ISNUMBER(O30),L30&gt;=M30,ISNUMBER(I30),ISNUMBER(N30)),IF(AND(D30&gt;=30000,E30&gt;=15000,I30&gt;=Допускания!$D$10,N30&gt;=Допускания!$D$11,O30=0,P30="Да"),1,0),"")</f>
        <v/>
      </c>
      <c r="S30" s="1" t="str">
        <f aca="false">IF(NOT(ISNUMBER(R30)),"",IF(R30=1,IF(ISNUMBER(S29),S29+1,1),0))</f>
        <v/>
      </c>
      <c r="T30" s="1" t="str">
        <f aca="false">IF(AND(Q30="Да",EOMONTH(A30,0)&lt;Допускания!$D$7,COUNT(B30:C30)=2,COUNT(E30:G30)=3,COUNT(L30:M30)=2,ISNUMBER(O30),L30&gt;=M30,ISNUMBER(I30),ISNUMBER(N30)),IF(AND(D30&gt;=50000,E30&gt;=30000,I30&gt;=Допускания!$D$10,N30&gt;=Допускания!$D$11,O30=0,P30="Да"),1,0),"")</f>
        <v/>
      </c>
      <c r="U30" s="1" t="str">
        <f aca="false">IF(NOT(ISNUMBER(T30)),"",IF(T30=1,IF(ISNUMBER(U29),U29+1,1),0))</f>
        <v/>
      </c>
    </row>
    <row r="31" customFormat="false" ht="30" hidden="false" customHeight="true" outlineLevel="0" collapsed="false">
      <c r="A31" s="12" t="n">
        <f aca="false">EDATE(DATE(YEAR(Допускания!$D$6),MONTH(Допускания!$D$6),1),23)</f>
        <v>46966</v>
      </c>
      <c r="B31" s="29"/>
      <c r="C31" s="29"/>
      <c r="D31" s="10" t="str">
        <f aca="false">IF(COUNT(B31:C31)&lt;2,"",SUM(B31:C31))</f>
        <v/>
      </c>
      <c r="E31" s="29"/>
      <c r="F31" s="29"/>
      <c r="G31" s="29"/>
      <c r="H31" s="10" t="str">
        <f aca="false">IF(OR(NOT(ISNUMBER(D31)),COUNT(F31:G31)&lt;2),"",D31-SUM(F31:G31))</f>
        <v/>
      </c>
      <c r="I31" s="11" t="str">
        <f aca="false">IF(OR(NOT(ISNUMBER(H31)),D31=0),"",H31/D31)</f>
        <v/>
      </c>
      <c r="J31" s="29"/>
      <c r="K31" s="28"/>
      <c r="L31" s="28"/>
      <c r="M31" s="28"/>
      <c r="N31" s="11" t="str">
        <f aca="false">IF(COUNT(L31:M31)&lt;2,"",IF(L31=0,IF(M31=0,1,""),M31/L31))</f>
        <v/>
      </c>
      <c r="O31" s="28"/>
      <c r="P31" s="28" t="s">
        <v>216</v>
      </c>
      <c r="Q31" s="28" t="s">
        <v>216</v>
      </c>
      <c r="R31" s="1" t="str">
        <f aca="false">IF(AND(Q31="Да",EOMONTH(A31,0)&lt;Допускания!$D$7,COUNT(B31:C31)=2,COUNT(E31:G31)=3,COUNT(L31:M31)=2,ISNUMBER(O31),L31&gt;=M31,ISNUMBER(I31),ISNUMBER(N31)),IF(AND(D31&gt;=30000,E31&gt;=15000,I31&gt;=Допускания!$D$10,N31&gt;=Допускания!$D$11,O31=0,P31="Да"),1,0),"")</f>
        <v/>
      </c>
      <c r="S31" s="1" t="str">
        <f aca="false">IF(NOT(ISNUMBER(R31)),"",IF(R31=1,IF(ISNUMBER(S30),S30+1,1),0))</f>
        <v/>
      </c>
      <c r="T31" s="1" t="str">
        <f aca="false">IF(AND(Q31="Да",EOMONTH(A31,0)&lt;Допускания!$D$7,COUNT(B31:C31)=2,COUNT(E31:G31)=3,COUNT(L31:M31)=2,ISNUMBER(O31),L31&gt;=M31,ISNUMBER(I31),ISNUMBER(N31)),IF(AND(D31&gt;=50000,E31&gt;=30000,I31&gt;=Допускания!$D$10,N31&gt;=Допускания!$D$11,O31=0,P31="Да"),1,0),"")</f>
        <v/>
      </c>
      <c r="U31" s="1" t="str">
        <f aca="false">IF(NOT(ISNUMBER(T31)),"",IF(T31=1,IF(ISNUMBER(U30),U30+1,1),0))</f>
        <v/>
      </c>
    </row>
    <row r="32" customFormat="false" ht="30" hidden="false" customHeight="true" outlineLevel="0" collapsed="false">
      <c r="A32" s="12" t="n">
        <f aca="false">EDATE(DATE(YEAR(Допускания!$D$6),MONTH(Допускания!$D$6),1),24)</f>
        <v>46997</v>
      </c>
      <c r="B32" s="29"/>
      <c r="C32" s="29"/>
      <c r="D32" s="10" t="str">
        <f aca="false">IF(COUNT(B32:C32)&lt;2,"",SUM(B32:C32))</f>
        <v/>
      </c>
      <c r="E32" s="29"/>
      <c r="F32" s="29"/>
      <c r="G32" s="29"/>
      <c r="H32" s="10" t="str">
        <f aca="false">IF(OR(NOT(ISNUMBER(D32)),COUNT(F32:G32)&lt;2),"",D32-SUM(F32:G32))</f>
        <v/>
      </c>
      <c r="I32" s="11" t="str">
        <f aca="false">IF(OR(NOT(ISNUMBER(H32)),D32=0),"",H32/D32)</f>
        <v/>
      </c>
      <c r="J32" s="29"/>
      <c r="K32" s="28"/>
      <c r="L32" s="28"/>
      <c r="M32" s="28"/>
      <c r="N32" s="11" t="str">
        <f aca="false">IF(COUNT(L32:M32)&lt;2,"",IF(L32=0,IF(M32=0,1,""),M32/L32))</f>
        <v/>
      </c>
      <c r="O32" s="28"/>
      <c r="P32" s="28" t="s">
        <v>216</v>
      </c>
      <c r="Q32" s="28" t="s">
        <v>216</v>
      </c>
      <c r="R32" s="1" t="str">
        <f aca="false">IF(AND(Q32="Да",EOMONTH(A32,0)&lt;Допускания!$D$7,COUNT(B32:C32)=2,COUNT(E32:G32)=3,COUNT(L32:M32)=2,ISNUMBER(O32),L32&gt;=M32,ISNUMBER(I32),ISNUMBER(N32)),IF(AND(D32&gt;=30000,E32&gt;=15000,I32&gt;=Допускания!$D$10,N32&gt;=Допускания!$D$11,O32=0,P32="Да"),1,0),"")</f>
        <v/>
      </c>
      <c r="S32" s="1" t="str">
        <f aca="false">IF(NOT(ISNUMBER(R32)),"",IF(R32=1,IF(ISNUMBER(S31),S31+1,1),0))</f>
        <v/>
      </c>
      <c r="T32" s="1" t="str">
        <f aca="false">IF(AND(Q32="Да",EOMONTH(A32,0)&lt;Допускания!$D$7,COUNT(B32:C32)=2,COUNT(E32:G32)=3,COUNT(L32:M32)=2,ISNUMBER(O32),L32&gt;=M32,ISNUMBER(I32),ISNUMBER(N32)),IF(AND(D32&gt;=50000,E32&gt;=30000,I32&gt;=Допускания!$D$10,N32&gt;=Допускания!$D$11,O32=0,P32="Да"),1,0),"")</f>
        <v/>
      </c>
      <c r="U32" s="1" t="str">
        <f aca="false">IF(NOT(ISNUMBER(T32)),"",IF(T32=1,IF(ISNUMBER(U31),U31+1,1),0))</f>
        <v/>
      </c>
    </row>
    <row r="33" customFormat="false" ht="30" hidden="false" customHeight="true" outlineLevel="0" collapsed="false">
      <c r="A33" s="12" t="n">
        <f aca="false">EDATE(DATE(YEAR(Допускания!$D$6),MONTH(Допускания!$D$6),1),25)</f>
        <v>47027</v>
      </c>
      <c r="B33" s="29"/>
      <c r="C33" s="29"/>
      <c r="D33" s="10" t="str">
        <f aca="false">IF(COUNT(B33:C33)&lt;2,"",SUM(B33:C33))</f>
        <v/>
      </c>
      <c r="E33" s="29"/>
      <c r="F33" s="29"/>
      <c r="G33" s="29"/>
      <c r="H33" s="10" t="str">
        <f aca="false">IF(OR(NOT(ISNUMBER(D33)),COUNT(F33:G33)&lt;2),"",D33-SUM(F33:G33))</f>
        <v/>
      </c>
      <c r="I33" s="11" t="str">
        <f aca="false">IF(OR(NOT(ISNUMBER(H33)),D33=0),"",H33/D33)</f>
        <v/>
      </c>
      <c r="J33" s="29"/>
      <c r="K33" s="28"/>
      <c r="L33" s="28"/>
      <c r="M33" s="28"/>
      <c r="N33" s="11" t="str">
        <f aca="false">IF(COUNT(L33:M33)&lt;2,"",IF(L33=0,IF(M33=0,1,""),M33/L33))</f>
        <v/>
      </c>
      <c r="O33" s="28"/>
      <c r="P33" s="28" t="s">
        <v>216</v>
      </c>
      <c r="Q33" s="28" t="s">
        <v>216</v>
      </c>
      <c r="R33" s="1" t="str">
        <f aca="false">IF(AND(Q33="Да",EOMONTH(A33,0)&lt;Допускания!$D$7,COUNT(B33:C33)=2,COUNT(E33:G33)=3,COUNT(L33:M33)=2,ISNUMBER(O33),L33&gt;=M33,ISNUMBER(I33),ISNUMBER(N33)),IF(AND(D33&gt;=30000,E33&gt;=15000,I33&gt;=Допускания!$D$10,N33&gt;=Допускания!$D$11,O33=0,P33="Да"),1,0),"")</f>
        <v/>
      </c>
      <c r="S33" s="1" t="str">
        <f aca="false">IF(NOT(ISNUMBER(R33)),"",IF(R33=1,IF(ISNUMBER(S32),S32+1,1),0))</f>
        <v/>
      </c>
      <c r="T33" s="1" t="str">
        <f aca="false">IF(AND(Q33="Да",EOMONTH(A33,0)&lt;Допускания!$D$7,COUNT(B33:C33)=2,COUNT(E33:G33)=3,COUNT(L33:M33)=2,ISNUMBER(O33),L33&gt;=M33,ISNUMBER(I33),ISNUMBER(N33)),IF(AND(D33&gt;=50000,E33&gt;=30000,I33&gt;=Допускания!$D$10,N33&gt;=Допускания!$D$11,O33=0,P33="Да"),1,0),"")</f>
        <v/>
      </c>
      <c r="U33" s="1" t="str">
        <f aca="false">IF(NOT(ISNUMBER(T33)),"",IF(T33=1,IF(ISNUMBER(U32),U32+1,1),0))</f>
        <v/>
      </c>
    </row>
    <row r="34" customFormat="false" ht="30" hidden="false" customHeight="true" outlineLevel="0" collapsed="false">
      <c r="A34" s="12" t="n">
        <f aca="false">EDATE(DATE(YEAR(Допускания!$D$6),MONTH(Допускания!$D$6),1),26)</f>
        <v>47058</v>
      </c>
      <c r="B34" s="29"/>
      <c r="C34" s="29"/>
      <c r="D34" s="10" t="str">
        <f aca="false">IF(COUNT(B34:C34)&lt;2,"",SUM(B34:C34))</f>
        <v/>
      </c>
      <c r="E34" s="29"/>
      <c r="F34" s="29"/>
      <c r="G34" s="29"/>
      <c r="H34" s="10" t="str">
        <f aca="false">IF(OR(NOT(ISNUMBER(D34)),COUNT(F34:G34)&lt;2),"",D34-SUM(F34:G34))</f>
        <v/>
      </c>
      <c r="I34" s="11" t="str">
        <f aca="false">IF(OR(NOT(ISNUMBER(H34)),D34=0),"",H34/D34)</f>
        <v/>
      </c>
      <c r="J34" s="29"/>
      <c r="K34" s="28"/>
      <c r="L34" s="28"/>
      <c r="M34" s="28"/>
      <c r="N34" s="11" t="str">
        <f aca="false">IF(COUNT(L34:M34)&lt;2,"",IF(L34=0,IF(M34=0,1,""),M34/L34))</f>
        <v/>
      </c>
      <c r="O34" s="28"/>
      <c r="P34" s="28" t="s">
        <v>216</v>
      </c>
      <c r="Q34" s="28" t="s">
        <v>216</v>
      </c>
      <c r="R34" s="1" t="str">
        <f aca="false">IF(AND(Q34="Да",EOMONTH(A34,0)&lt;Допускания!$D$7,COUNT(B34:C34)=2,COUNT(E34:G34)=3,COUNT(L34:M34)=2,ISNUMBER(O34),L34&gt;=M34,ISNUMBER(I34),ISNUMBER(N34)),IF(AND(D34&gt;=30000,E34&gt;=15000,I34&gt;=Допускания!$D$10,N34&gt;=Допускания!$D$11,O34=0,P34="Да"),1,0),"")</f>
        <v/>
      </c>
      <c r="S34" s="1" t="str">
        <f aca="false">IF(NOT(ISNUMBER(R34)),"",IF(R34=1,IF(ISNUMBER(S33),S33+1,1),0))</f>
        <v/>
      </c>
      <c r="T34" s="1" t="str">
        <f aca="false">IF(AND(Q34="Да",EOMONTH(A34,0)&lt;Допускания!$D$7,COUNT(B34:C34)=2,COUNT(E34:G34)=3,COUNT(L34:M34)=2,ISNUMBER(O34),L34&gt;=M34,ISNUMBER(I34),ISNUMBER(N34)),IF(AND(D34&gt;=50000,E34&gt;=30000,I34&gt;=Допускания!$D$10,N34&gt;=Допускания!$D$11,O34=0,P34="Да"),1,0),"")</f>
        <v/>
      </c>
      <c r="U34" s="1" t="str">
        <f aca="false">IF(NOT(ISNUMBER(T34)),"",IF(T34=1,IF(ISNUMBER(U33),U33+1,1),0))</f>
        <v/>
      </c>
    </row>
    <row r="35" customFormat="false" ht="30" hidden="false" customHeight="true" outlineLevel="0" collapsed="false">
      <c r="A35" s="12" t="n">
        <f aca="false">EDATE(DATE(YEAR(Допускания!$D$6),MONTH(Допускания!$D$6),1),27)</f>
        <v>47088</v>
      </c>
      <c r="B35" s="29"/>
      <c r="C35" s="29"/>
      <c r="D35" s="10" t="str">
        <f aca="false">IF(COUNT(B35:C35)&lt;2,"",SUM(B35:C35))</f>
        <v/>
      </c>
      <c r="E35" s="29"/>
      <c r="F35" s="29"/>
      <c r="G35" s="29"/>
      <c r="H35" s="10" t="str">
        <f aca="false">IF(OR(NOT(ISNUMBER(D35)),COUNT(F35:G35)&lt;2),"",D35-SUM(F35:G35))</f>
        <v/>
      </c>
      <c r="I35" s="11" t="str">
        <f aca="false">IF(OR(NOT(ISNUMBER(H35)),D35=0),"",H35/D35)</f>
        <v/>
      </c>
      <c r="J35" s="29"/>
      <c r="K35" s="28"/>
      <c r="L35" s="28"/>
      <c r="M35" s="28"/>
      <c r="N35" s="11" t="str">
        <f aca="false">IF(COUNT(L35:M35)&lt;2,"",IF(L35=0,IF(M35=0,1,""),M35/L35))</f>
        <v/>
      </c>
      <c r="O35" s="28"/>
      <c r="P35" s="28" t="s">
        <v>216</v>
      </c>
      <c r="Q35" s="28" t="s">
        <v>216</v>
      </c>
      <c r="R35" s="1" t="str">
        <f aca="false">IF(AND(Q35="Да",EOMONTH(A35,0)&lt;Допускания!$D$7,COUNT(B35:C35)=2,COUNT(E35:G35)=3,COUNT(L35:M35)=2,ISNUMBER(O35),L35&gt;=M35,ISNUMBER(I35),ISNUMBER(N35)),IF(AND(D35&gt;=30000,E35&gt;=15000,I35&gt;=Допускания!$D$10,N35&gt;=Допускания!$D$11,O35=0,P35="Да"),1,0),"")</f>
        <v/>
      </c>
      <c r="S35" s="1" t="str">
        <f aca="false">IF(NOT(ISNUMBER(R35)),"",IF(R35=1,IF(ISNUMBER(S34),S34+1,1),0))</f>
        <v/>
      </c>
      <c r="T35" s="1" t="str">
        <f aca="false">IF(AND(Q35="Да",EOMONTH(A35,0)&lt;Допускания!$D$7,COUNT(B35:C35)=2,COUNT(E35:G35)=3,COUNT(L35:M35)=2,ISNUMBER(O35),L35&gt;=M35,ISNUMBER(I35),ISNUMBER(N35)),IF(AND(D35&gt;=50000,E35&gt;=30000,I35&gt;=Допускания!$D$10,N35&gt;=Допускания!$D$11,O35=0,P35="Да"),1,0),"")</f>
        <v/>
      </c>
      <c r="U35" s="1" t="str">
        <f aca="false">IF(NOT(ISNUMBER(T35)),"",IF(T35=1,IF(ISNUMBER(U34),U34+1,1),0))</f>
        <v/>
      </c>
    </row>
    <row r="36" customFormat="false" ht="30" hidden="false" customHeight="true" outlineLevel="0" collapsed="false">
      <c r="A36" s="12" t="n">
        <f aca="false">EDATE(DATE(YEAR(Допускания!$D$6),MONTH(Допускания!$D$6),1),28)</f>
        <v>47119</v>
      </c>
      <c r="B36" s="29"/>
      <c r="C36" s="29"/>
      <c r="D36" s="10" t="str">
        <f aca="false">IF(COUNT(B36:C36)&lt;2,"",SUM(B36:C36))</f>
        <v/>
      </c>
      <c r="E36" s="29"/>
      <c r="F36" s="29"/>
      <c r="G36" s="29"/>
      <c r="H36" s="10" t="str">
        <f aca="false">IF(OR(NOT(ISNUMBER(D36)),COUNT(F36:G36)&lt;2),"",D36-SUM(F36:G36))</f>
        <v/>
      </c>
      <c r="I36" s="11" t="str">
        <f aca="false">IF(OR(NOT(ISNUMBER(H36)),D36=0),"",H36/D36)</f>
        <v/>
      </c>
      <c r="J36" s="29"/>
      <c r="K36" s="28"/>
      <c r="L36" s="28"/>
      <c r="M36" s="28"/>
      <c r="N36" s="11" t="str">
        <f aca="false">IF(COUNT(L36:M36)&lt;2,"",IF(L36=0,IF(M36=0,1,""),M36/L36))</f>
        <v/>
      </c>
      <c r="O36" s="28"/>
      <c r="P36" s="28" t="s">
        <v>216</v>
      </c>
      <c r="Q36" s="28" t="s">
        <v>216</v>
      </c>
      <c r="R36" s="1" t="str">
        <f aca="false">IF(AND(Q36="Да",EOMONTH(A36,0)&lt;Допускания!$D$7,COUNT(B36:C36)=2,COUNT(E36:G36)=3,COUNT(L36:M36)=2,ISNUMBER(O36),L36&gt;=M36,ISNUMBER(I36),ISNUMBER(N36)),IF(AND(D36&gt;=30000,E36&gt;=15000,I36&gt;=Допускания!$D$10,N36&gt;=Допускания!$D$11,O36=0,P36="Да"),1,0),"")</f>
        <v/>
      </c>
      <c r="S36" s="1" t="str">
        <f aca="false">IF(NOT(ISNUMBER(R36)),"",IF(R36=1,IF(ISNUMBER(S35),S35+1,1),0))</f>
        <v/>
      </c>
      <c r="T36" s="1" t="str">
        <f aca="false">IF(AND(Q36="Да",EOMONTH(A36,0)&lt;Допускания!$D$7,COUNT(B36:C36)=2,COUNT(E36:G36)=3,COUNT(L36:M36)=2,ISNUMBER(O36),L36&gt;=M36,ISNUMBER(I36),ISNUMBER(N36)),IF(AND(D36&gt;=50000,E36&gt;=30000,I36&gt;=Допускания!$D$10,N36&gt;=Допускания!$D$11,O36=0,P36="Да"),1,0),"")</f>
        <v/>
      </c>
      <c r="U36" s="1" t="str">
        <f aca="false">IF(NOT(ISNUMBER(T36)),"",IF(T36=1,IF(ISNUMBER(U35),U35+1,1),0))</f>
        <v/>
      </c>
    </row>
    <row r="37" customFormat="false" ht="30" hidden="false" customHeight="true" outlineLevel="0" collapsed="false">
      <c r="A37" s="12" t="n">
        <f aca="false">EDATE(DATE(YEAR(Допускания!$D$6),MONTH(Допускания!$D$6),1),29)</f>
        <v>47150</v>
      </c>
      <c r="B37" s="29"/>
      <c r="C37" s="29"/>
      <c r="D37" s="10" t="str">
        <f aca="false">IF(COUNT(B37:C37)&lt;2,"",SUM(B37:C37))</f>
        <v/>
      </c>
      <c r="E37" s="29"/>
      <c r="F37" s="29"/>
      <c r="G37" s="29"/>
      <c r="H37" s="10" t="str">
        <f aca="false">IF(OR(NOT(ISNUMBER(D37)),COUNT(F37:G37)&lt;2),"",D37-SUM(F37:G37))</f>
        <v/>
      </c>
      <c r="I37" s="11" t="str">
        <f aca="false">IF(OR(NOT(ISNUMBER(H37)),D37=0),"",H37/D37)</f>
        <v/>
      </c>
      <c r="J37" s="29"/>
      <c r="K37" s="28"/>
      <c r="L37" s="28"/>
      <c r="M37" s="28"/>
      <c r="N37" s="11" t="str">
        <f aca="false">IF(COUNT(L37:M37)&lt;2,"",IF(L37=0,IF(M37=0,1,""),M37/L37))</f>
        <v/>
      </c>
      <c r="O37" s="28"/>
      <c r="P37" s="28" t="s">
        <v>216</v>
      </c>
      <c r="Q37" s="28" t="s">
        <v>216</v>
      </c>
      <c r="R37" s="1" t="str">
        <f aca="false">IF(AND(Q37="Да",EOMONTH(A37,0)&lt;Допускания!$D$7,COUNT(B37:C37)=2,COUNT(E37:G37)=3,COUNT(L37:M37)=2,ISNUMBER(O37),L37&gt;=M37,ISNUMBER(I37),ISNUMBER(N37)),IF(AND(D37&gt;=30000,E37&gt;=15000,I37&gt;=Допускания!$D$10,N37&gt;=Допускания!$D$11,O37=0,P37="Да"),1,0),"")</f>
        <v/>
      </c>
      <c r="S37" s="1" t="str">
        <f aca="false">IF(NOT(ISNUMBER(R37)),"",IF(R37=1,IF(ISNUMBER(S36),S36+1,1),0))</f>
        <v/>
      </c>
      <c r="T37" s="1" t="str">
        <f aca="false">IF(AND(Q37="Да",EOMONTH(A37,0)&lt;Допускания!$D$7,COUNT(B37:C37)=2,COUNT(E37:G37)=3,COUNT(L37:M37)=2,ISNUMBER(O37),L37&gt;=M37,ISNUMBER(I37),ISNUMBER(N37)),IF(AND(D37&gt;=50000,E37&gt;=30000,I37&gt;=Допускания!$D$10,N37&gt;=Допускания!$D$11,O37=0,P37="Да"),1,0),"")</f>
        <v/>
      </c>
      <c r="U37" s="1" t="str">
        <f aca="false">IF(NOT(ISNUMBER(T37)),"",IF(T37=1,IF(ISNUMBER(U36),U36+1,1),0))</f>
        <v/>
      </c>
    </row>
    <row r="38" customFormat="false" ht="30" hidden="false" customHeight="true" outlineLevel="0" collapsed="false">
      <c r="A38" s="12" t="n">
        <f aca="false">EDATE(DATE(YEAR(Допускания!$D$6),MONTH(Допускания!$D$6),1),30)</f>
        <v>47178</v>
      </c>
      <c r="B38" s="29"/>
      <c r="C38" s="29"/>
      <c r="D38" s="10" t="str">
        <f aca="false">IF(COUNT(B38:C38)&lt;2,"",SUM(B38:C38))</f>
        <v/>
      </c>
      <c r="E38" s="29"/>
      <c r="F38" s="29"/>
      <c r="G38" s="29"/>
      <c r="H38" s="10" t="str">
        <f aca="false">IF(OR(NOT(ISNUMBER(D38)),COUNT(F38:G38)&lt;2),"",D38-SUM(F38:G38))</f>
        <v/>
      </c>
      <c r="I38" s="11" t="str">
        <f aca="false">IF(OR(NOT(ISNUMBER(H38)),D38=0),"",H38/D38)</f>
        <v/>
      </c>
      <c r="J38" s="29"/>
      <c r="K38" s="28"/>
      <c r="L38" s="28"/>
      <c r="M38" s="28"/>
      <c r="N38" s="11" t="str">
        <f aca="false">IF(COUNT(L38:M38)&lt;2,"",IF(L38=0,IF(M38=0,1,""),M38/L38))</f>
        <v/>
      </c>
      <c r="O38" s="28"/>
      <c r="P38" s="28" t="s">
        <v>216</v>
      </c>
      <c r="Q38" s="28" t="s">
        <v>216</v>
      </c>
      <c r="R38" s="1" t="str">
        <f aca="false">IF(AND(Q38="Да",EOMONTH(A38,0)&lt;Допускания!$D$7,COUNT(B38:C38)=2,COUNT(E38:G38)=3,COUNT(L38:M38)=2,ISNUMBER(O38),L38&gt;=M38,ISNUMBER(I38),ISNUMBER(N38)),IF(AND(D38&gt;=30000,E38&gt;=15000,I38&gt;=Допускания!$D$10,N38&gt;=Допускания!$D$11,O38=0,P38="Да"),1,0),"")</f>
        <v/>
      </c>
      <c r="S38" s="1" t="str">
        <f aca="false">IF(NOT(ISNUMBER(R38)),"",IF(R38=1,IF(ISNUMBER(S37),S37+1,1),0))</f>
        <v/>
      </c>
      <c r="T38" s="1" t="str">
        <f aca="false">IF(AND(Q38="Да",EOMONTH(A38,0)&lt;Допускания!$D$7,COUNT(B38:C38)=2,COUNT(E38:G38)=3,COUNT(L38:M38)=2,ISNUMBER(O38),L38&gt;=M38,ISNUMBER(I38),ISNUMBER(N38)),IF(AND(D38&gt;=50000,E38&gt;=30000,I38&gt;=Допускания!$D$10,N38&gt;=Допускания!$D$11,O38=0,P38="Да"),1,0),"")</f>
        <v/>
      </c>
      <c r="U38" s="1" t="str">
        <f aca="false">IF(NOT(ISNUMBER(T38)),"",IF(T38=1,IF(ISNUMBER(U37),U37+1,1),0))</f>
        <v/>
      </c>
    </row>
    <row r="39" customFormat="false" ht="30" hidden="false" customHeight="true" outlineLevel="0" collapsed="false">
      <c r="A39" s="12" t="n">
        <f aca="false">EDATE(DATE(YEAR(Допускания!$D$6),MONTH(Допускания!$D$6),1),31)</f>
        <v>47209</v>
      </c>
      <c r="B39" s="29"/>
      <c r="C39" s="29"/>
      <c r="D39" s="10" t="str">
        <f aca="false">IF(COUNT(B39:C39)&lt;2,"",SUM(B39:C39))</f>
        <v/>
      </c>
      <c r="E39" s="29"/>
      <c r="F39" s="29"/>
      <c r="G39" s="29"/>
      <c r="H39" s="10" t="str">
        <f aca="false">IF(OR(NOT(ISNUMBER(D39)),COUNT(F39:G39)&lt;2),"",D39-SUM(F39:G39))</f>
        <v/>
      </c>
      <c r="I39" s="11" t="str">
        <f aca="false">IF(OR(NOT(ISNUMBER(H39)),D39=0),"",H39/D39)</f>
        <v/>
      </c>
      <c r="J39" s="29"/>
      <c r="K39" s="28"/>
      <c r="L39" s="28"/>
      <c r="M39" s="28"/>
      <c r="N39" s="11" t="str">
        <f aca="false">IF(COUNT(L39:M39)&lt;2,"",IF(L39=0,IF(M39=0,1,""),M39/L39))</f>
        <v/>
      </c>
      <c r="O39" s="28"/>
      <c r="P39" s="28" t="s">
        <v>216</v>
      </c>
      <c r="Q39" s="28" t="s">
        <v>216</v>
      </c>
      <c r="R39" s="1" t="str">
        <f aca="false">IF(AND(Q39="Да",EOMONTH(A39,0)&lt;Допускания!$D$7,COUNT(B39:C39)=2,COUNT(E39:G39)=3,COUNT(L39:M39)=2,ISNUMBER(O39),L39&gt;=M39,ISNUMBER(I39),ISNUMBER(N39)),IF(AND(D39&gt;=30000,E39&gt;=15000,I39&gt;=Допускания!$D$10,N39&gt;=Допускания!$D$11,O39=0,P39="Да"),1,0),"")</f>
        <v/>
      </c>
      <c r="S39" s="1" t="str">
        <f aca="false">IF(NOT(ISNUMBER(R39)),"",IF(R39=1,IF(ISNUMBER(S38),S38+1,1),0))</f>
        <v/>
      </c>
      <c r="T39" s="1" t="str">
        <f aca="false">IF(AND(Q39="Да",EOMONTH(A39,0)&lt;Допускания!$D$7,COUNT(B39:C39)=2,COUNT(E39:G39)=3,COUNT(L39:M39)=2,ISNUMBER(O39),L39&gt;=M39,ISNUMBER(I39),ISNUMBER(N39)),IF(AND(D39&gt;=50000,E39&gt;=30000,I39&gt;=Допускания!$D$10,N39&gt;=Допускания!$D$11,O39=0,P39="Да"),1,0),"")</f>
        <v/>
      </c>
      <c r="U39" s="1" t="str">
        <f aca="false">IF(NOT(ISNUMBER(T39)),"",IF(T39=1,IF(ISNUMBER(U38),U38+1,1),0))</f>
        <v/>
      </c>
    </row>
    <row r="40" customFormat="false" ht="30" hidden="false" customHeight="true" outlineLevel="0" collapsed="false">
      <c r="A40" s="12" t="n">
        <f aca="false">EDATE(DATE(YEAR(Допускания!$D$6),MONTH(Допускания!$D$6),1),32)</f>
        <v>47239</v>
      </c>
      <c r="B40" s="29"/>
      <c r="C40" s="29"/>
      <c r="D40" s="10" t="str">
        <f aca="false">IF(COUNT(B40:C40)&lt;2,"",SUM(B40:C40))</f>
        <v/>
      </c>
      <c r="E40" s="29"/>
      <c r="F40" s="29"/>
      <c r="G40" s="29"/>
      <c r="H40" s="10" t="str">
        <f aca="false">IF(OR(NOT(ISNUMBER(D40)),COUNT(F40:G40)&lt;2),"",D40-SUM(F40:G40))</f>
        <v/>
      </c>
      <c r="I40" s="11" t="str">
        <f aca="false">IF(OR(NOT(ISNUMBER(H40)),D40=0),"",H40/D40)</f>
        <v/>
      </c>
      <c r="J40" s="29"/>
      <c r="K40" s="28"/>
      <c r="L40" s="28"/>
      <c r="M40" s="28"/>
      <c r="N40" s="11" t="str">
        <f aca="false">IF(COUNT(L40:M40)&lt;2,"",IF(L40=0,IF(M40=0,1,""),M40/L40))</f>
        <v/>
      </c>
      <c r="O40" s="28"/>
      <c r="P40" s="28" t="s">
        <v>216</v>
      </c>
      <c r="Q40" s="28" t="s">
        <v>216</v>
      </c>
      <c r="R40" s="1" t="str">
        <f aca="false">IF(AND(Q40="Да",EOMONTH(A40,0)&lt;Допускания!$D$7,COUNT(B40:C40)=2,COUNT(E40:G40)=3,COUNT(L40:M40)=2,ISNUMBER(O40),L40&gt;=M40,ISNUMBER(I40),ISNUMBER(N40)),IF(AND(D40&gt;=30000,E40&gt;=15000,I40&gt;=Допускания!$D$10,N40&gt;=Допускания!$D$11,O40=0,P40="Да"),1,0),"")</f>
        <v/>
      </c>
      <c r="S40" s="1" t="str">
        <f aca="false">IF(NOT(ISNUMBER(R40)),"",IF(R40=1,IF(ISNUMBER(S39),S39+1,1),0))</f>
        <v/>
      </c>
      <c r="T40" s="1" t="str">
        <f aca="false">IF(AND(Q40="Да",EOMONTH(A40,0)&lt;Допускания!$D$7,COUNT(B40:C40)=2,COUNT(E40:G40)=3,COUNT(L40:M40)=2,ISNUMBER(O40),L40&gt;=M40,ISNUMBER(I40),ISNUMBER(N40)),IF(AND(D40&gt;=50000,E40&gt;=30000,I40&gt;=Допускания!$D$10,N40&gt;=Допускания!$D$11,O40=0,P40="Да"),1,0),"")</f>
        <v/>
      </c>
      <c r="U40" s="1" t="str">
        <f aca="false">IF(NOT(ISNUMBER(T40)),"",IF(T40=1,IF(ISNUMBER(U39),U39+1,1),0))</f>
        <v/>
      </c>
    </row>
    <row r="41" customFormat="false" ht="30" hidden="false" customHeight="true" outlineLevel="0" collapsed="false">
      <c r="A41" s="12" t="n">
        <f aca="false">EDATE(DATE(YEAR(Допускания!$D$6),MONTH(Допускания!$D$6),1),33)</f>
        <v>47270</v>
      </c>
      <c r="B41" s="29"/>
      <c r="C41" s="29"/>
      <c r="D41" s="10" t="str">
        <f aca="false">IF(COUNT(B41:C41)&lt;2,"",SUM(B41:C41))</f>
        <v/>
      </c>
      <c r="E41" s="29"/>
      <c r="F41" s="29"/>
      <c r="G41" s="29"/>
      <c r="H41" s="10" t="str">
        <f aca="false">IF(OR(NOT(ISNUMBER(D41)),COUNT(F41:G41)&lt;2),"",D41-SUM(F41:G41))</f>
        <v/>
      </c>
      <c r="I41" s="11" t="str">
        <f aca="false">IF(OR(NOT(ISNUMBER(H41)),D41=0),"",H41/D41)</f>
        <v/>
      </c>
      <c r="J41" s="29"/>
      <c r="K41" s="28"/>
      <c r="L41" s="28"/>
      <c r="M41" s="28"/>
      <c r="N41" s="11" t="str">
        <f aca="false">IF(COUNT(L41:M41)&lt;2,"",IF(L41=0,IF(M41=0,1,""),M41/L41))</f>
        <v/>
      </c>
      <c r="O41" s="28"/>
      <c r="P41" s="28" t="s">
        <v>216</v>
      </c>
      <c r="Q41" s="28" t="s">
        <v>216</v>
      </c>
      <c r="R41" s="1" t="str">
        <f aca="false">IF(AND(Q41="Да",EOMONTH(A41,0)&lt;Допускания!$D$7,COUNT(B41:C41)=2,COUNT(E41:G41)=3,COUNT(L41:M41)=2,ISNUMBER(O41),L41&gt;=M41,ISNUMBER(I41),ISNUMBER(N41)),IF(AND(D41&gt;=30000,E41&gt;=15000,I41&gt;=Допускания!$D$10,N41&gt;=Допускания!$D$11,O41=0,P41="Да"),1,0),"")</f>
        <v/>
      </c>
      <c r="S41" s="1" t="str">
        <f aca="false">IF(NOT(ISNUMBER(R41)),"",IF(R41=1,IF(ISNUMBER(S40),S40+1,1),0))</f>
        <v/>
      </c>
      <c r="T41" s="1" t="str">
        <f aca="false">IF(AND(Q41="Да",EOMONTH(A41,0)&lt;Допускания!$D$7,COUNT(B41:C41)=2,COUNT(E41:G41)=3,COUNT(L41:M41)=2,ISNUMBER(O41),L41&gt;=M41,ISNUMBER(I41),ISNUMBER(N41)),IF(AND(D41&gt;=50000,E41&gt;=30000,I41&gt;=Допускания!$D$10,N41&gt;=Допускания!$D$11,O41=0,P41="Да"),1,0),"")</f>
        <v/>
      </c>
      <c r="U41" s="1" t="str">
        <f aca="false">IF(NOT(ISNUMBER(T41)),"",IF(T41=1,IF(ISNUMBER(U40),U40+1,1),0))</f>
        <v/>
      </c>
    </row>
    <row r="42" customFormat="false" ht="30" hidden="false" customHeight="true" outlineLevel="0" collapsed="false">
      <c r="A42" s="12" t="n">
        <f aca="false">EDATE(DATE(YEAR(Допускания!$D$6),MONTH(Допускания!$D$6),1),34)</f>
        <v>47300</v>
      </c>
      <c r="B42" s="29"/>
      <c r="C42" s="29"/>
      <c r="D42" s="10" t="str">
        <f aca="false">IF(COUNT(B42:C42)&lt;2,"",SUM(B42:C42))</f>
        <v/>
      </c>
      <c r="E42" s="29"/>
      <c r="F42" s="29"/>
      <c r="G42" s="29"/>
      <c r="H42" s="10" t="str">
        <f aca="false">IF(OR(NOT(ISNUMBER(D42)),COUNT(F42:G42)&lt;2),"",D42-SUM(F42:G42))</f>
        <v/>
      </c>
      <c r="I42" s="11" t="str">
        <f aca="false">IF(OR(NOT(ISNUMBER(H42)),D42=0),"",H42/D42)</f>
        <v/>
      </c>
      <c r="J42" s="29"/>
      <c r="K42" s="28"/>
      <c r="L42" s="28"/>
      <c r="M42" s="28"/>
      <c r="N42" s="11" t="str">
        <f aca="false">IF(COUNT(L42:M42)&lt;2,"",IF(L42=0,IF(M42=0,1,""),M42/L42))</f>
        <v/>
      </c>
      <c r="O42" s="28"/>
      <c r="P42" s="28" t="s">
        <v>216</v>
      </c>
      <c r="Q42" s="28" t="s">
        <v>216</v>
      </c>
      <c r="R42" s="1" t="str">
        <f aca="false">IF(AND(Q42="Да",EOMONTH(A42,0)&lt;Допускания!$D$7,COUNT(B42:C42)=2,COUNT(E42:G42)=3,COUNT(L42:M42)=2,ISNUMBER(O42),L42&gt;=M42,ISNUMBER(I42),ISNUMBER(N42)),IF(AND(D42&gt;=30000,E42&gt;=15000,I42&gt;=Допускания!$D$10,N42&gt;=Допускания!$D$11,O42=0,P42="Да"),1,0),"")</f>
        <v/>
      </c>
      <c r="S42" s="1" t="str">
        <f aca="false">IF(NOT(ISNUMBER(R42)),"",IF(R42=1,IF(ISNUMBER(S41),S41+1,1),0))</f>
        <v/>
      </c>
      <c r="T42" s="1" t="str">
        <f aca="false">IF(AND(Q42="Да",EOMONTH(A42,0)&lt;Допускания!$D$7,COUNT(B42:C42)=2,COUNT(E42:G42)=3,COUNT(L42:M42)=2,ISNUMBER(O42),L42&gt;=M42,ISNUMBER(I42),ISNUMBER(N42)),IF(AND(D42&gt;=50000,E42&gt;=30000,I42&gt;=Допускания!$D$10,N42&gt;=Допускания!$D$11,O42=0,P42="Да"),1,0),"")</f>
        <v/>
      </c>
      <c r="U42" s="1" t="str">
        <f aca="false">IF(NOT(ISNUMBER(T42)),"",IF(T42=1,IF(ISNUMBER(U41),U41+1,1),0))</f>
        <v/>
      </c>
    </row>
    <row r="43" customFormat="false" ht="23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customFormat="false" ht="15" hidden="false" customHeight="false" outlineLevel="0" collapsed="false">
      <c r="A44" s="0" t="s">
        <v>217</v>
      </c>
    </row>
  </sheetData>
  <conditionalFormatting sqref="R7:U42">
    <cfRule type="cellIs" priority="2" operator="greaterThanOrEqual" aboveAverage="0" equalAverage="0" bottom="0" percent="0" rank="0" text="" dxfId="11">
      <formula>1</formula>
    </cfRule>
  </conditionalFormatting>
  <dataValidations count="1">
    <dataValidation allowBlank="false" errorStyle="stop" operator="between" showDropDown="false" showErrorMessage="false" showInputMessage="false" sqref="P7:Q42" type="list">
      <formula1>"Да,Не"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3"/>
    <col collapsed="false" customWidth="true" hidden="false" outlineLevel="0" max="8" min="4" style="0" width="18"/>
    <col collapsed="false" customWidth="true" hidden="false" outlineLevel="0" max="9" min="9" style="0" width="3"/>
    <col collapsed="false" customWidth="true" hidden="false" outlineLevel="0" max="10" min="10" style="0" width="65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23" hidden="false" customHeight="true" outlineLevel="0" collapsed="false">
      <c r="A2" s="1"/>
      <c r="B2" s="1"/>
      <c r="C2" s="2" t="s">
        <v>218</v>
      </c>
      <c r="D2" s="1"/>
      <c r="E2" s="1"/>
      <c r="F2" s="1"/>
      <c r="G2" s="1"/>
      <c r="H2" s="1"/>
      <c r="I2" s="1"/>
      <c r="J2" s="1"/>
    </row>
    <row r="3" customFormat="false" ht="23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23" hidden="false" customHeight="true" outlineLevel="0" collapsed="false">
      <c r="A4" s="1"/>
      <c r="B4" s="1"/>
      <c r="C4" s="1" t="s">
        <v>219</v>
      </c>
      <c r="D4" s="1"/>
      <c r="E4" s="1"/>
      <c r="F4" s="1"/>
      <c r="G4" s="1"/>
      <c r="H4" s="1"/>
      <c r="I4" s="1"/>
      <c r="J4" s="1"/>
    </row>
    <row r="5" customFormat="false" ht="23" hidden="false" customHeight="true" outlineLevel="0" collapsed="false">
      <c r="A5" s="1"/>
      <c r="B5" s="1"/>
      <c r="C5" s="1" t="s">
        <v>220</v>
      </c>
      <c r="D5" s="13" t="str">
        <f aca="false">Допускания!F5</f>
        <v>PLANNED Growth</v>
      </c>
      <c r="E5" s="1"/>
      <c r="F5" s="1"/>
      <c r="G5" s="1"/>
      <c r="H5" s="1"/>
      <c r="I5" s="1"/>
      <c r="J5" s="1"/>
    </row>
    <row r="6" customFormat="false" ht="23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</row>
    <row r="7" customFormat="false" ht="37" hidden="false" customHeight="true" outlineLevel="0" collapsed="false">
      <c r="A7" s="1"/>
      <c r="B7" s="1"/>
      <c r="C7" s="6" t="s">
        <v>29</v>
      </c>
      <c r="D7" s="31" t="n">
        <v>5000</v>
      </c>
      <c r="E7" s="31" t="n">
        <v>10000</v>
      </c>
      <c r="F7" s="31" t="n">
        <v>20000</v>
      </c>
      <c r="G7" s="31" t="n">
        <v>30000</v>
      </c>
      <c r="H7" s="31" t="n">
        <v>50000</v>
      </c>
      <c r="I7" s="1"/>
      <c r="J7" s="1"/>
    </row>
    <row r="8" customFormat="false" ht="23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</row>
    <row r="9" customFormat="false" ht="27" hidden="false" customHeight="true" outlineLevel="0" collapsed="false">
      <c r="A9" s="1"/>
      <c r="B9" s="1"/>
      <c r="C9" s="32" t="s">
        <v>221</v>
      </c>
      <c r="D9" s="32"/>
      <c r="E9" s="32"/>
      <c r="F9" s="32"/>
      <c r="G9" s="32"/>
      <c r="H9" s="32"/>
      <c r="I9" s="1"/>
      <c r="J9" s="1"/>
    </row>
    <row r="10" customFormat="false" ht="23" hidden="false" customHeight="true" outlineLevel="0" collapsed="false">
      <c r="A10" s="1"/>
      <c r="B10" s="1"/>
      <c r="C10" s="1" t="s">
        <v>222</v>
      </c>
      <c r="D10" s="33" t="n">
        <f aca="false">Допускания!D57</f>
        <v>4</v>
      </c>
      <c r="E10" s="33" t="n">
        <f aca="false">Допускания!E57</f>
        <v>5</v>
      </c>
      <c r="F10" s="33" t="n">
        <f aca="false">Допускания!F57</f>
        <v>5</v>
      </c>
      <c r="G10" s="33" t="n">
        <f aca="false">Допускания!G57</f>
        <v>4</v>
      </c>
      <c r="H10" s="33" t="n">
        <f aca="false">Допускания!H57</f>
        <v>0</v>
      </c>
      <c r="I10" s="1"/>
      <c r="J10" s="1"/>
    </row>
    <row r="11" customFormat="false" ht="23" hidden="false" customHeight="true" outlineLevel="0" collapsed="false">
      <c r="A11" s="1"/>
      <c r="B11" s="1"/>
      <c r="C11" s="1" t="s">
        <v>223</v>
      </c>
      <c r="D11" s="33" t="n">
        <f aca="false">Допускания!D60</f>
        <v>1</v>
      </c>
      <c r="E11" s="33" t="n">
        <f aca="false">Допускания!E60</f>
        <v>2</v>
      </c>
      <c r="F11" s="33" t="n">
        <f aca="false">Допускания!F60</f>
        <v>3</v>
      </c>
      <c r="G11" s="33" t="n">
        <f aca="false">Допускания!G60</f>
        <v>3</v>
      </c>
      <c r="H11" s="33" t="n">
        <f aca="false">Допускания!H60</f>
        <v>5</v>
      </c>
      <c r="I11" s="1"/>
      <c r="J11" s="1"/>
    </row>
    <row r="12" customFormat="false" ht="23" hidden="false" customHeight="true" outlineLevel="0" collapsed="false">
      <c r="A12" s="1"/>
      <c r="B12" s="1"/>
      <c r="C12" s="1" t="s">
        <v>224</v>
      </c>
      <c r="D12" s="34" t="n">
        <f aca="false">Допускания!D63</f>
        <v>2500</v>
      </c>
      <c r="E12" s="34" t="n">
        <f aca="false">Допускания!E63</f>
        <v>2500</v>
      </c>
      <c r="F12" s="34" t="n">
        <f aca="false">Допускания!F63</f>
        <v>3250</v>
      </c>
      <c r="G12" s="34" t="n">
        <f aca="false">Допускания!G63</f>
        <v>4400</v>
      </c>
      <c r="H12" s="34" t="n">
        <f aca="false">Допускания!H63</f>
        <v>4000</v>
      </c>
      <c r="I12" s="1"/>
      <c r="J12" s="1"/>
    </row>
    <row r="13" customFormat="false" ht="23" hidden="false" customHeight="true" outlineLevel="0" collapsed="false">
      <c r="A13" s="1"/>
      <c r="B13" s="1"/>
      <c r="C13" s="1" t="s">
        <v>225</v>
      </c>
      <c r="D13" s="33" t="n">
        <f aca="false">Допускания!D69</f>
        <v>10</v>
      </c>
      <c r="E13" s="33" t="n">
        <f aca="false">Допускания!E69</f>
        <v>10</v>
      </c>
      <c r="F13" s="33" t="n">
        <f aca="false">Допускания!F69</f>
        <v>10</v>
      </c>
      <c r="G13" s="33" t="n">
        <f aca="false">Допускания!G69</f>
        <v>20</v>
      </c>
      <c r="H13" s="33" t="n">
        <f aca="false">Допускания!H69</f>
        <v>25</v>
      </c>
      <c r="I13" s="1"/>
      <c r="J13" s="1"/>
    </row>
    <row r="14" customFormat="false" ht="23" hidden="false" customHeight="true" outlineLevel="0" collapsed="false">
      <c r="A14" s="1"/>
      <c r="B14" s="1"/>
      <c r="C14" s="1" t="s">
        <v>226</v>
      </c>
      <c r="D14" s="33" t="n">
        <f aca="false">Допускания!D72</f>
        <v>6</v>
      </c>
      <c r="E14" s="33" t="n">
        <f aca="false">Допускания!E72</f>
        <v>7</v>
      </c>
      <c r="F14" s="33" t="n">
        <f aca="false">Допускания!F72</f>
        <v>12</v>
      </c>
      <c r="G14" s="33" t="n">
        <f aca="false">Допускания!G72</f>
        <v>14</v>
      </c>
      <c r="H14" s="33" t="n">
        <f aca="false">Допускания!H72</f>
        <v>20</v>
      </c>
      <c r="I14" s="1"/>
      <c r="J14" s="1"/>
    </row>
    <row r="15" customFormat="false" ht="23" hidden="false" customHeight="true" outlineLevel="0" collapsed="false">
      <c r="A15" s="1"/>
      <c r="B15" s="1"/>
      <c r="C15" s="1" t="s">
        <v>227</v>
      </c>
      <c r="D15" s="33" t="n">
        <f aca="false">Допускания!D75</f>
        <v>0</v>
      </c>
      <c r="E15" s="33" t="n">
        <f aca="false">Допускания!E75</f>
        <v>8</v>
      </c>
      <c r="F15" s="33" t="n">
        <f aca="false">Допускания!F75</f>
        <v>12</v>
      </c>
      <c r="G15" s="33" t="n">
        <f aca="false">Допускания!G75</f>
        <v>30</v>
      </c>
      <c r="H15" s="33" t="n">
        <f aca="false">Допускания!H75</f>
        <v>48</v>
      </c>
      <c r="I15" s="1"/>
      <c r="J15" s="1"/>
    </row>
    <row r="16" customFormat="false" ht="23" hidden="false" customHeight="true" outlineLevel="0" collapsed="false">
      <c r="A16" s="1"/>
      <c r="B16" s="1"/>
      <c r="C16" s="1" t="s">
        <v>228</v>
      </c>
      <c r="D16" s="33" t="n">
        <f aca="false">Допускания!D78</f>
        <v>0</v>
      </c>
      <c r="E16" s="33" t="n">
        <f aca="false">Допускания!E78</f>
        <v>0</v>
      </c>
      <c r="F16" s="33" t="n">
        <f aca="false">Допускания!F78</f>
        <v>10</v>
      </c>
      <c r="G16" s="33" t="n">
        <f aca="false">Допускания!G78</f>
        <v>15</v>
      </c>
      <c r="H16" s="33" t="n">
        <f aca="false">Допускания!H78</f>
        <v>40</v>
      </c>
      <c r="I16" s="1"/>
      <c r="J16" s="1"/>
    </row>
    <row r="17" customFormat="false" ht="23" hidden="false" customHeight="true" outlineLevel="0" collapsed="false">
      <c r="A17" s="1"/>
      <c r="B17" s="1"/>
      <c r="C17" s="1" t="s">
        <v>229</v>
      </c>
      <c r="D17" s="33" t="n">
        <f aca="false">Допускания!D81</f>
        <v>0</v>
      </c>
      <c r="E17" s="33" t="n">
        <f aca="false">Допускания!E81</f>
        <v>2</v>
      </c>
      <c r="F17" s="33" t="n">
        <f aca="false">Допускания!F81</f>
        <v>4</v>
      </c>
      <c r="G17" s="33" t="n">
        <f aca="false">Допускания!G81</f>
        <v>6</v>
      </c>
      <c r="H17" s="33" t="n">
        <f aca="false">Допускания!H81</f>
        <v>8</v>
      </c>
      <c r="I17" s="1"/>
      <c r="J17" s="1"/>
    </row>
    <row r="18" customFormat="false" ht="23" hidden="false" customHeight="true" outlineLevel="0" collapsed="false">
      <c r="A18" s="1"/>
      <c r="B18" s="1"/>
      <c r="C18" s="1" t="s">
        <v>230</v>
      </c>
      <c r="D18" s="33" t="n">
        <f aca="false">Допускания!D84</f>
        <v>0</v>
      </c>
      <c r="E18" s="33" t="n">
        <f aca="false">Допускания!E84</f>
        <v>4</v>
      </c>
      <c r="F18" s="33" t="n">
        <f aca="false">Допускания!F84</f>
        <v>11</v>
      </c>
      <c r="G18" s="33" t="n">
        <f aca="false">Допускания!G84</f>
        <v>17</v>
      </c>
      <c r="H18" s="33" t="n">
        <f aca="false">Допускания!H84</f>
        <v>22</v>
      </c>
      <c r="I18" s="1"/>
      <c r="J18" s="1"/>
    </row>
    <row r="19" customFormat="false" ht="23" hidden="false" customHeight="true" outlineLevel="0" collapsed="false">
      <c r="A19" s="1"/>
      <c r="B19" s="1"/>
      <c r="C19" s="1"/>
      <c r="D19" s="35"/>
      <c r="E19" s="35"/>
      <c r="F19" s="35"/>
      <c r="G19" s="35"/>
      <c r="H19" s="35"/>
      <c r="I19" s="1"/>
      <c r="J19" s="1"/>
    </row>
    <row r="20" customFormat="false" ht="27" hidden="false" customHeight="true" outlineLevel="0" collapsed="false">
      <c r="A20" s="1"/>
      <c r="B20" s="1"/>
      <c r="C20" s="32" t="s">
        <v>34</v>
      </c>
      <c r="D20" s="36"/>
      <c r="E20" s="36"/>
      <c r="F20" s="36"/>
      <c r="G20" s="36"/>
      <c r="H20" s="36"/>
      <c r="I20" s="1"/>
      <c r="J20" s="1"/>
    </row>
    <row r="21" customFormat="false" ht="23" hidden="false" customHeight="true" outlineLevel="0" collapsed="false">
      <c r="A21" s="1"/>
      <c r="B21" s="1"/>
      <c r="C21" s="1" t="s">
        <v>231</v>
      </c>
      <c r="D21" s="34" t="n">
        <f aca="false">D10*Допускания!$D$15</f>
        <v>1800</v>
      </c>
      <c r="E21" s="34" t="n">
        <f aca="false">E10*Допускания!$D$15</f>
        <v>2250</v>
      </c>
      <c r="F21" s="34" t="n">
        <f aca="false">F10*Допускания!$D$15</f>
        <v>2250</v>
      </c>
      <c r="G21" s="34" t="n">
        <f aca="false">G10*Допускания!$D$15</f>
        <v>1800</v>
      </c>
      <c r="H21" s="34" t="n">
        <f aca="false">H10*Допускания!$D$15</f>
        <v>0</v>
      </c>
      <c r="I21" s="1"/>
      <c r="J21" s="1"/>
    </row>
    <row r="22" customFormat="false" ht="23" hidden="false" customHeight="true" outlineLevel="0" collapsed="false">
      <c r="A22" s="1"/>
      <c r="B22" s="1"/>
      <c r="C22" s="1" t="s">
        <v>232</v>
      </c>
      <c r="D22" s="37" t="n">
        <f aca="false">D11*D12</f>
        <v>2500</v>
      </c>
      <c r="E22" s="37" t="n">
        <f aca="false">E11*E12</f>
        <v>5000</v>
      </c>
      <c r="F22" s="37" t="n">
        <f aca="false">F11*F12</f>
        <v>9750</v>
      </c>
      <c r="G22" s="37" t="n">
        <f aca="false">G11*G12</f>
        <v>13200</v>
      </c>
      <c r="H22" s="37" t="n">
        <f aca="false">H11*H12</f>
        <v>20000</v>
      </c>
      <c r="I22" s="1"/>
      <c r="J22" s="1"/>
    </row>
    <row r="23" customFormat="false" ht="23" hidden="false" customHeight="true" outlineLevel="0" collapsed="false">
      <c r="A23" s="1"/>
      <c r="B23" s="1"/>
      <c r="C23" s="32" t="s">
        <v>197</v>
      </c>
      <c r="D23" s="38" t="n">
        <f aca="false">SUM(D21:D22)</f>
        <v>4300</v>
      </c>
      <c r="E23" s="38" t="n">
        <f aca="false">SUM(E21:E22)</f>
        <v>7250</v>
      </c>
      <c r="F23" s="38" t="n">
        <f aca="false">SUM(F21:F22)</f>
        <v>12000</v>
      </c>
      <c r="G23" s="38" t="n">
        <f aca="false">SUM(G21:G22)</f>
        <v>15000</v>
      </c>
      <c r="H23" s="38" t="n">
        <f aca="false">SUM(H21:H22)</f>
        <v>20000</v>
      </c>
      <c r="I23" s="1"/>
      <c r="J23" s="1" t="s">
        <v>233</v>
      </c>
    </row>
    <row r="24" customFormat="false" ht="23" hidden="false" customHeight="true" outlineLevel="0" collapsed="false">
      <c r="A24" s="1"/>
      <c r="B24" s="1"/>
      <c r="C24" s="1" t="s">
        <v>234</v>
      </c>
      <c r="D24" s="34" t="n">
        <f aca="false">D13*Допускания!$D$16</f>
        <v>400</v>
      </c>
      <c r="E24" s="34" t="n">
        <f aca="false">E13*Допускания!$D$16</f>
        <v>400</v>
      </c>
      <c r="F24" s="34" t="n">
        <f aca="false">F13*Допускания!$D$16</f>
        <v>400</v>
      </c>
      <c r="G24" s="34" t="n">
        <f aca="false">G13*Допускания!$D$16</f>
        <v>800</v>
      </c>
      <c r="H24" s="34" t="n">
        <f aca="false">H13*Допускания!$D$16</f>
        <v>1000</v>
      </c>
      <c r="I24" s="1"/>
      <c r="J24" s="1"/>
    </row>
    <row r="25" customFormat="false" ht="23" hidden="false" customHeight="true" outlineLevel="0" collapsed="false">
      <c r="A25" s="1"/>
      <c r="B25" s="1"/>
      <c r="C25" s="1" t="s">
        <v>235</v>
      </c>
      <c r="D25" s="34" t="n">
        <f aca="false">D14*Допускания!$D$17</f>
        <v>300</v>
      </c>
      <c r="E25" s="34" t="n">
        <f aca="false">E14*Допускания!$D$17</f>
        <v>350</v>
      </c>
      <c r="F25" s="34" t="n">
        <f aca="false">F14*Допускания!$D$17</f>
        <v>600</v>
      </c>
      <c r="G25" s="34" t="n">
        <f aca="false">G14*Допускания!$D$17</f>
        <v>700</v>
      </c>
      <c r="H25" s="34" t="n">
        <f aca="false">H14*Допускания!$D$17</f>
        <v>1000</v>
      </c>
      <c r="I25" s="1"/>
      <c r="J25" s="1"/>
    </row>
    <row r="26" customFormat="false" ht="23" hidden="false" customHeight="true" outlineLevel="0" collapsed="false">
      <c r="A26" s="1"/>
      <c r="B26" s="1"/>
      <c r="C26" s="1" t="s">
        <v>236</v>
      </c>
      <c r="D26" s="34" t="n">
        <f aca="false">D15*Допускания!$D$18</f>
        <v>0</v>
      </c>
      <c r="E26" s="34" t="n">
        <f aca="false">E15*Допускания!$D$18</f>
        <v>2000</v>
      </c>
      <c r="F26" s="34" t="n">
        <f aca="false">F15*Допускания!$D$18</f>
        <v>3000</v>
      </c>
      <c r="G26" s="34" t="n">
        <f aca="false">G15*Допускания!$D$18</f>
        <v>7500</v>
      </c>
      <c r="H26" s="34" t="n">
        <f aca="false">H15*Допускания!$D$18</f>
        <v>12000</v>
      </c>
      <c r="I26" s="1"/>
      <c r="J26" s="1"/>
    </row>
    <row r="27" customFormat="false" ht="23" hidden="false" customHeight="true" outlineLevel="0" collapsed="false">
      <c r="A27" s="1"/>
      <c r="B27" s="1"/>
      <c r="C27" s="1" t="s">
        <v>237</v>
      </c>
      <c r="D27" s="34" t="n">
        <f aca="false">D16*Допускания!$D$19</f>
        <v>0</v>
      </c>
      <c r="E27" s="34" t="n">
        <f aca="false">E16*Допускания!$D$19</f>
        <v>0</v>
      </c>
      <c r="F27" s="34" t="n">
        <f aca="false">F16*Допускания!$D$19</f>
        <v>4000</v>
      </c>
      <c r="G27" s="34" t="n">
        <f aca="false">G16*Допускания!$D$19</f>
        <v>6000</v>
      </c>
      <c r="H27" s="34" t="n">
        <f aca="false">H16*Допускания!$D$19</f>
        <v>16000</v>
      </c>
      <c r="I27" s="1"/>
      <c r="J27" s="1"/>
    </row>
    <row r="28" customFormat="false" ht="23" hidden="false" customHeight="true" outlineLevel="0" collapsed="false">
      <c r="A28" s="1"/>
      <c r="B28" s="1"/>
      <c r="C28" s="32" t="s">
        <v>238</v>
      </c>
      <c r="D28" s="38" t="n">
        <f aca="false">SUM(D24:D27)</f>
        <v>700</v>
      </c>
      <c r="E28" s="38" t="n">
        <f aca="false">SUM(E24:E27)</f>
        <v>2750</v>
      </c>
      <c r="F28" s="38" t="n">
        <f aca="false">SUM(F24:F27)</f>
        <v>8000</v>
      </c>
      <c r="G28" s="38" t="n">
        <f aca="false">SUM(G24:G27)</f>
        <v>15000</v>
      </c>
      <c r="H28" s="38" t="n">
        <f aca="false">SUM(H24:H27)</f>
        <v>30000</v>
      </c>
      <c r="I28" s="1"/>
      <c r="J28" s="1" t="s">
        <v>239</v>
      </c>
    </row>
    <row r="29" customFormat="false" ht="23" hidden="false" customHeight="true" outlineLevel="0" collapsed="false">
      <c r="A29" s="1"/>
      <c r="B29" s="1"/>
      <c r="C29" s="32" t="s">
        <v>240</v>
      </c>
      <c r="D29" s="38" t="n">
        <f aca="false">D23+D28</f>
        <v>5000</v>
      </c>
      <c r="E29" s="38" t="n">
        <f aca="false">E23+E28</f>
        <v>10000</v>
      </c>
      <c r="F29" s="38" t="n">
        <f aca="false">F23+F28</f>
        <v>20000</v>
      </c>
      <c r="G29" s="38" t="n">
        <f aca="false">G23+G28</f>
        <v>30000</v>
      </c>
      <c r="H29" s="38" t="n">
        <f aca="false">H23+H28</f>
        <v>50000</v>
      </c>
      <c r="I29" s="1"/>
      <c r="J29" s="1"/>
    </row>
    <row r="30" customFormat="false" ht="23" hidden="false" customHeight="true" outlineLevel="0" collapsed="false">
      <c r="A30" s="1"/>
      <c r="B30" s="1"/>
      <c r="C30" s="1" t="s">
        <v>241</v>
      </c>
      <c r="D30" s="37" t="n">
        <f aca="false">D29-D7</f>
        <v>0</v>
      </c>
      <c r="E30" s="37" t="n">
        <f aca="false">E29-E7</f>
        <v>0</v>
      </c>
      <c r="F30" s="37" t="n">
        <f aca="false">F29-F7</f>
        <v>0</v>
      </c>
      <c r="G30" s="37" t="n">
        <f aca="false">G29-G7</f>
        <v>0</v>
      </c>
      <c r="H30" s="37" t="n">
        <f aca="false">H29-H7</f>
        <v>0</v>
      </c>
      <c r="I30" s="1"/>
      <c r="J30" s="1"/>
    </row>
    <row r="31" customFormat="false" ht="23" hidden="false" customHeight="true" outlineLevel="0" collapsed="false">
      <c r="A31" s="1"/>
      <c r="B31" s="1"/>
      <c r="C31" s="1" t="s">
        <v>242</v>
      </c>
      <c r="D31" s="39" t="n">
        <f aca="false">SUM(D13:D16)-D18</f>
        <v>16</v>
      </c>
      <c r="E31" s="39" t="n">
        <f aca="false">SUM(E13:E16)-E18</f>
        <v>21</v>
      </c>
      <c r="F31" s="39" t="n">
        <f aca="false">SUM(F13:F16)-F18</f>
        <v>33</v>
      </c>
      <c r="G31" s="39" t="n">
        <f aca="false">SUM(G13:G16)-G18</f>
        <v>62</v>
      </c>
      <c r="H31" s="39" t="n">
        <f aca="false">SUM(H13:H16)-H18</f>
        <v>111</v>
      </c>
      <c r="I31" s="1"/>
      <c r="J31" s="1"/>
    </row>
    <row r="32" customFormat="false" ht="23" hidden="false" customHeight="true" outlineLevel="0" collapsed="false">
      <c r="A32" s="1"/>
      <c r="B32" s="1"/>
      <c r="C32" s="1" t="s">
        <v>243</v>
      </c>
      <c r="D32" s="33" t="n">
        <f aca="false">D10+D11+D17*(1-Допускания!$D$47)</f>
        <v>5</v>
      </c>
      <c r="E32" s="33" t="n">
        <f aca="false">E10+E11+E17*(1-Допускания!$D$47)</f>
        <v>8</v>
      </c>
      <c r="F32" s="33" t="n">
        <f aca="false">F10+F11+F17*(1-Допускания!$D$47)</f>
        <v>10</v>
      </c>
      <c r="G32" s="33" t="n">
        <f aca="false">G10+G11+G17*(1-Допускания!$D$47)</f>
        <v>10</v>
      </c>
      <c r="H32" s="33" t="n">
        <f aca="false">H10+H11+H17*(1-Допускания!$D$47)</f>
        <v>9</v>
      </c>
      <c r="I32" s="1"/>
      <c r="J32" s="1"/>
    </row>
    <row r="33" customFormat="false" ht="23" hidden="false" customHeight="true" outlineLevel="0" collapsed="false">
      <c r="A33" s="1"/>
      <c r="B33" s="1"/>
      <c r="C33" s="1"/>
      <c r="D33" s="35"/>
      <c r="E33" s="35"/>
      <c r="F33" s="35"/>
      <c r="G33" s="35"/>
      <c r="H33" s="35"/>
      <c r="I33" s="1"/>
      <c r="J33" s="1"/>
    </row>
    <row r="34" customFormat="false" ht="27" hidden="false" customHeight="true" outlineLevel="0" collapsed="false">
      <c r="A34" s="1"/>
      <c r="B34" s="1"/>
      <c r="C34" s="32" t="s">
        <v>244</v>
      </c>
      <c r="D34" s="36"/>
      <c r="E34" s="36"/>
      <c r="F34" s="36"/>
      <c r="G34" s="36"/>
      <c r="H34" s="36"/>
      <c r="I34" s="1"/>
      <c r="J34" s="1"/>
    </row>
    <row r="35" customFormat="false" ht="23" hidden="false" customHeight="true" outlineLevel="0" collapsed="false">
      <c r="A35" s="1"/>
      <c r="B35" s="1"/>
      <c r="C35" s="1" t="s">
        <v>245</v>
      </c>
      <c r="D35" s="40" t="n">
        <f aca="false">D10*Допускания!$D$20+D11*Допускания!D66</f>
        <v>72</v>
      </c>
      <c r="E35" s="40" t="n">
        <f aca="false">E10*Допускания!$D$20+E11*Допускания!E66</f>
        <v>120</v>
      </c>
      <c r="F35" s="40" t="n">
        <f aca="false">F10*Допускания!$D$20+F11*Допускания!F66</f>
        <v>196</v>
      </c>
      <c r="G35" s="40" t="n">
        <f aca="false">G10*Допускания!$D$20+G11*Допускания!G66</f>
        <v>224</v>
      </c>
      <c r="H35" s="40" t="n">
        <f aca="false">H10*Допускания!$D$20+H11*Допускания!H66</f>
        <v>320</v>
      </c>
      <c r="I35" s="1"/>
      <c r="J35" s="1"/>
    </row>
    <row r="36" customFormat="false" ht="23" hidden="false" customHeight="true" outlineLevel="0" collapsed="false">
      <c r="A36" s="1"/>
      <c r="B36" s="1"/>
      <c r="C36" s="1" t="s">
        <v>246</v>
      </c>
      <c r="D36" s="40" t="n">
        <f aca="false">D13*Допускания!$D$21+D14*Допускания!$D$22</f>
        <v>7.2</v>
      </c>
      <c r="E36" s="40" t="n">
        <f aca="false">E13*Допускания!$D$21+E14*Допускания!$D$22</f>
        <v>7.9</v>
      </c>
      <c r="F36" s="40" t="n">
        <f aca="false">F13*Допускания!$D$21+F14*Допускания!$D$22</f>
        <v>11.4</v>
      </c>
      <c r="G36" s="40" t="n">
        <f aca="false">G13*Допускания!$D$21+G14*Допускания!$D$22</f>
        <v>15.8</v>
      </c>
      <c r="H36" s="40" t="n">
        <f aca="false">H13*Допускания!$D$21+H14*Допускания!$D$22</f>
        <v>21.5</v>
      </c>
      <c r="I36" s="1"/>
      <c r="J36" s="1"/>
    </row>
    <row r="37" customFormat="false" ht="23" hidden="false" customHeight="true" outlineLevel="0" collapsed="false">
      <c r="A37" s="1"/>
      <c r="B37" s="1"/>
      <c r="C37" s="1" t="s">
        <v>247</v>
      </c>
      <c r="D37" s="40" t="n">
        <f aca="false">D15*Допускания!$D$23+D16*Допускания!$D$24</f>
        <v>0</v>
      </c>
      <c r="E37" s="40" t="n">
        <f aca="false">E15*Допускания!$D$23+E16*Допускания!$D$24</f>
        <v>16</v>
      </c>
      <c r="F37" s="40" t="n">
        <f aca="false">F15*Допускания!$D$23+F16*Допускания!$D$24</f>
        <v>54</v>
      </c>
      <c r="G37" s="40" t="n">
        <f aca="false">G15*Допускания!$D$23+G16*Допускания!$D$24</f>
        <v>105</v>
      </c>
      <c r="H37" s="40" t="n">
        <f aca="false">H15*Допускания!$D$23+H16*Допускания!$D$24</f>
        <v>216</v>
      </c>
      <c r="I37" s="1"/>
      <c r="J37" s="1"/>
    </row>
    <row r="38" customFormat="false" ht="23" hidden="false" customHeight="true" outlineLevel="0" collapsed="false">
      <c r="A38" s="1"/>
      <c r="B38" s="1"/>
      <c r="C38" s="1" t="s">
        <v>248</v>
      </c>
      <c r="D38" s="40" t="n">
        <f aca="false">D17*Допускания!$D$25</f>
        <v>0</v>
      </c>
      <c r="E38" s="40" t="n">
        <f aca="false">E17*Допускания!$D$25</f>
        <v>6</v>
      </c>
      <c r="F38" s="40" t="n">
        <f aca="false">F17*Допускания!$D$25</f>
        <v>12</v>
      </c>
      <c r="G38" s="40" t="n">
        <f aca="false">G17*Допускания!$D$25</f>
        <v>18</v>
      </c>
      <c r="H38" s="40" t="n">
        <f aca="false">H17*Допускания!$D$25</f>
        <v>24</v>
      </c>
      <c r="I38" s="1"/>
      <c r="J38" s="1"/>
    </row>
    <row r="39" customFormat="false" ht="23" hidden="false" customHeight="true" outlineLevel="0" collapsed="false">
      <c r="A39" s="1"/>
      <c r="B39" s="1"/>
      <c r="C39" s="32" t="s">
        <v>249</v>
      </c>
      <c r="D39" s="41" t="n">
        <f aca="false">SUM(D35:D38)</f>
        <v>79.2</v>
      </c>
      <c r="E39" s="41" t="n">
        <f aca="false">SUM(E35:E38)</f>
        <v>149.9</v>
      </c>
      <c r="F39" s="41" t="n">
        <f aca="false">SUM(F35:F38)</f>
        <v>273.4</v>
      </c>
      <c r="G39" s="41" t="n">
        <f aca="false">SUM(G35:G38)</f>
        <v>362.8</v>
      </c>
      <c r="H39" s="41" t="n">
        <f aca="false">SUM(H35:H38)</f>
        <v>581.5</v>
      </c>
      <c r="I39" s="1"/>
      <c r="J39" s="1" t="s">
        <v>250</v>
      </c>
    </row>
    <row r="40" customFormat="false" ht="23" hidden="false" customHeight="true" outlineLevel="0" collapsed="false">
      <c r="A40" s="1"/>
      <c r="B40" s="1"/>
      <c r="C40" s="1" t="s">
        <v>251</v>
      </c>
      <c r="D40" s="40" t="n">
        <f aca="false">D39/Допускания!$D$46</f>
        <v>0.792</v>
      </c>
      <c r="E40" s="40" t="n">
        <f aca="false">E39/Допускания!$D$46</f>
        <v>1.499</v>
      </c>
      <c r="F40" s="40" t="n">
        <f aca="false">F39/Допускания!$D$46</f>
        <v>2.734</v>
      </c>
      <c r="G40" s="40" t="n">
        <f aca="false">G39/Допускания!$D$46</f>
        <v>3.628</v>
      </c>
      <c r="H40" s="40" t="n">
        <f aca="false">H39/Допускания!$D$46</f>
        <v>5.815</v>
      </c>
      <c r="I40" s="1"/>
      <c r="J40" s="1"/>
    </row>
    <row r="41" customFormat="false" ht="23" hidden="false" customHeight="true" outlineLevel="0" collapsed="false">
      <c r="A41" s="1"/>
      <c r="B41" s="1"/>
      <c r="C41" s="1" t="s">
        <v>252</v>
      </c>
      <c r="D41" s="34" t="n">
        <f aca="false">D35*Допускания!$D$26</f>
        <v>1800</v>
      </c>
      <c r="E41" s="34" t="n">
        <f aca="false">E35*Допускания!$D$26</f>
        <v>3000</v>
      </c>
      <c r="F41" s="34" t="n">
        <f aca="false">F35*Допускания!$D$26</f>
        <v>4900</v>
      </c>
      <c r="G41" s="34" t="n">
        <f aca="false">G35*Допускания!$D$26</f>
        <v>5600</v>
      </c>
      <c r="H41" s="34" t="n">
        <f aca="false">H35*Допускания!$D$26</f>
        <v>8000</v>
      </c>
      <c r="I41" s="1"/>
      <c r="J41" s="1"/>
    </row>
    <row r="42" customFormat="false" ht="23" hidden="false" customHeight="true" outlineLevel="0" collapsed="false">
      <c r="A42" s="1"/>
      <c r="B42" s="1"/>
      <c r="C42" s="1" t="s">
        <v>253</v>
      </c>
      <c r="D42" s="34" t="n">
        <f aca="false">D36*Допускания!$D$27</f>
        <v>144</v>
      </c>
      <c r="E42" s="34" t="n">
        <f aca="false">E36*Допускания!$D$27</f>
        <v>158</v>
      </c>
      <c r="F42" s="34" t="n">
        <f aca="false">F36*Допускания!$D$27</f>
        <v>228</v>
      </c>
      <c r="G42" s="34" t="n">
        <f aca="false">G36*Допускания!$D$27</f>
        <v>316</v>
      </c>
      <c r="H42" s="34" t="n">
        <f aca="false">H36*Допускания!$D$27</f>
        <v>430</v>
      </c>
      <c r="I42" s="1"/>
      <c r="J42" s="1"/>
    </row>
    <row r="43" customFormat="false" ht="23" hidden="false" customHeight="true" outlineLevel="0" collapsed="false">
      <c r="A43" s="1"/>
      <c r="B43" s="1"/>
      <c r="C43" s="1" t="s">
        <v>254</v>
      </c>
      <c r="D43" s="34" t="n">
        <f aca="false">(D37+D38)*Допускания!$D$28</f>
        <v>0</v>
      </c>
      <c r="E43" s="34" t="n">
        <f aca="false">(E37+E38)*Допускания!$D$28</f>
        <v>660</v>
      </c>
      <c r="F43" s="34" t="n">
        <f aca="false">(F37+F38)*Допускания!$D$28</f>
        <v>1980</v>
      </c>
      <c r="G43" s="34" t="n">
        <f aca="false">(G37+G38)*Допускания!$D$28</f>
        <v>3690</v>
      </c>
      <c r="H43" s="34" t="n">
        <f aca="false">(H37+H38)*Допускания!$D$28</f>
        <v>7200</v>
      </c>
      <c r="I43" s="1"/>
      <c r="J43" s="1"/>
    </row>
    <row r="44" customFormat="false" ht="23" hidden="false" customHeight="true" outlineLevel="0" collapsed="false">
      <c r="A44" s="1"/>
      <c r="B44" s="1"/>
      <c r="C44" s="32" t="s">
        <v>255</v>
      </c>
      <c r="D44" s="38" t="n">
        <f aca="false">SUM(D41:D43)</f>
        <v>1944</v>
      </c>
      <c r="E44" s="38" t="n">
        <f aca="false">SUM(E41:E43)</f>
        <v>3818</v>
      </c>
      <c r="F44" s="38" t="n">
        <f aca="false">SUM(F41:F43)</f>
        <v>7108</v>
      </c>
      <c r="G44" s="38" t="n">
        <f aca="false">SUM(G41:G43)</f>
        <v>9606</v>
      </c>
      <c r="H44" s="38" t="n">
        <f aca="false">SUM(H41:H43)</f>
        <v>15630</v>
      </c>
      <c r="I44" s="1"/>
      <c r="J44" s="1"/>
    </row>
    <row r="45" customFormat="false" ht="23" hidden="false" customHeight="true" outlineLevel="0" collapsed="false">
      <c r="A45" s="1"/>
      <c r="B45" s="1"/>
      <c r="C45" s="1" t="s">
        <v>256</v>
      </c>
      <c r="D45" s="34" t="n">
        <f aca="false">D13*Допускания!$D$29+D14*Допускания!$D$30+D10*Допускания!$D$31+D11*Допускания!$D$32+D15*Допускания!$D$33+D16*Допускания!$D$34</f>
        <v>147</v>
      </c>
      <c r="E45" s="34" t="n">
        <f aca="false">E13*Допускания!$D$29+E14*Допускания!$D$30+E10*Допускания!$D$31+E11*Допускания!$D$32+E15*Допускания!$D$33+E16*Допускания!$D$34</f>
        <v>259</v>
      </c>
      <c r="F45" s="34" t="n">
        <f aca="false">F13*Допускания!$D$29+F14*Допускания!$D$30+F10*Допускания!$D$31+F11*Допускания!$D$32+F15*Допускания!$D$33+F16*Допускания!$D$34</f>
        <v>574</v>
      </c>
      <c r="G45" s="34" t="n">
        <f aca="false">G13*Допускания!$D$29+G14*Допускания!$D$30+G10*Допускания!$D$31+G11*Допускания!$D$32+G15*Допускания!$D$33+G16*Допускания!$D$34</f>
        <v>913</v>
      </c>
      <c r="H45" s="34" t="n">
        <f aca="false">H13*Допускания!$D$29+H14*Допускания!$D$30+H10*Допускания!$D$31+H11*Допускания!$D$32+H15*Допускания!$D$33+H16*Допускания!$D$34</f>
        <v>1695</v>
      </c>
      <c r="I45" s="1"/>
      <c r="J45" s="1"/>
    </row>
    <row r="46" customFormat="false" ht="23" hidden="false" customHeight="true" outlineLevel="0" collapsed="false">
      <c r="A46" s="1"/>
      <c r="B46" s="1"/>
      <c r="C46" s="1" t="s">
        <v>257</v>
      </c>
      <c r="D46" s="37" t="n">
        <f aca="false">D44+D45</f>
        <v>2091</v>
      </c>
      <c r="E46" s="37" t="n">
        <f aca="false">E44+E45</f>
        <v>4077</v>
      </c>
      <c r="F46" s="37" t="n">
        <f aca="false">F44+F45</f>
        <v>7682</v>
      </c>
      <c r="G46" s="37" t="n">
        <f aca="false">G44+G45</f>
        <v>10519</v>
      </c>
      <c r="H46" s="37" t="n">
        <f aca="false">H44+H45</f>
        <v>17325</v>
      </c>
      <c r="I46" s="1"/>
      <c r="J46" s="1"/>
    </row>
    <row r="47" customFormat="false" ht="23" hidden="false" customHeight="true" outlineLevel="0" collapsed="false">
      <c r="A47" s="1"/>
      <c r="B47" s="1"/>
      <c r="C47" s="32" t="s">
        <v>258</v>
      </c>
      <c r="D47" s="38" t="n">
        <f aca="false">D29-D46</f>
        <v>2909</v>
      </c>
      <c r="E47" s="38" t="n">
        <f aca="false">E29-E46</f>
        <v>5923</v>
      </c>
      <c r="F47" s="38" t="n">
        <f aca="false">F29-F46</f>
        <v>12318</v>
      </c>
      <c r="G47" s="38" t="n">
        <f aca="false">G29-G46</f>
        <v>19481</v>
      </c>
      <c r="H47" s="38" t="n">
        <f aca="false">H29-H46</f>
        <v>32675</v>
      </c>
      <c r="I47" s="1"/>
      <c r="J47" s="1"/>
    </row>
    <row r="48" customFormat="false" ht="23" hidden="false" customHeight="true" outlineLevel="0" collapsed="false">
      <c r="A48" s="1"/>
      <c r="B48" s="1"/>
      <c r="C48" s="42" t="s">
        <v>259</v>
      </c>
      <c r="D48" s="43" t="n">
        <f aca="false">IF(D29=0,"n.a.",D47/D29)</f>
        <v>0.5818</v>
      </c>
      <c r="E48" s="43" t="n">
        <f aca="false">IF(E29=0,"n.a.",E47/E29)</f>
        <v>0.5923</v>
      </c>
      <c r="F48" s="43" t="n">
        <f aca="false">IF(F29=0,"n.a.",F47/F29)</f>
        <v>0.6159</v>
      </c>
      <c r="G48" s="43" t="n">
        <f aca="false">IF(G29=0,"n.a.",G47/G29)</f>
        <v>0.649366666666667</v>
      </c>
      <c r="H48" s="43" t="n">
        <f aca="false">IF(H29=0,"n.a.",H47/H29)</f>
        <v>0.6535</v>
      </c>
      <c r="I48" s="1"/>
      <c r="J48" s="1"/>
    </row>
    <row r="49" customFormat="false" ht="23" hidden="false" customHeight="true" outlineLevel="0" collapsed="false">
      <c r="A49" s="1"/>
      <c r="B49" s="1"/>
      <c r="C49" s="1"/>
      <c r="D49" s="35"/>
      <c r="E49" s="35"/>
      <c r="F49" s="35"/>
      <c r="G49" s="35"/>
      <c r="H49" s="35"/>
      <c r="I49" s="1"/>
      <c r="J49" s="1"/>
    </row>
    <row r="50" customFormat="false" ht="27" hidden="false" customHeight="true" outlineLevel="0" collapsed="false">
      <c r="A50" s="1"/>
      <c r="B50" s="1"/>
      <c r="C50" s="32" t="s">
        <v>260</v>
      </c>
      <c r="D50" s="36"/>
      <c r="E50" s="36"/>
      <c r="F50" s="36"/>
      <c r="G50" s="36"/>
      <c r="H50" s="36"/>
      <c r="I50" s="1"/>
      <c r="J50" s="1"/>
    </row>
    <row r="51" customFormat="false" ht="23" hidden="false" customHeight="true" outlineLevel="0" collapsed="false">
      <c r="A51" s="1"/>
      <c r="B51" s="1"/>
      <c r="C51" s="1" t="s">
        <v>261</v>
      </c>
      <c r="D51" s="34" t="n">
        <f aca="false">Допускания!D87</f>
        <v>1500</v>
      </c>
      <c r="E51" s="34" t="n">
        <f aca="false">Допускания!E87</f>
        <v>2800</v>
      </c>
      <c r="F51" s="34" t="n">
        <f aca="false">Допускания!F87</f>
        <v>4000</v>
      </c>
      <c r="G51" s="34" t="n">
        <f aca="false">Допускания!G87</f>
        <v>5000</v>
      </c>
      <c r="H51" s="34" t="n">
        <f aca="false">Допускания!H87</f>
        <v>8500</v>
      </c>
      <c r="I51" s="1"/>
      <c r="J51" s="1" t="s">
        <v>262</v>
      </c>
    </row>
    <row r="52" customFormat="false" ht="23" hidden="false" customHeight="true" outlineLevel="0" collapsed="false">
      <c r="A52" s="1"/>
      <c r="B52" s="1"/>
      <c r="C52" s="1" t="s">
        <v>263</v>
      </c>
      <c r="D52" s="34" t="n">
        <f aca="false">Допускания!D90</f>
        <v>250</v>
      </c>
      <c r="E52" s="34" t="n">
        <f aca="false">Допускания!E90</f>
        <v>350</v>
      </c>
      <c r="F52" s="34" t="n">
        <f aca="false">Допускания!F90</f>
        <v>500</v>
      </c>
      <c r="G52" s="34" t="n">
        <f aca="false">Допускания!G90</f>
        <v>600</v>
      </c>
      <c r="H52" s="34" t="n">
        <f aca="false">Допускания!H90</f>
        <v>900</v>
      </c>
      <c r="I52" s="1"/>
      <c r="J52" s="1"/>
    </row>
    <row r="53" customFormat="false" ht="23" hidden="false" customHeight="true" outlineLevel="0" collapsed="false">
      <c r="A53" s="1"/>
      <c r="B53" s="1"/>
      <c r="C53" s="1" t="s">
        <v>264</v>
      </c>
      <c r="D53" s="34" t="n">
        <f aca="false">Допускания!D93</f>
        <v>300</v>
      </c>
      <c r="E53" s="34" t="n">
        <f aca="false">Допускания!E93</f>
        <v>500</v>
      </c>
      <c r="F53" s="34" t="n">
        <f aca="false">Допускания!F93</f>
        <v>750</v>
      </c>
      <c r="G53" s="34" t="n">
        <f aca="false">Допускания!G93</f>
        <v>900</v>
      </c>
      <c r="H53" s="34" t="n">
        <f aca="false">Допускания!H93</f>
        <v>1500</v>
      </c>
      <c r="I53" s="1"/>
      <c r="J53" s="1"/>
    </row>
    <row r="54" customFormat="false" ht="23" hidden="false" customHeight="true" outlineLevel="0" collapsed="false">
      <c r="A54" s="1"/>
      <c r="B54" s="1"/>
      <c r="C54" s="1" t="s">
        <v>265</v>
      </c>
      <c r="D54" s="34" t="n">
        <f aca="false">Допускания!D96</f>
        <v>200</v>
      </c>
      <c r="E54" s="34" t="n">
        <f aca="false">Допускания!E96</f>
        <v>300</v>
      </c>
      <c r="F54" s="34" t="n">
        <f aca="false">Допускания!F96</f>
        <v>400</v>
      </c>
      <c r="G54" s="34" t="n">
        <f aca="false">Допускания!G96</f>
        <v>500</v>
      </c>
      <c r="H54" s="34" t="n">
        <f aca="false">Допускания!H96</f>
        <v>700</v>
      </c>
      <c r="I54" s="1"/>
      <c r="J54" s="1"/>
    </row>
    <row r="55" customFormat="false" ht="23" hidden="false" customHeight="true" outlineLevel="0" collapsed="false">
      <c r="A55" s="1"/>
      <c r="B55" s="1"/>
      <c r="C55" s="1" t="s">
        <v>266</v>
      </c>
      <c r="D55" s="34" t="n">
        <f aca="false">Допускания!D99</f>
        <v>100</v>
      </c>
      <c r="E55" s="34" t="n">
        <f aca="false">Допускания!E99</f>
        <v>200</v>
      </c>
      <c r="F55" s="34" t="n">
        <f aca="false">Допускания!F99</f>
        <v>400</v>
      </c>
      <c r="G55" s="34" t="n">
        <f aca="false">Допускания!G99</f>
        <v>600</v>
      </c>
      <c r="H55" s="34" t="n">
        <f aca="false">Допускания!H99</f>
        <v>1000</v>
      </c>
      <c r="I55" s="1"/>
      <c r="J55" s="1"/>
    </row>
    <row r="56" customFormat="false" ht="23" hidden="false" customHeight="true" outlineLevel="0" collapsed="false">
      <c r="A56" s="1"/>
      <c r="B56" s="1"/>
      <c r="C56" s="1" t="s">
        <v>267</v>
      </c>
      <c r="D56" s="37" t="n">
        <f aca="false">SUM(D51:D55)</f>
        <v>2350</v>
      </c>
      <c r="E56" s="37" t="n">
        <f aca="false">SUM(E51:E55)</f>
        <v>4150</v>
      </c>
      <c r="F56" s="37" t="n">
        <f aca="false">SUM(F51:F55)</f>
        <v>6050</v>
      </c>
      <c r="G56" s="37" t="n">
        <f aca="false">SUM(G51:G55)</f>
        <v>7600</v>
      </c>
      <c r="H56" s="37" t="n">
        <f aca="false">SUM(H51:H55)</f>
        <v>12600</v>
      </c>
      <c r="I56" s="1"/>
      <c r="J56" s="1"/>
    </row>
    <row r="57" customFormat="false" ht="23" hidden="false" customHeight="true" outlineLevel="0" collapsed="false">
      <c r="A57" s="1"/>
      <c r="B57" s="1"/>
      <c r="C57" s="32" t="s">
        <v>268</v>
      </c>
      <c r="D57" s="38" t="n">
        <f aca="false">D47-D56</f>
        <v>559</v>
      </c>
      <c r="E57" s="38" t="n">
        <f aca="false">E47-E56</f>
        <v>1773</v>
      </c>
      <c r="F57" s="38" t="n">
        <f aca="false">F47-F56</f>
        <v>6268</v>
      </c>
      <c r="G57" s="38" t="n">
        <f aca="false">G47-G56</f>
        <v>11881</v>
      </c>
      <c r="H57" s="38" t="n">
        <f aca="false">H47-H56</f>
        <v>20075</v>
      </c>
      <c r="I57" s="1"/>
      <c r="J57" s="1"/>
    </row>
    <row r="58" customFormat="false" ht="23" hidden="false" customHeight="true" outlineLevel="0" collapsed="false">
      <c r="A58" s="1"/>
      <c r="B58" s="1"/>
      <c r="C58" s="42" t="s">
        <v>269</v>
      </c>
      <c r="D58" s="43" t="n">
        <f aca="false">IF(D29=0,"n.a.",D57/D29)</f>
        <v>0.1118</v>
      </c>
      <c r="E58" s="43" t="n">
        <f aca="false">IF(E29=0,"n.a.",E57/E29)</f>
        <v>0.1773</v>
      </c>
      <c r="F58" s="43" t="n">
        <f aca="false">IF(F29=0,"n.a.",F57/F29)</f>
        <v>0.3134</v>
      </c>
      <c r="G58" s="43" t="n">
        <f aca="false">IF(G29=0,"n.a.",G57/G29)</f>
        <v>0.396033333333333</v>
      </c>
      <c r="H58" s="43" t="n">
        <f aca="false">IF(H29=0,"n.a.",H57/H29)</f>
        <v>0.4015</v>
      </c>
      <c r="I58" s="1"/>
      <c r="J58" s="1"/>
    </row>
    <row r="59" customFormat="false" ht="23" hidden="false" customHeight="true" outlineLevel="0" collapsed="false">
      <c r="A59" s="1"/>
      <c r="B59" s="1"/>
      <c r="C59" s="1"/>
      <c r="D59" s="35"/>
      <c r="E59" s="35"/>
      <c r="F59" s="35"/>
      <c r="G59" s="35"/>
      <c r="H59" s="35"/>
      <c r="I59" s="1"/>
      <c r="J59" s="1"/>
    </row>
    <row r="60" customFormat="false" ht="27" hidden="false" customHeight="true" outlineLevel="0" collapsed="false">
      <c r="A60" s="1"/>
      <c r="B60" s="1"/>
      <c r="C60" s="32" t="s">
        <v>270</v>
      </c>
      <c r="D60" s="36"/>
      <c r="E60" s="36"/>
      <c r="F60" s="36"/>
      <c r="G60" s="36"/>
      <c r="H60" s="36"/>
      <c r="I60" s="1"/>
      <c r="J60" s="1"/>
    </row>
    <row r="61" customFormat="false" ht="23" hidden="false" customHeight="true" outlineLevel="0" collapsed="false">
      <c r="A61" s="1"/>
      <c r="B61" s="1"/>
      <c r="C61" s="1" t="s">
        <v>271</v>
      </c>
      <c r="D61" s="39" t="n">
        <f aca="false">D32</f>
        <v>5</v>
      </c>
      <c r="E61" s="39" t="n">
        <f aca="false">E32</f>
        <v>8</v>
      </c>
      <c r="F61" s="39" t="n">
        <f aca="false">F32</f>
        <v>10</v>
      </c>
      <c r="G61" s="39" t="n">
        <f aca="false">G32</f>
        <v>10</v>
      </c>
      <c r="H61" s="39" t="n">
        <f aca="false">H32</f>
        <v>9</v>
      </c>
      <c r="I61" s="1"/>
      <c r="J61" s="1" t="s">
        <v>272</v>
      </c>
    </row>
    <row r="62" customFormat="false" ht="23" hidden="false" customHeight="true" outlineLevel="0" collapsed="false">
      <c r="A62" s="1"/>
      <c r="B62" s="1"/>
      <c r="C62" s="1" t="s">
        <v>273</v>
      </c>
      <c r="D62" s="33" t="n">
        <f aca="false">ROUNDUP(D61/Допускания!$D$35,0)</f>
        <v>20</v>
      </c>
      <c r="E62" s="33" t="n">
        <f aca="false">ROUNDUP(E61/Допускания!$D$35,0)</f>
        <v>32</v>
      </c>
      <c r="F62" s="33" t="n">
        <f aca="false">ROUNDUP(F61/Допускания!$D$35,0)</f>
        <v>40</v>
      </c>
      <c r="G62" s="33" t="n">
        <f aca="false">ROUNDUP(G61/Допускания!$D$35,0)</f>
        <v>40</v>
      </c>
      <c r="H62" s="33" t="n">
        <f aca="false">ROUNDUP(H61/Допускания!$D$35,0)</f>
        <v>36</v>
      </c>
      <c r="I62" s="1"/>
      <c r="J62" s="1"/>
    </row>
    <row r="63" customFormat="false" ht="23" hidden="false" customHeight="true" outlineLevel="0" collapsed="false">
      <c r="A63" s="1"/>
      <c r="B63" s="1"/>
      <c r="C63" s="1" t="s">
        <v>185</v>
      </c>
      <c r="D63" s="33" t="n">
        <f aca="false">ROUNDUP(D62/Допускания!$D$36,0)</f>
        <v>27</v>
      </c>
      <c r="E63" s="33" t="n">
        <f aca="false">ROUNDUP(E62/Допускания!$D$36,0)</f>
        <v>43</v>
      </c>
      <c r="F63" s="33" t="n">
        <f aca="false">ROUNDUP(F62/Допускания!$D$36,0)</f>
        <v>54</v>
      </c>
      <c r="G63" s="33" t="n">
        <f aca="false">ROUNDUP(G62/Допускания!$D$36,0)</f>
        <v>54</v>
      </c>
      <c r="H63" s="33" t="n">
        <f aca="false">ROUNDUP(H62/Допускания!$D$36,0)</f>
        <v>48</v>
      </c>
      <c r="I63" s="1"/>
      <c r="J63" s="1"/>
    </row>
    <row r="64" customFormat="false" ht="23" hidden="false" customHeight="true" outlineLevel="0" collapsed="false">
      <c r="A64" s="1"/>
      <c r="B64" s="1"/>
      <c r="C64" s="1" t="s">
        <v>274</v>
      </c>
      <c r="D64" s="33" t="n">
        <f aca="false">ROUNDUP(D63/Допускания!$D$37,0)</f>
        <v>34</v>
      </c>
      <c r="E64" s="33" t="n">
        <f aca="false">ROUNDUP(E63/Допускания!$D$37,0)</f>
        <v>54</v>
      </c>
      <c r="F64" s="33" t="n">
        <f aca="false">ROUNDUP(F63/Допускания!$D$37,0)</f>
        <v>68</v>
      </c>
      <c r="G64" s="33" t="n">
        <f aca="false">ROUNDUP(G63/Допускания!$D$37,0)</f>
        <v>68</v>
      </c>
      <c r="H64" s="33" t="n">
        <f aca="false">ROUNDUP(H63/Допускания!$D$37,0)</f>
        <v>60</v>
      </c>
      <c r="I64" s="1"/>
      <c r="J64" s="1"/>
    </row>
    <row r="65" customFormat="false" ht="23" hidden="false" customHeight="true" outlineLevel="0" collapsed="false">
      <c r="A65" s="1"/>
      <c r="B65" s="1"/>
      <c r="C65" s="1" t="s">
        <v>275</v>
      </c>
      <c r="D65" s="33" t="n">
        <f aca="false">ROUNDUP(D64/Допускания!$D$38,0)</f>
        <v>136</v>
      </c>
      <c r="E65" s="33" t="n">
        <f aca="false">ROUNDUP(E64/Допускания!$D$38,0)</f>
        <v>216</v>
      </c>
      <c r="F65" s="33" t="n">
        <f aca="false">ROUNDUP(F64/Допускания!$D$38,0)</f>
        <v>272</v>
      </c>
      <c r="G65" s="33" t="n">
        <f aca="false">ROUNDUP(G64/Допускания!$D$38,0)</f>
        <v>272</v>
      </c>
      <c r="H65" s="33" t="n">
        <f aca="false">ROUNDUP(H64/Допускания!$D$38,0)</f>
        <v>240</v>
      </c>
      <c r="I65" s="1"/>
      <c r="J65" s="1"/>
    </row>
    <row r="66" customFormat="false" ht="23" hidden="false" customHeight="true" outlineLevel="0" collapsed="false">
      <c r="A66" s="1"/>
      <c r="B66" s="1"/>
      <c r="C66" s="1" t="s">
        <v>181</v>
      </c>
      <c r="D66" s="33" t="n">
        <f aca="false">ROUNDUP(D65/Допускания!$D$39,0)</f>
        <v>340</v>
      </c>
      <c r="E66" s="33" t="n">
        <f aca="false">ROUNDUP(E65/Допускания!$D$39,0)</f>
        <v>540</v>
      </c>
      <c r="F66" s="33" t="n">
        <f aca="false">ROUNDUP(F65/Допускания!$D$39,0)</f>
        <v>680</v>
      </c>
      <c r="G66" s="33" t="n">
        <f aca="false">ROUNDUP(G65/Допускания!$D$39,0)</f>
        <v>680</v>
      </c>
      <c r="H66" s="33" t="n">
        <f aca="false">ROUNDUP(H65/Допускания!$D$39,0)</f>
        <v>600</v>
      </c>
      <c r="I66" s="1"/>
      <c r="J66" s="1"/>
    </row>
    <row r="67" customFormat="false" ht="23" hidden="false" customHeight="true" outlineLevel="0" collapsed="false">
      <c r="A67" s="1"/>
      <c r="B67" s="1"/>
      <c r="C67" s="1" t="s">
        <v>182</v>
      </c>
      <c r="D67" s="33" t="n">
        <f aca="false">D66*Допускания!$D$41</f>
        <v>680</v>
      </c>
      <c r="E67" s="33" t="n">
        <f aca="false">E66*Допускания!$D$41</f>
        <v>1080</v>
      </c>
      <c r="F67" s="33" t="n">
        <f aca="false">F66*Допускания!$D$41</f>
        <v>1360</v>
      </c>
      <c r="G67" s="33" t="n">
        <f aca="false">G66*Допускания!$D$41</f>
        <v>1360</v>
      </c>
      <c r="H67" s="33" t="n">
        <f aca="false">H66*Допускания!$D$41</f>
        <v>1200</v>
      </c>
      <c r="I67" s="1"/>
      <c r="J67" s="1"/>
    </row>
    <row r="68" customFormat="false" ht="23" hidden="false" customHeight="true" outlineLevel="0" collapsed="false">
      <c r="A68" s="1"/>
      <c r="B68" s="1"/>
      <c r="C68" s="1" t="s">
        <v>276</v>
      </c>
      <c r="D68" s="33" t="n">
        <f aca="false">ROUNDUP(D66/Допускания!$D$40,0)</f>
        <v>567</v>
      </c>
      <c r="E68" s="33" t="n">
        <f aca="false">ROUNDUP(E66/Допускания!$D$40,0)</f>
        <v>900</v>
      </c>
      <c r="F68" s="33" t="n">
        <f aca="false">ROUNDUP(F66/Допускания!$D$40,0)</f>
        <v>1134</v>
      </c>
      <c r="G68" s="33" t="n">
        <f aca="false">ROUNDUP(G66/Допускания!$D$40,0)</f>
        <v>1134</v>
      </c>
      <c r="H68" s="33" t="n">
        <f aca="false">ROUNDUP(H66/Допускания!$D$40,0)</f>
        <v>1000</v>
      </c>
      <c r="I68" s="1"/>
      <c r="J68" s="1"/>
    </row>
    <row r="69" customFormat="false" ht="23" hidden="false" customHeight="true" outlineLevel="0" collapsed="false">
      <c r="A69" s="1"/>
      <c r="B69" s="1"/>
      <c r="C69" s="1" t="s">
        <v>277</v>
      </c>
      <c r="D69" s="40" t="n">
        <f aca="false">D66*Допускания!$D$42+D67*Допускания!$D$43+D63*Допускания!$D$44+D62*Допускания!$D$45</f>
        <v>86.25</v>
      </c>
      <c r="E69" s="40" t="n">
        <f aca="false">E66*Допускания!$D$42+E67*Допускания!$D$43+E63*Допускания!$D$44+E62*Допускания!$D$45</f>
        <v>137.25</v>
      </c>
      <c r="F69" s="40" t="n">
        <f aca="false">F66*Допускания!$D$42+F67*Допускания!$D$43+F63*Допускания!$D$44+F62*Допускания!$D$45</f>
        <v>172.5</v>
      </c>
      <c r="G69" s="40" t="n">
        <f aca="false">G66*Допускания!$D$42+G67*Допускания!$D$43+G63*Допускания!$D$44+G62*Допускания!$D$45</f>
        <v>172.5</v>
      </c>
      <c r="H69" s="40" t="n">
        <f aca="false">H66*Допускания!$D$42+H67*Допускания!$D$43+H63*Допускания!$D$44+H62*Допускания!$D$45</f>
        <v>153</v>
      </c>
      <c r="I69" s="1"/>
      <c r="J69" s="1"/>
    </row>
    <row r="70" customFormat="false" ht="23" hidden="false" customHeight="true" outlineLevel="0" collapsed="false">
      <c r="A70" s="1"/>
      <c r="B70" s="1"/>
      <c r="C70" s="1" t="s">
        <v>278</v>
      </c>
      <c r="D70" s="40" t="n">
        <f aca="false">D69/Допускания!$D$46</f>
        <v>0.8625</v>
      </c>
      <c r="E70" s="40" t="n">
        <f aca="false">E69/Допускания!$D$46</f>
        <v>1.3725</v>
      </c>
      <c r="F70" s="40" t="n">
        <f aca="false">F69/Допускания!$D$46</f>
        <v>1.725</v>
      </c>
      <c r="G70" s="40" t="n">
        <f aca="false">G69/Допускания!$D$46</f>
        <v>1.725</v>
      </c>
      <c r="H70" s="40" t="n">
        <f aca="false">H69/Допускания!$D$46</f>
        <v>1.53</v>
      </c>
      <c r="I70" s="1"/>
      <c r="J70" s="1"/>
    </row>
    <row r="71" customFormat="false" ht="23" hidden="false" customHeight="true" outlineLevel="0" collapsed="false">
      <c r="A71" s="1"/>
      <c r="B71" s="1"/>
      <c r="C71" s="1"/>
      <c r="D71" s="35"/>
      <c r="E71" s="35"/>
      <c r="F71" s="35"/>
      <c r="G71" s="35"/>
      <c r="H71" s="35"/>
      <c r="I71" s="1"/>
      <c r="J71" s="1"/>
    </row>
    <row r="72" customFormat="false" ht="27" hidden="false" customHeight="true" outlineLevel="0" collapsed="false">
      <c r="A72" s="1"/>
      <c r="B72" s="1"/>
      <c r="C72" s="32" t="s">
        <v>279</v>
      </c>
      <c r="D72" s="36"/>
      <c r="E72" s="36"/>
      <c r="F72" s="36"/>
      <c r="G72" s="36"/>
      <c r="H72" s="36"/>
      <c r="I72" s="1"/>
      <c r="J72" s="1"/>
    </row>
    <row r="73" customFormat="false" ht="23" hidden="false" customHeight="true" outlineLevel="0" collapsed="false">
      <c r="A73" s="1"/>
      <c r="B73" s="1"/>
      <c r="C73" s="1" t="s">
        <v>280</v>
      </c>
      <c r="D73" s="37" t="n">
        <f aca="false">D57-D44*0.5</f>
        <v>-413</v>
      </c>
      <c r="E73" s="37" t="n">
        <f aca="false">E57-E44*0.5</f>
        <v>-136</v>
      </c>
      <c r="F73" s="37" t="n">
        <f aca="false">F57-F44*0.5</f>
        <v>2714</v>
      </c>
      <c r="G73" s="37" t="n">
        <f aca="false">G57-G44*0.5</f>
        <v>7078</v>
      </c>
      <c r="H73" s="37" t="n">
        <f aca="false">H57-H44*0.5</f>
        <v>12260</v>
      </c>
      <c r="I73" s="1"/>
      <c r="J73" s="1"/>
    </row>
    <row r="74" customFormat="false" ht="23" hidden="false" customHeight="true" outlineLevel="0" collapsed="false">
      <c r="A74" s="1"/>
      <c r="B74" s="1"/>
      <c r="C74" s="42" t="s">
        <v>281</v>
      </c>
      <c r="D74" s="43" t="n">
        <f aca="false">IF(D29=0,"n.a.",D73/D29)</f>
        <v>-0.0826</v>
      </c>
      <c r="E74" s="43" t="n">
        <f aca="false">IF(E29=0,"n.a.",E73/E29)</f>
        <v>-0.0136</v>
      </c>
      <c r="F74" s="43" t="n">
        <f aca="false">IF(F29=0,"n.a.",F73/F29)</f>
        <v>0.1357</v>
      </c>
      <c r="G74" s="43" t="n">
        <f aca="false">IF(G29=0,"n.a.",G73/G29)</f>
        <v>0.235933333333333</v>
      </c>
      <c r="H74" s="43" t="n">
        <f aca="false">IF(H29=0,"n.a.",H73/H29)</f>
        <v>0.2452</v>
      </c>
      <c r="I74" s="1"/>
      <c r="J74" s="1"/>
    </row>
    <row r="75" customFormat="false" ht="23" hidden="false" customHeight="true" outlineLevel="0" collapsed="false">
      <c r="A75" s="1"/>
      <c r="B75" s="1"/>
      <c r="C75" s="1" t="s">
        <v>282</v>
      </c>
      <c r="D75" s="37" t="n">
        <f aca="false">D57-D41</f>
        <v>-1241</v>
      </c>
      <c r="E75" s="37" t="n">
        <f aca="false">E57-E41</f>
        <v>-1227</v>
      </c>
      <c r="F75" s="37" t="n">
        <f aca="false">F57-F41</f>
        <v>1368</v>
      </c>
      <c r="G75" s="37" t="n">
        <f aca="false">G57-G41</f>
        <v>6281</v>
      </c>
      <c r="H75" s="37" t="n">
        <f aca="false">H57-H41</f>
        <v>12075</v>
      </c>
      <c r="I75" s="1"/>
      <c r="J75" s="1"/>
    </row>
    <row r="76" customFormat="false" ht="23" hidden="false" customHeight="true" outlineLevel="0" collapsed="false">
      <c r="A76" s="1"/>
      <c r="B76" s="1"/>
      <c r="C76" s="1" t="s">
        <v>283</v>
      </c>
      <c r="D76" s="39" t="n">
        <f aca="false">D15+D16</f>
        <v>0</v>
      </c>
      <c r="E76" s="39" t="n">
        <f aca="false">E15+E16</f>
        <v>8</v>
      </c>
      <c r="F76" s="39" t="n">
        <f aca="false">F15+F16</f>
        <v>22</v>
      </c>
      <c r="G76" s="39" t="n">
        <f aca="false">G15+G16</f>
        <v>45</v>
      </c>
      <c r="H76" s="39" t="n">
        <f aca="false">H15+H16</f>
        <v>88</v>
      </c>
      <c r="I76" s="1"/>
      <c r="J76" s="1"/>
    </row>
    <row r="77" customFormat="false" ht="23" hidden="false" customHeight="true" outlineLevel="0" collapsed="false">
      <c r="A77" s="1"/>
      <c r="B77" s="1"/>
      <c r="C77" s="1" t="s">
        <v>284</v>
      </c>
      <c r="D77" s="33" t="n">
        <f aca="false">IF(D76=0,0,IF(D17=0,"n.a.",IF(Допускания!$D$48=0,ROUNDUP(D76/D17,0),IF(D76*Допускания!$D$48&gt;=D17,"n.a.",ROUNDUP(LN(1-D76*Допускания!$D$48/D17)/LN(1-Допускания!$D$48),0)))))</f>
        <v>0</v>
      </c>
      <c r="E77" s="33" t="n">
        <f aca="false">IF(E76=0,0,IF(E17=0,"n.a.",IF(Допускания!$D$48=0,ROUNDUP(E76/E17,0),IF(E76*Допускания!$D$48&gt;=E17,"n.a.",ROUNDUP(LN(1-E76*Допускания!$D$48/E17)/LN(1-Допускания!$D$48),0)))))</f>
        <v>5</v>
      </c>
      <c r="F77" s="33" t="n">
        <f aca="false">IF(F76=0,0,IF(F17=0,"n.a.",IF(Допускания!$D$48=0,ROUNDUP(F76/F17,0),IF(F76*Допускания!$D$48&gt;=F17,"n.a.",ROUNDUP(LN(1-F76*Допускания!$D$48/F17)/LN(1-Допускания!$D$48),0)))))</f>
        <v>6</v>
      </c>
      <c r="G77" s="33" t="n">
        <f aca="false">IF(G76=0,0,IF(G17=0,"n.a.",IF(Допускания!$D$48=0,ROUNDUP(G76/G17,0),IF(G76*Допускания!$D$48&gt;=G17,"n.a.",ROUNDUP(LN(1-G76*Допускания!$D$48/G17)/LN(1-Допускания!$D$48),0)))))</f>
        <v>9</v>
      </c>
      <c r="H77" s="33" t="n">
        <f aca="false">IF(H76=0,0,IF(H17=0,"n.a.",IF(Допускания!$D$48=0,ROUNDUP(H76/H17,0),IF(H76*Допускания!$D$48&gt;=H17,"n.a.",ROUNDUP(LN(1-H76*Допускания!$D$48/H17)/LN(1-Допускания!$D$48),0)))))</f>
        <v>13</v>
      </c>
      <c r="I77" s="1"/>
      <c r="J77" s="1" t="s">
        <v>285</v>
      </c>
    </row>
    <row r="78" customFormat="false" ht="23" hidden="false" customHeight="true" outlineLevel="0" collapsed="false">
      <c r="A78" s="1"/>
      <c r="B78" s="1"/>
      <c r="C78" s="42" t="s">
        <v>286</v>
      </c>
      <c r="D78" s="44" t="n">
        <f aca="false">(1-Допускания!$D$48)^12</f>
        <v>0.7847167237348</v>
      </c>
      <c r="E78" s="44" t="n">
        <f aca="false">(1-Допускания!$D$48)^12</f>
        <v>0.7847167237348</v>
      </c>
      <c r="F78" s="44" t="n">
        <f aca="false">(1-Допускания!$D$48)^12</f>
        <v>0.7847167237348</v>
      </c>
      <c r="G78" s="44" t="n">
        <f aca="false">(1-Допускания!$D$48)^12</f>
        <v>0.7847167237348</v>
      </c>
      <c r="H78" s="44" t="n">
        <f aca="false">(1-Допускания!$D$48)^12</f>
        <v>0.7847167237348</v>
      </c>
      <c r="I78" s="1"/>
      <c r="J78" s="1"/>
    </row>
    <row r="79" customFormat="false" ht="23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customFormat="false" ht="23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customFormat="false" ht="23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customFormat="false" ht="23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E93B0"/>
    <pageSetUpPr fitToPage="false"/>
  </sheetPr>
  <dimension ref="A1:L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1"/>
    <col collapsed="false" customWidth="true" hidden="false" outlineLevel="0" max="8" min="4" style="0" width="17"/>
    <col collapsed="false" customWidth="true" hidden="false" outlineLevel="0" max="9" min="9" style="0" width="3"/>
    <col collapsed="false" customWidth="true" hidden="false" outlineLevel="0" max="10" min="10" style="0" width="66"/>
    <col collapsed="false" customWidth="true" hidden="false" outlineLevel="0" max="11" min="11" style="0" width="15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9" hidden="false" customHeight="true" outlineLevel="0" collapsed="false">
      <c r="A2" s="2"/>
      <c r="B2" s="1"/>
      <c r="C2" s="2" t="s">
        <v>287</v>
      </c>
      <c r="D2" s="1"/>
      <c r="E2" s="1"/>
      <c r="F2" s="1"/>
      <c r="G2" s="1"/>
      <c r="H2" s="1"/>
      <c r="I2" s="1"/>
      <c r="J2" s="1"/>
      <c r="K2" s="1"/>
    </row>
    <row r="3" customFormat="false" ht="23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45"/>
    </row>
    <row r="4" customFormat="false" ht="23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23" hidden="false" customHeight="true" outlineLevel="0" collapsed="false">
      <c r="A5" s="1"/>
      <c r="B5" s="1"/>
      <c r="C5" s="1" t="s">
        <v>220</v>
      </c>
      <c r="D5" s="28" t="n">
        <v>2</v>
      </c>
      <c r="E5" s="1"/>
      <c r="F5" s="13" t="str">
        <f aca="false">IF(D5=1,"Каталог","PLANNED Growth")</f>
        <v>PLANNED Growth</v>
      </c>
      <c r="G5" s="1"/>
      <c r="H5" s="1"/>
      <c r="I5" s="1"/>
      <c r="J5" s="1" t="s">
        <v>288</v>
      </c>
      <c r="K5" s="1"/>
    </row>
    <row r="6" customFormat="false" ht="23" hidden="false" customHeight="true" outlineLevel="0" collapsed="false">
      <c r="A6" s="1"/>
      <c r="B6" s="1"/>
      <c r="C6" s="1" t="s">
        <v>289</v>
      </c>
      <c r="D6" s="46" t="n">
        <v>46286</v>
      </c>
      <c r="E6" s="1"/>
      <c r="F6" s="1"/>
      <c r="G6" s="1"/>
      <c r="H6" s="1"/>
      <c r="I6" s="1"/>
      <c r="J6" s="1" t="s">
        <v>290</v>
      </c>
      <c r="K6" s="1"/>
    </row>
    <row r="7" customFormat="false" ht="23" hidden="false" customHeight="true" outlineLevel="0" collapsed="false">
      <c r="A7" s="1"/>
      <c r="B7" s="1"/>
      <c r="C7" s="1" t="s">
        <v>291</v>
      </c>
      <c r="D7" s="46" t="n">
        <f aca="true">TODAY()</f>
        <v>46282</v>
      </c>
      <c r="E7" s="1"/>
      <c r="F7" s="1"/>
      <c r="G7" s="1"/>
      <c r="H7" s="1"/>
      <c r="I7" s="1"/>
      <c r="J7" s="1" t="s">
        <v>292</v>
      </c>
      <c r="K7" s="1"/>
    </row>
    <row r="8" customFormat="false" ht="23" hidden="false" customHeight="true" outlineLevel="0" collapsed="false">
      <c r="A8" s="1"/>
      <c r="B8" s="1"/>
      <c r="C8" s="1" t="s">
        <v>293</v>
      </c>
      <c r="D8" s="29" t="n">
        <v>30000</v>
      </c>
      <c r="E8" s="1"/>
      <c r="F8" s="1"/>
      <c r="G8" s="1"/>
      <c r="H8" s="1"/>
      <c r="I8" s="1"/>
      <c r="J8" s="1" t="s">
        <v>294</v>
      </c>
      <c r="K8" s="1"/>
    </row>
    <row r="9" customFormat="false" ht="23" hidden="false" customHeight="true" outlineLevel="0" collapsed="false">
      <c r="A9" s="1"/>
      <c r="B9" s="1"/>
      <c r="C9" s="1" t="s">
        <v>295</v>
      </c>
      <c r="D9" s="29" t="n">
        <v>15000</v>
      </c>
      <c r="E9" s="1"/>
      <c r="F9" s="1"/>
      <c r="G9" s="1"/>
      <c r="H9" s="1"/>
      <c r="I9" s="1"/>
      <c r="J9" s="1" t="s">
        <v>296</v>
      </c>
      <c r="K9" s="1"/>
    </row>
    <row r="10" customFormat="false" ht="23" hidden="false" customHeight="true" outlineLevel="0" collapsed="false">
      <c r="A10" s="1"/>
      <c r="B10" s="1"/>
      <c r="C10" s="1" t="s">
        <v>297</v>
      </c>
      <c r="D10" s="47" t="n">
        <v>0.25</v>
      </c>
      <c r="E10" s="1"/>
      <c r="F10" s="1"/>
      <c r="G10" s="1"/>
      <c r="H10" s="1"/>
      <c r="I10" s="1"/>
      <c r="J10" s="1" t="s">
        <v>298</v>
      </c>
      <c r="K10" s="1"/>
    </row>
    <row r="11" customFormat="false" ht="23" hidden="false" customHeight="true" outlineLevel="0" collapsed="false">
      <c r="A11" s="1"/>
      <c r="B11" s="1"/>
      <c r="C11" s="1" t="s">
        <v>299</v>
      </c>
      <c r="D11" s="47" t="n">
        <v>0.9</v>
      </c>
      <c r="E11" s="1"/>
      <c r="F11" s="1"/>
      <c r="G11" s="1"/>
      <c r="H11" s="1"/>
      <c r="I11" s="1"/>
      <c r="J11" s="1" t="s">
        <v>300</v>
      </c>
      <c r="K11" s="1"/>
    </row>
    <row r="12" customFormat="false" ht="23" hidden="false" customHeight="true" outlineLevel="0" collapsed="false">
      <c r="A12" s="1"/>
      <c r="B12" s="1"/>
      <c r="C12" s="1" t="s">
        <v>301</v>
      </c>
      <c r="D12" s="28" t="n">
        <v>3</v>
      </c>
      <c r="E12" s="1"/>
      <c r="F12" s="1"/>
      <c r="G12" s="1"/>
      <c r="H12" s="1"/>
      <c r="I12" s="1"/>
      <c r="J12" s="1" t="s">
        <v>302</v>
      </c>
      <c r="K12" s="1"/>
    </row>
    <row r="13" customFormat="false" ht="23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customFormat="false" ht="37" hidden="false" customHeight="true" outlineLevel="0" collapsed="false">
      <c r="A14" s="1"/>
      <c r="B14" s="1"/>
      <c r="C14" s="6" t="s">
        <v>303</v>
      </c>
      <c r="D14" s="6" t="s">
        <v>304</v>
      </c>
      <c r="E14" s="1"/>
      <c r="F14" s="1"/>
      <c r="G14" s="1"/>
      <c r="H14" s="1"/>
      <c r="I14" s="1"/>
      <c r="J14" s="1" t="s">
        <v>305</v>
      </c>
      <c r="K14" s="1"/>
    </row>
    <row r="15" customFormat="false" ht="23" hidden="false" customHeight="true" outlineLevel="0" collapsed="false">
      <c r="A15" s="1"/>
      <c r="B15" s="1"/>
      <c r="C15" s="1" t="s">
        <v>306</v>
      </c>
      <c r="D15" s="28" t="n">
        <v>450</v>
      </c>
      <c r="E15" s="1"/>
      <c r="F15" s="1"/>
      <c r="G15" s="1"/>
      <c r="H15" s="1"/>
      <c r="I15" s="1"/>
      <c r="J15" s="1" t="s">
        <v>307</v>
      </c>
      <c r="K15" s="1"/>
    </row>
    <row r="16" customFormat="false" ht="23" hidden="false" customHeight="true" outlineLevel="0" collapsed="false">
      <c r="A16" s="1"/>
      <c r="B16" s="1"/>
      <c r="C16" s="1" t="s">
        <v>308</v>
      </c>
      <c r="D16" s="28" t="n">
        <v>40</v>
      </c>
      <c r="E16" s="1"/>
      <c r="F16" s="1"/>
      <c r="G16" s="1"/>
      <c r="H16" s="1"/>
      <c r="I16" s="1"/>
      <c r="J16" s="5" t="str">
        <f aca="false">HYPERLINK("https://github.com/PreslavBlazhev/Bulgaria-Digital-Services/blob/4e364d88adb45a25519b03710624bd96f7425450/website/PRICES%20AND%20PACKETS/%D0%A6%D0%B5%D0%BD%D0%B8%20%D0%B7%D0%B0%20%D1%81%D0%B0%D0%B9%D1%82%D0%BE%D0%B2%D0%B5%20%D0%B8%20%D1%82%D1%8F%D1%85%D0%BD%D0%B0%D1%82%D0%B0%20%D0%BF%D0%BE%D0%B4%D0%B4%D1%80%D1%8A%D0%B6%D0%BA%D0%B0.txt","S03 Официални цени сайтове")</f>
        <v>S03 Официални цени сайтове</v>
      </c>
      <c r="K16" s="1"/>
    </row>
    <row r="17" customFormat="false" ht="23" hidden="false" customHeight="true" outlineLevel="0" collapsed="false">
      <c r="A17" s="1"/>
      <c r="B17" s="1"/>
      <c r="C17" s="1" t="s">
        <v>309</v>
      </c>
      <c r="D17" s="28" t="n">
        <v>50</v>
      </c>
      <c r="E17" s="1"/>
      <c r="F17" s="1"/>
      <c r="G17" s="1"/>
      <c r="H17" s="1"/>
      <c r="I17" s="1"/>
      <c r="J17" s="5" t="str">
        <f aca="false">HYPERLINK("https://github.com/PreslavBlazhev/Bulgaria-Digital-Services/blob/4e364d88adb45a25519b03710624bd96f7425450/website/PRICES%20AND%20PACKETS/%D0%A6%D0%B5%D0%BD%D0%B8%20%D0%B7%D0%B0%20%D0%A1%D0%B8%D1%81%D1%82%D0%B5%D0%BC%D0%B8%20%D0%B8%20%D1%81%D0%BF%D0%B8%D1%81%D1%8A%D0%BA%20%D1%81%20%D1%84%D1%83%D0%BD%D0%BA%D1%86%D0%B8%D0%B8.txt","S04 Официални цени системи")</f>
        <v>S04 Официални цени системи</v>
      </c>
      <c r="K17" s="1"/>
    </row>
    <row r="18" customFormat="false" ht="23" hidden="false" customHeight="true" outlineLevel="0" collapsed="false">
      <c r="A18" s="1"/>
      <c r="B18" s="1"/>
      <c r="C18" s="1" t="s">
        <v>310</v>
      </c>
      <c r="D18" s="28" t="n">
        <v>250</v>
      </c>
      <c r="E18" s="1"/>
      <c r="F18" s="1"/>
      <c r="G18" s="1"/>
      <c r="H18" s="1"/>
      <c r="I18" s="1"/>
      <c r="J18" s="1" t="s">
        <v>311</v>
      </c>
      <c r="K18" s="1"/>
    </row>
    <row r="19" customFormat="false" ht="23" hidden="false" customHeight="true" outlineLevel="0" collapsed="false">
      <c r="A19" s="1"/>
      <c r="B19" s="1"/>
      <c r="C19" s="1" t="s">
        <v>312</v>
      </c>
      <c r="D19" s="28" t="n">
        <v>400</v>
      </c>
      <c r="E19" s="1"/>
      <c r="F19" s="1"/>
      <c r="G19" s="1"/>
      <c r="H19" s="1"/>
      <c r="I19" s="1"/>
      <c r="J19" s="1" t="s">
        <v>311</v>
      </c>
      <c r="K19" s="1"/>
    </row>
    <row r="20" customFormat="false" ht="23" hidden="false" customHeight="true" outlineLevel="0" collapsed="false">
      <c r="A20" s="1"/>
      <c r="B20" s="1"/>
      <c r="C20" s="1" t="s">
        <v>313</v>
      </c>
      <c r="D20" s="30" t="n">
        <v>8</v>
      </c>
      <c r="E20" s="1"/>
      <c r="F20" s="1"/>
      <c r="G20" s="1"/>
      <c r="H20" s="1"/>
      <c r="I20" s="1"/>
      <c r="J20" s="1" t="s">
        <v>314</v>
      </c>
      <c r="K20" s="1"/>
    </row>
    <row r="21" customFormat="false" ht="23" hidden="false" customHeight="true" outlineLevel="0" collapsed="false">
      <c r="A21" s="1"/>
      <c r="B21" s="1"/>
      <c r="C21" s="1" t="s">
        <v>315</v>
      </c>
      <c r="D21" s="30" t="n">
        <v>0.3</v>
      </c>
      <c r="E21" s="1"/>
      <c r="F21" s="1"/>
      <c r="G21" s="1"/>
      <c r="H21" s="1"/>
      <c r="I21" s="1"/>
      <c r="J21" s="1" t="s">
        <v>316</v>
      </c>
      <c r="K21" s="1"/>
    </row>
    <row r="22" customFormat="false" ht="23" hidden="false" customHeight="true" outlineLevel="0" collapsed="false">
      <c r="A22" s="1"/>
      <c r="B22" s="1"/>
      <c r="C22" s="1" t="s">
        <v>317</v>
      </c>
      <c r="D22" s="30" t="n">
        <v>0.7</v>
      </c>
      <c r="E22" s="1"/>
      <c r="F22" s="1"/>
      <c r="G22" s="1"/>
      <c r="H22" s="1"/>
      <c r="I22" s="1"/>
      <c r="J22" s="1" t="s">
        <v>316</v>
      </c>
      <c r="K22" s="1"/>
    </row>
    <row r="23" customFormat="false" ht="23" hidden="false" customHeight="true" outlineLevel="0" collapsed="false">
      <c r="A23" s="1"/>
      <c r="B23" s="1"/>
      <c r="C23" s="1" t="s">
        <v>318</v>
      </c>
      <c r="D23" s="30" t="n">
        <v>2</v>
      </c>
      <c r="E23" s="1"/>
      <c r="F23" s="1"/>
      <c r="G23" s="1"/>
      <c r="H23" s="1"/>
      <c r="I23" s="1"/>
      <c r="J23" s="1" t="s">
        <v>319</v>
      </c>
      <c r="K23" s="1"/>
    </row>
    <row r="24" customFormat="false" ht="23" hidden="false" customHeight="true" outlineLevel="0" collapsed="false">
      <c r="A24" s="1"/>
      <c r="B24" s="1"/>
      <c r="C24" s="1" t="s">
        <v>320</v>
      </c>
      <c r="D24" s="30" t="n">
        <v>3</v>
      </c>
      <c r="E24" s="1"/>
      <c r="F24" s="1"/>
      <c r="G24" s="1"/>
      <c r="H24" s="1"/>
      <c r="I24" s="1"/>
      <c r="J24" s="1" t="s">
        <v>319</v>
      </c>
      <c r="K24" s="1"/>
    </row>
    <row r="25" customFormat="false" ht="23" hidden="false" customHeight="true" outlineLevel="0" collapsed="false">
      <c r="A25" s="1"/>
      <c r="B25" s="1"/>
      <c r="C25" s="1" t="s">
        <v>321</v>
      </c>
      <c r="D25" s="30" t="n">
        <v>3</v>
      </c>
      <c r="E25" s="1"/>
      <c r="F25" s="1"/>
      <c r="G25" s="1"/>
      <c r="H25" s="1"/>
      <c r="I25" s="1"/>
      <c r="J25" s="1" t="s">
        <v>322</v>
      </c>
      <c r="K25" s="1"/>
    </row>
    <row r="26" customFormat="false" ht="23" hidden="false" customHeight="true" outlineLevel="0" collapsed="false">
      <c r="A26" s="1"/>
      <c r="B26" s="1"/>
      <c r="C26" s="1" t="s">
        <v>323</v>
      </c>
      <c r="D26" s="30" t="n">
        <v>25</v>
      </c>
      <c r="E26" s="1"/>
      <c r="F26" s="1"/>
      <c r="G26" s="1"/>
      <c r="H26" s="1"/>
      <c r="I26" s="1"/>
      <c r="J26" s="1" t="s">
        <v>324</v>
      </c>
      <c r="K26" s="1"/>
    </row>
    <row r="27" customFormat="false" ht="23" hidden="false" customHeight="true" outlineLevel="0" collapsed="false">
      <c r="A27" s="1"/>
      <c r="B27" s="1"/>
      <c r="C27" s="1" t="s">
        <v>325</v>
      </c>
      <c r="D27" s="30" t="n">
        <v>20</v>
      </c>
      <c r="E27" s="1"/>
      <c r="F27" s="1"/>
      <c r="G27" s="1"/>
      <c r="H27" s="1"/>
      <c r="I27" s="1"/>
      <c r="J27" s="1" t="s">
        <v>324</v>
      </c>
      <c r="K27" s="1"/>
    </row>
    <row r="28" customFormat="false" ht="23" hidden="false" customHeight="true" outlineLevel="0" collapsed="false">
      <c r="A28" s="1"/>
      <c r="B28" s="1"/>
      <c r="C28" s="1" t="s">
        <v>326</v>
      </c>
      <c r="D28" s="30" t="n">
        <v>30</v>
      </c>
      <c r="E28" s="1"/>
      <c r="F28" s="1"/>
      <c r="G28" s="1"/>
      <c r="H28" s="1"/>
      <c r="I28" s="1"/>
      <c r="J28" s="1" t="s">
        <v>324</v>
      </c>
      <c r="K28" s="1"/>
    </row>
    <row r="29" customFormat="false" ht="23" hidden="false" customHeight="true" outlineLevel="0" collapsed="false">
      <c r="A29" s="1"/>
      <c r="B29" s="1"/>
      <c r="C29" s="1" t="s">
        <v>327</v>
      </c>
      <c r="D29" s="30" t="n">
        <v>4</v>
      </c>
      <c r="E29" s="1"/>
      <c r="F29" s="1"/>
      <c r="G29" s="1"/>
      <c r="H29" s="1"/>
      <c r="I29" s="1"/>
      <c r="J29" s="1" t="s">
        <v>328</v>
      </c>
      <c r="K29" s="1"/>
    </row>
    <row r="30" customFormat="false" ht="23" hidden="false" customHeight="true" outlineLevel="0" collapsed="false">
      <c r="A30" s="1"/>
      <c r="B30" s="1"/>
      <c r="C30" s="1" t="s">
        <v>329</v>
      </c>
      <c r="D30" s="30" t="n">
        <v>12</v>
      </c>
      <c r="E30" s="1"/>
      <c r="F30" s="1"/>
      <c r="G30" s="1"/>
      <c r="H30" s="1"/>
      <c r="I30" s="1"/>
      <c r="J30" s="1" t="s">
        <v>328</v>
      </c>
      <c r="K30" s="1"/>
    </row>
    <row r="31" customFormat="false" ht="23" hidden="false" customHeight="true" outlineLevel="0" collapsed="false">
      <c r="A31" s="1"/>
      <c r="B31" s="1"/>
      <c r="C31" s="1" t="s">
        <v>330</v>
      </c>
      <c r="D31" s="30" t="n">
        <v>5</v>
      </c>
      <c r="E31" s="1"/>
      <c r="F31" s="1"/>
      <c r="G31" s="1"/>
      <c r="H31" s="1"/>
      <c r="I31" s="1"/>
      <c r="J31" s="1" t="s">
        <v>331</v>
      </c>
      <c r="K31" s="1"/>
    </row>
    <row r="32" customFormat="false" ht="23" hidden="false" customHeight="true" outlineLevel="0" collapsed="false">
      <c r="A32" s="1"/>
      <c r="B32" s="1"/>
      <c r="C32" s="1" t="s">
        <v>332</v>
      </c>
      <c r="D32" s="30" t="n">
        <v>15</v>
      </c>
      <c r="E32" s="1"/>
      <c r="F32" s="1"/>
      <c r="G32" s="1"/>
      <c r="H32" s="1"/>
      <c r="I32" s="1"/>
      <c r="J32" s="1" t="s">
        <v>331</v>
      </c>
      <c r="K32" s="1"/>
    </row>
    <row r="33" customFormat="false" ht="23" hidden="false" customHeight="true" outlineLevel="0" collapsed="false">
      <c r="A33" s="1"/>
      <c r="B33" s="1"/>
      <c r="C33" s="1" t="s">
        <v>333</v>
      </c>
      <c r="D33" s="30" t="n">
        <v>10</v>
      </c>
      <c r="E33" s="1"/>
      <c r="F33" s="1"/>
      <c r="G33" s="1"/>
      <c r="H33" s="1"/>
      <c r="I33" s="1"/>
      <c r="J33" s="1" t="s">
        <v>328</v>
      </c>
      <c r="K33" s="1"/>
    </row>
    <row r="34" customFormat="false" ht="23" hidden="false" customHeight="true" outlineLevel="0" collapsed="false">
      <c r="A34" s="1"/>
      <c r="B34" s="1"/>
      <c r="C34" s="1" t="s">
        <v>334</v>
      </c>
      <c r="D34" s="30" t="n">
        <v>20</v>
      </c>
      <c r="E34" s="1"/>
      <c r="F34" s="1"/>
      <c r="G34" s="1"/>
      <c r="H34" s="1"/>
      <c r="I34" s="1"/>
      <c r="J34" s="1" t="s">
        <v>328</v>
      </c>
      <c r="K34" s="1"/>
    </row>
    <row r="35" customFormat="false" ht="23" hidden="false" customHeight="true" outlineLevel="0" collapsed="false">
      <c r="A35" s="1"/>
      <c r="B35" s="1"/>
      <c r="C35" s="1" t="s">
        <v>335</v>
      </c>
      <c r="D35" s="47" t="n">
        <v>0.25</v>
      </c>
      <c r="E35" s="1"/>
      <c r="F35" s="1"/>
      <c r="G35" s="1"/>
      <c r="H35" s="1"/>
      <c r="I35" s="1"/>
      <c r="J35" s="1" t="s">
        <v>336</v>
      </c>
      <c r="K35" s="1"/>
    </row>
    <row r="36" customFormat="false" ht="23" hidden="false" customHeight="true" outlineLevel="0" collapsed="false">
      <c r="A36" s="1"/>
      <c r="B36" s="1"/>
      <c r="C36" s="1" t="s">
        <v>337</v>
      </c>
      <c r="D36" s="47" t="n">
        <v>0.75</v>
      </c>
      <c r="E36" s="1"/>
      <c r="F36" s="1"/>
      <c r="G36" s="1"/>
      <c r="H36" s="1"/>
      <c r="I36" s="1"/>
      <c r="J36" s="1" t="s">
        <v>338</v>
      </c>
      <c r="K36" s="1"/>
    </row>
    <row r="37" customFormat="false" ht="23" hidden="false" customHeight="true" outlineLevel="0" collapsed="false">
      <c r="A37" s="1"/>
      <c r="B37" s="1"/>
      <c r="C37" s="1" t="s">
        <v>339</v>
      </c>
      <c r="D37" s="47" t="n">
        <v>0.8</v>
      </c>
      <c r="E37" s="1"/>
      <c r="F37" s="1"/>
      <c r="G37" s="1"/>
      <c r="H37" s="1"/>
      <c r="I37" s="1"/>
      <c r="J37" s="1" t="s">
        <v>338</v>
      </c>
      <c r="K37" s="1"/>
    </row>
    <row r="38" customFormat="false" ht="23" hidden="false" customHeight="true" outlineLevel="0" collapsed="false">
      <c r="A38" s="1"/>
      <c r="B38" s="1"/>
      <c r="C38" s="1" t="s">
        <v>340</v>
      </c>
      <c r="D38" s="47" t="n">
        <v>0.25</v>
      </c>
      <c r="E38" s="1"/>
      <c r="F38" s="1"/>
      <c r="G38" s="1"/>
      <c r="H38" s="1"/>
      <c r="I38" s="1"/>
      <c r="J38" s="1" t="s">
        <v>338</v>
      </c>
      <c r="K38" s="1"/>
    </row>
    <row r="39" customFormat="false" ht="23" hidden="false" customHeight="true" outlineLevel="0" collapsed="false">
      <c r="A39" s="1"/>
      <c r="B39" s="1"/>
      <c r="C39" s="1" t="s">
        <v>341</v>
      </c>
      <c r="D39" s="47" t="n">
        <v>0.4</v>
      </c>
      <c r="E39" s="1"/>
      <c r="F39" s="1"/>
      <c r="G39" s="1"/>
      <c r="H39" s="1"/>
      <c r="I39" s="1"/>
      <c r="J39" s="1" t="s">
        <v>338</v>
      </c>
      <c r="K39" s="1"/>
    </row>
    <row r="40" customFormat="false" ht="23" hidden="false" customHeight="true" outlineLevel="0" collapsed="false">
      <c r="A40" s="1"/>
      <c r="B40" s="1"/>
      <c r="C40" s="1" t="s">
        <v>342</v>
      </c>
      <c r="D40" s="47" t="n">
        <v>0.6</v>
      </c>
      <c r="E40" s="1"/>
      <c r="F40" s="1"/>
      <c r="G40" s="1"/>
      <c r="H40" s="1"/>
      <c r="I40" s="1"/>
      <c r="J40" s="1" t="s">
        <v>338</v>
      </c>
      <c r="K40" s="1"/>
    </row>
    <row r="41" customFormat="false" ht="23" hidden="false" customHeight="true" outlineLevel="0" collapsed="false">
      <c r="A41" s="1"/>
      <c r="B41" s="1"/>
      <c r="C41" s="1" t="s">
        <v>343</v>
      </c>
      <c r="D41" s="28" t="n">
        <v>2</v>
      </c>
      <c r="E41" s="1"/>
      <c r="F41" s="1"/>
      <c r="G41" s="1"/>
      <c r="H41" s="1"/>
      <c r="I41" s="1"/>
      <c r="J41" s="1" t="s">
        <v>344</v>
      </c>
      <c r="K41" s="1"/>
    </row>
    <row r="42" customFormat="false" ht="23" hidden="false" customHeight="true" outlineLevel="0" collapsed="false">
      <c r="A42" s="1"/>
      <c r="B42" s="1"/>
      <c r="C42" s="1" t="s">
        <v>345</v>
      </c>
      <c r="D42" s="28" t="n">
        <v>0.05</v>
      </c>
      <c r="E42" s="1"/>
      <c r="F42" s="1"/>
      <c r="G42" s="1"/>
      <c r="H42" s="1"/>
      <c r="I42" s="1"/>
      <c r="J42" s="1" t="s">
        <v>338</v>
      </c>
      <c r="K42" s="1"/>
    </row>
    <row r="43" customFormat="false" ht="23" hidden="false" customHeight="true" outlineLevel="0" collapsed="false">
      <c r="A43" s="1"/>
      <c r="B43" s="1"/>
      <c r="C43" s="1" t="s">
        <v>346</v>
      </c>
      <c r="D43" s="28" t="n">
        <v>0.05</v>
      </c>
      <c r="E43" s="1"/>
      <c r="F43" s="1"/>
      <c r="G43" s="1"/>
      <c r="H43" s="1"/>
      <c r="I43" s="1"/>
      <c r="J43" s="1" t="s">
        <v>338</v>
      </c>
      <c r="K43" s="1"/>
    </row>
    <row r="44" customFormat="false" ht="23" hidden="false" customHeight="true" outlineLevel="0" collapsed="false">
      <c r="A44" s="1"/>
      <c r="B44" s="1"/>
      <c r="C44" s="1" t="s">
        <v>347</v>
      </c>
      <c r="D44" s="28" t="n">
        <v>0.75</v>
      </c>
      <c r="E44" s="1"/>
      <c r="F44" s="1"/>
      <c r="G44" s="1"/>
      <c r="H44" s="1"/>
      <c r="I44" s="1"/>
      <c r="J44" s="1" t="s">
        <v>338</v>
      </c>
      <c r="K44" s="1"/>
    </row>
    <row r="45" customFormat="false" ht="23" hidden="false" customHeight="true" outlineLevel="0" collapsed="false">
      <c r="A45" s="1"/>
      <c r="B45" s="1"/>
      <c r="C45" s="1" t="s">
        <v>348</v>
      </c>
      <c r="D45" s="28" t="n">
        <v>0.75</v>
      </c>
      <c r="E45" s="1"/>
      <c r="F45" s="1"/>
      <c r="G45" s="1"/>
      <c r="H45" s="1"/>
      <c r="I45" s="1"/>
      <c r="J45" s="1" t="s">
        <v>338</v>
      </c>
      <c r="K45" s="1"/>
    </row>
    <row r="46" customFormat="false" ht="23" hidden="false" customHeight="true" outlineLevel="0" collapsed="false">
      <c r="A46" s="1"/>
      <c r="B46" s="1"/>
      <c r="C46" s="1" t="s">
        <v>349</v>
      </c>
      <c r="D46" s="28" t="n">
        <v>100</v>
      </c>
      <c r="E46" s="1"/>
      <c r="F46" s="1"/>
      <c r="G46" s="1"/>
      <c r="H46" s="1"/>
      <c r="I46" s="1"/>
      <c r="J46" s="1" t="s">
        <v>350</v>
      </c>
      <c r="K46" s="1"/>
    </row>
    <row r="47" customFormat="false" ht="23" hidden="false" customHeight="true" outlineLevel="0" collapsed="false">
      <c r="A47" s="1"/>
      <c r="B47" s="1"/>
      <c r="C47" s="1" t="s">
        <v>351</v>
      </c>
      <c r="D47" s="47" t="n">
        <v>0.5</v>
      </c>
      <c r="E47" s="1"/>
      <c r="F47" s="1"/>
      <c r="G47" s="1"/>
      <c r="H47" s="1"/>
      <c r="I47" s="1"/>
      <c r="J47" s="1" t="s">
        <v>352</v>
      </c>
      <c r="K47" s="1"/>
    </row>
    <row r="48" customFormat="false" ht="23" hidden="false" customHeight="true" outlineLevel="0" collapsed="false">
      <c r="A48" s="1"/>
      <c r="B48" s="1"/>
      <c r="C48" s="1" t="s">
        <v>353</v>
      </c>
      <c r="D48" s="47" t="n">
        <v>0.02</v>
      </c>
      <c r="E48" s="1"/>
      <c r="F48" s="1"/>
      <c r="G48" s="1"/>
      <c r="H48" s="1"/>
      <c r="I48" s="1"/>
      <c r="J48" s="1" t="s">
        <v>354</v>
      </c>
      <c r="K48" s="1"/>
    </row>
    <row r="49" customFormat="false" ht="23" hidden="false" customHeight="true" outlineLevel="0" collapsed="false">
      <c r="A49" s="1"/>
      <c r="B49" s="1"/>
      <c r="C49" s="1" t="s">
        <v>355</v>
      </c>
      <c r="D49" s="47" t="n">
        <v>0.01</v>
      </c>
      <c r="E49" s="1"/>
      <c r="F49" s="1"/>
      <c r="G49" s="1"/>
      <c r="H49" s="1"/>
      <c r="I49" s="1"/>
      <c r="J49" s="1" t="s">
        <v>356</v>
      </c>
      <c r="K49" s="1"/>
    </row>
    <row r="50" customFormat="false" ht="23" hidden="false" customHeight="true" outlineLevel="0" collapsed="false">
      <c r="A50" s="1"/>
      <c r="B50" s="1"/>
      <c r="C50" s="1" t="s">
        <v>357</v>
      </c>
      <c r="D50" s="28" t="n">
        <v>4.33333333333333</v>
      </c>
      <c r="E50" s="1"/>
      <c r="F50" s="1"/>
      <c r="G50" s="1"/>
      <c r="H50" s="1"/>
      <c r="I50" s="1"/>
      <c r="J50" s="1" t="s">
        <v>358</v>
      </c>
      <c r="K50" s="1"/>
    </row>
    <row r="51" customFormat="false" ht="23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customFormat="false" ht="23" hidden="false" customHeight="true" outlineLevel="0" collapsed="false">
      <c r="A52" s="1"/>
      <c r="B52" s="1"/>
      <c r="C52" s="1" t="s">
        <v>359</v>
      </c>
      <c r="D52" s="1"/>
      <c r="E52" s="1"/>
      <c r="F52" s="1"/>
      <c r="G52" s="1"/>
      <c r="H52" s="1"/>
      <c r="I52" s="1"/>
      <c r="J52" s="1"/>
      <c r="K52" s="1"/>
    </row>
    <row r="53" customFormat="false" ht="23" hidden="false" customHeight="true" outlineLevel="0" collapsed="false">
      <c r="A53" s="1"/>
      <c r="B53" s="1"/>
      <c r="C53" s="1" t="s">
        <v>360</v>
      </c>
      <c r="D53" s="1"/>
      <c r="E53" s="1"/>
      <c r="F53" s="1"/>
      <c r="G53" s="1"/>
      <c r="H53" s="1"/>
      <c r="I53" s="1"/>
      <c r="J53" s="1"/>
      <c r="K53" s="1"/>
    </row>
    <row r="54" customFormat="false" ht="23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customFormat="false" ht="37" hidden="false" customHeight="true" outlineLevel="0" collapsed="false">
      <c r="A55" s="1"/>
      <c r="B55" s="1"/>
      <c r="C55" s="6" t="s">
        <v>361</v>
      </c>
      <c r="D55" s="31" t="n">
        <v>5000</v>
      </c>
      <c r="E55" s="31" t="n">
        <v>10000</v>
      </c>
      <c r="F55" s="31" t="n">
        <v>20000</v>
      </c>
      <c r="G55" s="31" t="n">
        <v>30000</v>
      </c>
      <c r="H55" s="31" t="n">
        <v>50000</v>
      </c>
      <c r="I55" s="1"/>
      <c r="J55" s="1"/>
      <c r="K55" s="1"/>
    </row>
    <row r="56" customFormat="false" ht="23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customFormat="false" ht="23" hidden="false" customHeight="true" outlineLevel="0" collapsed="false">
      <c r="A57" s="1"/>
      <c r="B57" s="1"/>
      <c r="C57" s="32" t="s">
        <v>362</v>
      </c>
      <c r="D57" s="32" t="n">
        <f aca="false">IF(CHOOSE($D$5,ISNUMBER(D58),ISNUMBER(D59)),CHOOSE($D$5,D58,D59),"Липсва вход")</f>
        <v>4</v>
      </c>
      <c r="E57" s="32" t="n">
        <f aca="false">IF(CHOOSE($D$5,ISNUMBER(E58),ISNUMBER(E59)),CHOOSE($D$5,E58,E59),"Липсва вход")</f>
        <v>5</v>
      </c>
      <c r="F57" s="32" t="n">
        <f aca="false">IF(CHOOSE($D$5,ISNUMBER(F58),ISNUMBER(F59)),CHOOSE($D$5,F58,F59),"Липсва вход")</f>
        <v>5</v>
      </c>
      <c r="G57" s="32" t="n">
        <f aca="false">IF(CHOOSE($D$5,ISNUMBER(G58),ISNUMBER(G59)),CHOOSE($D$5,G58,G59),"Липсва вход")</f>
        <v>4</v>
      </c>
      <c r="H57" s="32" t="n">
        <f aca="false">IF(CHOOSE($D$5,ISNUMBER(H58),ISNUMBER(H59)),CHOOSE($D$5,H58,H59),"Липсва вход")</f>
        <v>0</v>
      </c>
      <c r="I57" s="1"/>
      <c r="J57" s="1"/>
      <c r="K57" s="1"/>
    </row>
    <row r="58" customFormat="false" ht="23" hidden="false" customHeight="true" outlineLevel="0" collapsed="false">
      <c r="A58" s="1"/>
      <c r="B58" s="1"/>
      <c r="C58" s="1" t="s">
        <v>363</v>
      </c>
      <c r="D58" s="28" t="n">
        <v>4</v>
      </c>
      <c r="E58" s="28" t="n">
        <v>5</v>
      </c>
      <c r="F58" s="28" t="n">
        <v>10</v>
      </c>
      <c r="G58" s="28" t="n">
        <v>10</v>
      </c>
      <c r="H58" s="28" t="n">
        <v>10</v>
      </c>
      <c r="I58" s="1"/>
      <c r="J58" s="1" t="s">
        <v>364</v>
      </c>
      <c r="K58" s="1"/>
    </row>
    <row r="59" customFormat="false" ht="23" hidden="false" customHeight="true" outlineLevel="0" collapsed="false">
      <c r="A59" s="1"/>
      <c r="B59" s="1"/>
      <c r="C59" s="1" t="s">
        <v>365</v>
      </c>
      <c r="D59" s="28" t="n">
        <v>4</v>
      </c>
      <c r="E59" s="28" t="n">
        <v>5</v>
      </c>
      <c r="F59" s="28" t="n">
        <v>5</v>
      </c>
      <c r="G59" s="28" t="n">
        <v>4</v>
      </c>
      <c r="H59" s="28" t="n">
        <v>0</v>
      </c>
      <c r="I59" s="1"/>
      <c r="J59" s="1"/>
      <c r="K59" s="1"/>
    </row>
    <row r="60" customFormat="false" ht="23" hidden="false" customHeight="true" outlineLevel="0" collapsed="false">
      <c r="A60" s="1"/>
      <c r="B60" s="1"/>
      <c r="C60" s="32" t="s">
        <v>366</v>
      </c>
      <c r="D60" s="32" t="n">
        <f aca="false">IF(CHOOSE($D$5,ISNUMBER(D61),ISNUMBER(D62)),CHOOSE($D$5,D61,D62),"Липсва вход")</f>
        <v>1</v>
      </c>
      <c r="E60" s="32" t="n">
        <f aca="false">IF(CHOOSE($D$5,ISNUMBER(E61),ISNUMBER(E62)),CHOOSE($D$5,E61,E62),"Липсва вход")</f>
        <v>2</v>
      </c>
      <c r="F60" s="32" t="n">
        <f aca="false">IF(CHOOSE($D$5,ISNUMBER(F61),ISNUMBER(F62)),CHOOSE($D$5,F61,F62),"Липсва вход")</f>
        <v>3</v>
      </c>
      <c r="G60" s="32" t="n">
        <f aca="false">IF(CHOOSE($D$5,ISNUMBER(G61),ISNUMBER(G62)),CHOOSE($D$5,G61,G62),"Липсва вход")</f>
        <v>3</v>
      </c>
      <c r="H60" s="32" t="n">
        <f aca="false">IF(CHOOSE($D$5,ISNUMBER(H61),ISNUMBER(H62)),CHOOSE($D$5,H61,H62),"Липсва вход")</f>
        <v>5</v>
      </c>
      <c r="I60" s="1"/>
      <c r="J60" s="1" t="s">
        <v>367</v>
      </c>
      <c r="K60" s="1"/>
    </row>
    <row r="61" customFormat="false" ht="23" hidden="false" customHeight="true" outlineLevel="0" collapsed="false">
      <c r="A61" s="1"/>
      <c r="B61" s="1"/>
      <c r="C61" s="1" t="s">
        <v>363</v>
      </c>
      <c r="D61" s="28" t="n">
        <v>1</v>
      </c>
      <c r="E61" s="28" t="n">
        <v>2</v>
      </c>
      <c r="F61" s="28" t="n">
        <v>4</v>
      </c>
      <c r="G61" s="28" t="n">
        <v>7</v>
      </c>
      <c r="H61" s="28" t="n">
        <v>9</v>
      </c>
      <c r="I61" s="1"/>
      <c r="J61" s="1"/>
      <c r="K61" s="1"/>
    </row>
    <row r="62" customFormat="false" ht="23" hidden="false" customHeight="true" outlineLevel="0" collapsed="false">
      <c r="A62" s="1"/>
      <c r="B62" s="1"/>
      <c r="C62" s="1" t="s">
        <v>365</v>
      </c>
      <c r="D62" s="28" t="n">
        <v>1</v>
      </c>
      <c r="E62" s="28" t="n">
        <v>2</v>
      </c>
      <c r="F62" s="28" t="n">
        <v>3</v>
      </c>
      <c r="G62" s="28" t="n">
        <v>3</v>
      </c>
      <c r="H62" s="28" t="n">
        <v>5</v>
      </c>
      <c r="I62" s="1"/>
      <c r="J62" s="1" t="s">
        <v>368</v>
      </c>
      <c r="K62" s="1"/>
    </row>
    <row r="63" customFormat="false" ht="23" hidden="false" customHeight="true" outlineLevel="0" collapsed="false">
      <c r="A63" s="1"/>
      <c r="B63" s="1"/>
      <c r="C63" s="32" t="s">
        <v>369</v>
      </c>
      <c r="D63" s="32" t="n">
        <f aca="false">IF(CHOOSE($D$5,ISNUMBER(D64),ISNUMBER(D65)),CHOOSE($D$5,D64,D65),"Липсва вход")</f>
        <v>2500</v>
      </c>
      <c r="E63" s="32" t="n">
        <f aca="false">IF(CHOOSE($D$5,ISNUMBER(E64),ISNUMBER(E65)),CHOOSE($D$5,E64,E65),"Липсва вход")</f>
        <v>2500</v>
      </c>
      <c r="F63" s="32" t="n">
        <f aca="false">IF(CHOOSE($D$5,ISNUMBER(F64),ISNUMBER(F65)),CHOOSE($D$5,F64,F65),"Липсва вход")</f>
        <v>3250</v>
      </c>
      <c r="G63" s="32" t="n">
        <f aca="false">IF(CHOOSE($D$5,ISNUMBER(G64),ISNUMBER(G65)),CHOOSE($D$5,G64,G65),"Липсва вход")</f>
        <v>4400</v>
      </c>
      <c r="H63" s="32" t="n">
        <f aca="false">IF(CHOOSE($D$5,ISNUMBER(H64),ISNUMBER(H65)),CHOOSE($D$5,H64,H65),"Липсва вход")</f>
        <v>4000</v>
      </c>
      <c r="I63" s="1"/>
      <c r="J63" s="1"/>
      <c r="K63" s="1"/>
    </row>
    <row r="64" customFormat="false" ht="23" hidden="false" customHeight="true" outlineLevel="0" collapsed="false">
      <c r="A64" s="1"/>
      <c r="B64" s="1"/>
      <c r="C64" s="1" t="s">
        <v>363</v>
      </c>
      <c r="D64" s="28" t="n">
        <v>2500</v>
      </c>
      <c r="E64" s="28" t="n">
        <v>2500</v>
      </c>
      <c r="F64" s="28" t="n">
        <v>2500</v>
      </c>
      <c r="G64" s="28" t="n">
        <v>2500</v>
      </c>
      <c r="H64" s="28" t="n">
        <v>3500</v>
      </c>
      <c r="I64" s="1"/>
      <c r="J64" s="1"/>
      <c r="K64" s="1"/>
    </row>
    <row r="65" customFormat="false" ht="23" hidden="false" customHeight="true" outlineLevel="0" collapsed="false">
      <c r="A65" s="1"/>
      <c r="B65" s="1"/>
      <c r="C65" s="1" t="s">
        <v>365</v>
      </c>
      <c r="D65" s="28" t="n">
        <v>2500</v>
      </c>
      <c r="E65" s="28" t="n">
        <v>2500</v>
      </c>
      <c r="F65" s="28" t="n">
        <v>3250</v>
      </c>
      <c r="G65" s="28" t="n">
        <v>4400</v>
      </c>
      <c r="H65" s="28" t="n">
        <v>4000</v>
      </c>
      <c r="I65" s="1"/>
      <c r="J65" s="1"/>
      <c r="K65" s="1"/>
    </row>
    <row r="66" customFormat="false" ht="23" hidden="false" customHeight="true" outlineLevel="0" collapsed="false">
      <c r="A66" s="1"/>
      <c r="B66" s="1"/>
      <c r="C66" s="32" t="s">
        <v>370</v>
      </c>
      <c r="D66" s="32" t="n">
        <f aca="false">IF(CHOOSE($D$5,ISNUMBER(D67),ISNUMBER(D68)),CHOOSE($D$5,D67,D68),"Липсва вход")</f>
        <v>40</v>
      </c>
      <c r="E66" s="32" t="n">
        <f aca="false">IF(CHOOSE($D$5,ISNUMBER(E67),ISNUMBER(E68)),CHOOSE($D$5,E67,E68),"Липсва вход")</f>
        <v>40</v>
      </c>
      <c r="F66" s="32" t="n">
        <f aca="false">IF(CHOOSE($D$5,ISNUMBER(F67),ISNUMBER(F68)),CHOOSE($D$5,F67,F68),"Липсва вход")</f>
        <v>52</v>
      </c>
      <c r="G66" s="32" t="n">
        <f aca="false">IF(CHOOSE($D$5,ISNUMBER(G67),ISNUMBER(G68)),CHOOSE($D$5,G67,G68),"Липсва вход")</f>
        <v>64</v>
      </c>
      <c r="H66" s="32" t="n">
        <f aca="false">IF(CHOOSE($D$5,ISNUMBER(H67),ISNUMBER(H68)),CHOOSE($D$5,H67,H68),"Липсва вход")</f>
        <v>64</v>
      </c>
      <c r="I66" s="1"/>
      <c r="J66" s="1"/>
      <c r="K66" s="1"/>
    </row>
    <row r="67" customFormat="false" ht="23" hidden="false" customHeight="true" outlineLevel="0" collapsed="false">
      <c r="A67" s="1"/>
      <c r="B67" s="1"/>
      <c r="C67" s="1" t="s">
        <v>363</v>
      </c>
      <c r="D67" s="28" t="n">
        <v>40</v>
      </c>
      <c r="E67" s="28" t="n">
        <v>40</v>
      </c>
      <c r="F67" s="28" t="n">
        <v>40</v>
      </c>
      <c r="G67" s="28" t="n">
        <v>40</v>
      </c>
      <c r="H67" s="28" t="n">
        <v>56</v>
      </c>
      <c r="I67" s="1"/>
      <c r="J67" s="1"/>
      <c r="K67" s="1"/>
    </row>
    <row r="68" customFormat="false" ht="23" hidden="false" customHeight="true" outlineLevel="0" collapsed="false">
      <c r="A68" s="1"/>
      <c r="B68" s="1"/>
      <c r="C68" s="1" t="s">
        <v>365</v>
      </c>
      <c r="D68" s="28" t="n">
        <v>40</v>
      </c>
      <c r="E68" s="28" t="n">
        <v>40</v>
      </c>
      <c r="F68" s="28" t="n">
        <v>52</v>
      </c>
      <c r="G68" s="28" t="n">
        <v>64</v>
      </c>
      <c r="H68" s="28" t="n">
        <v>64</v>
      </c>
      <c r="I68" s="1"/>
      <c r="J68" s="1"/>
      <c r="K68" s="1"/>
    </row>
    <row r="69" customFormat="false" ht="23" hidden="false" customHeight="true" outlineLevel="0" collapsed="false">
      <c r="A69" s="1"/>
      <c r="B69" s="1"/>
      <c r="C69" s="32" t="s">
        <v>371</v>
      </c>
      <c r="D69" s="32" t="n">
        <f aca="false">IF(CHOOSE($D$5,ISNUMBER(D70),ISNUMBER(D71)),CHOOSE($D$5,D70,D71),"Липсва вход")</f>
        <v>10</v>
      </c>
      <c r="E69" s="32" t="n">
        <f aca="false">IF(CHOOSE($D$5,ISNUMBER(E70),ISNUMBER(E71)),CHOOSE($D$5,E70,E71),"Липсва вход")</f>
        <v>10</v>
      </c>
      <c r="F69" s="32" t="n">
        <f aca="false">IF(CHOOSE($D$5,ISNUMBER(F70),ISNUMBER(F71)),CHOOSE($D$5,F70,F71),"Липсва вход")</f>
        <v>10</v>
      </c>
      <c r="G69" s="32" t="n">
        <f aca="false">IF(CHOOSE($D$5,ISNUMBER(G70),ISNUMBER(G71)),CHOOSE($D$5,G70,G71),"Липсва вход")</f>
        <v>20</v>
      </c>
      <c r="H69" s="32" t="n">
        <f aca="false">IF(CHOOSE($D$5,ISNUMBER(H70),ISNUMBER(H71)),CHOOSE($D$5,H70,H71),"Липсва вход")</f>
        <v>25</v>
      </c>
      <c r="I69" s="1"/>
      <c r="J69" s="1"/>
      <c r="K69" s="1"/>
    </row>
    <row r="70" customFormat="false" ht="23" hidden="false" customHeight="true" outlineLevel="0" collapsed="false">
      <c r="A70" s="1"/>
      <c r="B70" s="1"/>
      <c r="C70" s="1" t="s">
        <v>363</v>
      </c>
      <c r="D70" s="28" t="n">
        <v>10</v>
      </c>
      <c r="E70" s="28" t="n">
        <v>25</v>
      </c>
      <c r="F70" s="28" t="n">
        <v>50</v>
      </c>
      <c r="G70" s="28" t="n">
        <v>100</v>
      </c>
      <c r="H70" s="28" t="n">
        <v>100</v>
      </c>
      <c r="I70" s="1"/>
      <c r="J70" s="1"/>
      <c r="K70" s="1"/>
    </row>
    <row r="71" customFormat="false" ht="23" hidden="false" customHeight="true" outlineLevel="0" collapsed="false">
      <c r="A71" s="1"/>
      <c r="B71" s="1"/>
      <c r="C71" s="1" t="s">
        <v>365</v>
      </c>
      <c r="D71" s="28" t="n">
        <v>10</v>
      </c>
      <c r="E71" s="28" t="n">
        <v>10</v>
      </c>
      <c r="F71" s="28" t="n">
        <v>10</v>
      </c>
      <c r="G71" s="28" t="n">
        <v>20</v>
      </c>
      <c r="H71" s="28" t="n">
        <v>25</v>
      </c>
      <c r="I71" s="1"/>
      <c r="J71" s="1"/>
      <c r="K71" s="1"/>
    </row>
    <row r="72" customFormat="false" ht="23" hidden="false" customHeight="true" outlineLevel="0" collapsed="false">
      <c r="A72" s="1"/>
      <c r="B72" s="1"/>
      <c r="C72" s="32" t="s">
        <v>372</v>
      </c>
      <c r="D72" s="32" t="n">
        <f aca="false">IF(CHOOSE($D$5,ISNUMBER(D73),ISNUMBER(D74)),CHOOSE($D$5,D73,D74),"Липсва вход")</f>
        <v>6</v>
      </c>
      <c r="E72" s="32" t="n">
        <f aca="false">IF(CHOOSE($D$5,ISNUMBER(E73),ISNUMBER(E74)),CHOOSE($D$5,E73,E74),"Липсва вход")</f>
        <v>7</v>
      </c>
      <c r="F72" s="32" t="n">
        <f aca="false">IF(CHOOSE($D$5,ISNUMBER(F73),ISNUMBER(F74)),CHOOSE($D$5,F73,F74),"Липсва вход")</f>
        <v>12</v>
      </c>
      <c r="G72" s="32" t="n">
        <f aca="false">IF(CHOOSE($D$5,ISNUMBER(G73),ISNUMBER(G74)),CHOOSE($D$5,G73,G74),"Липсва вход")</f>
        <v>14</v>
      </c>
      <c r="H72" s="32" t="n">
        <f aca="false">IF(CHOOSE($D$5,ISNUMBER(H73),ISNUMBER(H74)),CHOOSE($D$5,H73,H74),"Липсва вход")</f>
        <v>20</v>
      </c>
      <c r="I72" s="1"/>
      <c r="J72" s="1"/>
      <c r="K72" s="1"/>
    </row>
    <row r="73" customFormat="false" ht="23" hidden="false" customHeight="true" outlineLevel="0" collapsed="false">
      <c r="A73" s="1"/>
      <c r="B73" s="1"/>
      <c r="C73" s="1" t="s">
        <v>363</v>
      </c>
      <c r="D73" s="28" t="n">
        <v>6</v>
      </c>
      <c r="E73" s="28" t="n">
        <v>35</v>
      </c>
      <c r="F73" s="28" t="n">
        <v>70</v>
      </c>
      <c r="G73" s="28" t="n">
        <v>80</v>
      </c>
      <c r="H73" s="28" t="n">
        <v>200</v>
      </c>
      <c r="I73" s="1"/>
      <c r="J73" s="1"/>
      <c r="K73" s="1"/>
    </row>
    <row r="74" customFormat="false" ht="23" hidden="false" customHeight="true" outlineLevel="0" collapsed="false">
      <c r="A74" s="1"/>
      <c r="B74" s="1"/>
      <c r="C74" s="1" t="s">
        <v>365</v>
      </c>
      <c r="D74" s="28" t="n">
        <v>6</v>
      </c>
      <c r="E74" s="28" t="n">
        <v>7</v>
      </c>
      <c r="F74" s="28" t="n">
        <v>12</v>
      </c>
      <c r="G74" s="28" t="n">
        <v>14</v>
      </c>
      <c r="H74" s="28" t="n">
        <v>20</v>
      </c>
      <c r="I74" s="1"/>
      <c r="J74" s="1"/>
      <c r="K74" s="1"/>
    </row>
    <row r="75" customFormat="false" ht="23" hidden="false" customHeight="true" outlineLevel="0" collapsed="false">
      <c r="A75" s="1"/>
      <c r="B75" s="1"/>
      <c r="C75" s="32" t="s">
        <v>373</v>
      </c>
      <c r="D75" s="32" t="n">
        <f aca="false">IF(CHOOSE($D$5,ISNUMBER(D76),ISNUMBER(D77)),CHOOSE($D$5,D76,D77),"Липсва вход")</f>
        <v>0</v>
      </c>
      <c r="E75" s="32" t="n">
        <f aca="false">IF(CHOOSE($D$5,ISNUMBER(E76),ISNUMBER(E77)),CHOOSE($D$5,E76,E77),"Липсва вход")</f>
        <v>8</v>
      </c>
      <c r="F75" s="32" t="n">
        <f aca="false">IF(CHOOSE($D$5,ISNUMBER(F76),ISNUMBER(F77)),CHOOSE($D$5,F76,F77),"Липсва вход")</f>
        <v>12</v>
      </c>
      <c r="G75" s="32" t="n">
        <f aca="false">IF(CHOOSE($D$5,ISNUMBER(G76),ISNUMBER(G77)),CHOOSE($D$5,G76,G77),"Липсва вход")</f>
        <v>30</v>
      </c>
      <c r="H75" s="32" t="n">
        <f aca="false">IF(CHOOSE($D$5,ISNUMBER(H76),ISNUMBER(H77)),CHOOSE($D$5,H76,H77),"Липсва вход")</f>
        <v>48</v>
      </c>
      <c r="I75" s="1"/>
      <c r="J75" s="1"/>
      <c r="K75" s="1"/>
    </row>
    <row r="76" customFormat="false" ht="23" hidden="false" customHeight="true" outlineLevel="0" collapsed="false">
      <c r="A76" s="1"/>
      <c r="B76" s="1"/>
      <c r="C76" s="1" t="s">
        <v>363</v>
      </c>
      <c r="D76" s="28" t="n">
        <v>0</v>
      </c>
      <c r="E76" s="28" t="n">
        <v>0</v>
      </c>
      <c r="F76" s="28" t="n">
        <v>0</v>
      </c>
      <c r="G76" s="28" t="n">
        <v>0</v>
      </c>
      <c r="H76" s="28" t="n">
        <v>0</v>
      </c>
      <c r="I76" s="1"/>
      <c r="J76" s="1"/>
      <c r="K76" s="1"/>
    </row>
    <row r="77" customFormat="false" ht="23" hidden="false" customHeight="true" outlineLevel="0" collapsed="false">
      <c r="A77" s="1"/>
      <c r="B77" s="1"/>
      <c r="C77" s="1" t="s">
        <v>365</v>
      </c>
      <c r="D77" s="28" t="n">
        <v>0</v>
      </c>
      <c r="E77" s="28" t="n">
        <v>8</v>
      </c>
      <c r="F77" s="28" t="n">
        <v>12</v>
      </c>
      <c r="G77" s="28" t="n">
        <v>30</v>
      </c>
      <c r="H77" s="28" t="n">
        <v>48</v>
      </c>
      <c r="I77" s="1"/>
      <c r="J77" s="1"/>
      <c r="K77" s="1"/>
    </row>
    <row r="78" customFormat="false" ht="23" hidden="false" customHeight="true" outlineLevel="0" collapsed="false">
      <c r="A78" s="1"/>
      <c r="B78" s="1"/>
      <c r="C78" s="32" t="s">
        <v>374</v>
      </c>
      <c r="D78" s="32" t="n">
        <f aca="false">IF(CHOOSE($D$5,ISNUMBER(D79),ISNUMBER(D80)),CHOOSE($D$5,D79,D80),"Липсва вход")</f>
        <v>0</v>
      </c>
      <c r="E78" s="32" t="n">
        <f aca="false">IF(CHOOSE($D$5,ISNUMBER(E79),ISNUMBER(E80)),CHOOSE($D$5,E79,E80),"Липсва вход")</f>
        <v>0</v>
      </c>
      <c r="F78" s="32" t="n">
        <f aca="false">IF(CHOOSE($D$5,ISNUMBER(F79),ISNUMBER(F80)),CHOOSE($D$5,F79,F80),"Липсва вход")</f>
        <v>10</v>
      </c>
      <c r="G78" s="32" t="n">
        <f aca="false">IF(CHOOSE($D$5,ISNUMBER(G79),ISNUMBER(G80)),CHOOSE($D$5,G79,G80),"Липсва вход")</f>
        <v>15</v>
      </c>
      <c r="H78" s="32" t="n">
        <f aca="false">IF(CHOOSE($D$5,ISNUMBER(H79),ISNUMBER(H80)),CHOOSE($D$5,H79,H80),"Липсва вход")</f>
        <v>40</v>
      </c>
      <c r="I78" s="1"/>
      <c r="J78" s="1"/>
      <c r="K78" s="1"/>
    </row>
    <row r="79" customFormat="false" ht="23" hidden="false" customHeight="true" outlineLevel="0" collapsed="false">
      <c r="A79" s="1"/>
      <c r="B79" s="1"/>
      <c r="C79" s="1" t="s">
        <v>363</v>
      </c>
      <c r="D79" s="28" t="n">
        <v>0</v>
      </c>
      <c r="E79" s="28" t="n">
        <v>0</v>
      </c>
      <c r="F79" s="28" t="n">
        <v>0</v>
      </c>
      <c r="G79" s="28" t="n">
        <v>0</v>
      </c>
      <c r="H79" s="28" t="n">
        <v>0</v>
      </c>
      <c r="I79" s="1"/>
      <c r="J79" s="1"/>
      <c r="K79" s="1"/>
    </row>
    <row r="80" customFormat="false" ht="23" hidden="false" customHeight="true" outlineLevel="0" collapsed="false">
      <c r="A80" s="1"/>
      <c r="B80" s="1"/>
      <c r="C80" s="1" t="s">
        <v>365</v>
      </c>
      <c r="D80" s="28" t="n">
        <v>0</v>
      </c>
      <c r="E80" s="28" t="n">
        <v>0</v>
      </c>
      <c r="F80" s="28" t="n">
        <v>10</v>
      </c>
      <c r="G80" s="28" t="n">
        <v>15</v>
      </c>
      <c r="H80" s="28" t="n">
        <v>40</v>
      </c>
      <c r="I80" s="1"/>
      <c r="J80" s="1"/>
      <c r="K80" s="1"/>
    </row>
    <row r="81" customFormat="false" ht="23" hidden="false" customHeight="true" outlineLevel="0" collapsed="false">
      <c r="A81" s="1"/>
      <c r="B81" s="1"/>
      <c r="C81" s="32" t="s">
        <v>375</v>
      </c>
      <c r="D81" s="32" t="n">
        <f aca="false">IF(CHOOSE($D$5,ISNUMBER(D82),ISNUMBER(D83)),CHOOSE($D$5,D82,D83),"Липсва вход")</f>
        <v>0</v>
      </c>
      <c r="E81" s="32" t="n">
        <f aca="false">IF(CHOOSE($D$5,ISNUMBER(E82),ISNUMBER(E83)),CHOOSE($D$5,E82,E83),"Липсва вход")</f>
        <v>2</v>
      </c>
      <c r="F81" s="32" t="n">
        <f aca="false">IF(CHOOSE($D$5,ISNUMBER(F82),ISNUMBER(F83)),CHOOSE($D$5,F82,F83),"Липсва вход")</f>
        <v>4</v>
      </c>
      <c r="G81" s="32" t="n">
        <f aca="false">IF(CHOOSE($D$5,ISNUMBER(G82),ISNUMBER(G83)),CHOOSE($D$5,G82,G83),"Липсва вход")</f>
        <v>6</v>
      </c>
      <c r="H81" s="32" t="n">
        <f aca="false">IF(CHOOSE($D$5,ISNUMBER(H82),ISNUMBER(H83)),CHOOSE($D$5,H82,H83),"Липсва вход")</f>
        <v>8</v>
      </c>
      <c r="I81" s="1"/>
      <c r="J81" s="1"/>
      <c r="K81" s="1"/>
    </row>
    <row r="82" customFormat="false" ht="23" hidden="false" customHeight="true" outlineLevel="0" collapsed="false">
      <c r="A82" s="1"/>
      <c r="B82" s="1"/>
      <c r="C82" s="1" t="s">
        <v>363</v>
      </c>
      <c r="D82" s="28" t="n">
        <v>0</v>
      </c>
      <c r="E82" s="28" t="n">
        <v>0</v>
      </c>
      <c r="F82" s="28" t="n">
        <v>0</v>
      </c>
      <c r="G82" s="28" t="n">
        <v>0</v>
      </c>
      <c r="H82" s="28" t="n">
        <v>0</v>
      </c>
      <c r="I82" s="1"/>
      <c r="J82" s="1"/>
      <c r="K82" s="1"/>
    </row>
    <row r="83" customFormat="false" ht="23" hidden="false" customHeight="true" outlineLevel="0" collapsed="false">
      <c r="A83" s="1"/>
      <c r="B83" s="1"/>
      <c r="C83" s="1" t="s">
        <v>365</v>
      </c>
      <c r="D83" s="28" t="n">
        <v>0</v>
      </c>
      <c r="E83" s="28" t="n">
        <v>2</v>
      </c>
      <c r="F83" s="28" t="n">
        <v>4</v>
      </c>
      <c r="G83" s="28" t="n">
        <v>6</v>
      </c>
      <c r="H83" s="28" t="n">
        <v>8</v>
      </c>
      <c r="I83" s="1"/>
      <c r="J83" s="1"/>
      <c r="K83" s="1"/>
    </row>
    <row r="84" customFormat="false" ht="23" hidden="false" customHeight="true" outlineLevel="0" collapsed="false">
      <c r="A84" s="1"/>
      <c r="B84" s="1"/>
      <c r="C84" s="32" t="s">
        <v>376</v>
      </c>
      <c r="D84" s="32" t="n">
        <f aca="false">IF(CHOOSE($D$5,ISNUMBER(D85),ISNUMBER(D86)),CHOOSE($D$5,D85,D86),"Липсва вход")</f>
        <v>0</v>
      </c>
      <c r="E84" s="32" t="n">
        <f aca="false">IF(CHOOSE($D$5,ISNUMBER(E85),ISNUMBER(E86)),CHOOSE($D$5,E85,E86),"Липсва вход")</f>
        <v>4</v>
      </c>
      <c r="F84" s="32" t="n">
        <f aca="false">IF(CHOOSE($D$5,ISNUMBER(F85),ISNUMBER(F86)),CHOOSE($D$5,F85,F86),"Липсва вход")</f>
        <v>11</v>
      </c>
      <c r="G84" s="32" t="n">
        <f aca="false">IF(CHOOSE($D$5,ISNUMBER(G85),ISNUMBER(G86)),CHOOSE($D$5,G85,G86),"Липсва вход")</f>
        <v>17</v>
      </c>
      <c r="H84" s="32" t="n">
        <f aca="false">IF(CHOOSE($D$5,ISNUMBER(H85),ISNUMBER(H86)),CHOOSE($D$5,H85,H86),"Липсва вход")</f>
        <v>22</v>
      </c>
      <c r="I84" s="1"/>
      <c r="J84" s="1"/>
      <c r="K84" s="1"/>
    </row>
    <row r="85" customFormat="false" ht="23" hidden="false" customHeight="true" outlineLevel="0" collapsed="false">
      <c r="A85" s="1"/>
      <c r="B85" s="1"/>
      <c r="C85" s="1" t="s">
        <v>363</v>
      </c>
      <c r="D85" s="28" t="n">
        <v>0</v>
      </c>
      <c r="E85" s="28" t="n">
        <v>0</v>
      </c>
      <c r="F85" s="28" t="n">
        <v>0</v>
      </c>
      <c r="G85" s="28" t="n">
        <v>0</v>
      </c>
      <c r="H85" s="28" t="n">
        <v>0</v>
      </c>
      <c r="I85" s="1"/>
      <c r="J85" s="1"/>
      <c r="K85" s="1"/>
    </row>
    <row r="86" customFormat="false" ht="23" hidden="false" customHeight="true" outlineLevel="0" collapsed="false">
      <c r="A86" s="1"/>
      <c r="B86" s="1"/>
      <c r="C86" s="1" t="s">
        <v>365</v>
      </c>
      <c r="D86" s="28" t="n">
        <v>0</v>
      </c>
      <c r="E86" s="28" t="n">
        <v>4</v>
      </c>
      <c r="F86" s="28" t="n">
        <v>11</v>
      </c>
      <c r="G86" s="28" t="n">
        <v>17</v>
      </c>
      <c r="H86" s="28" t="n">
        <v>22</v>
      </c>
      <c r="I86" s="1"/>
      <c r="J86" s="1"/>
      <c r="K86" s="1"/>
    </row>
    <row r="87" customFormat="false" ht="23" hidden="false" customHeight="true" outlineLevel="0" collapsed="false">
      <c r="A87" s="1"/>
      <c r="B87" s="1"/>
      <c r="C87" s="32" t="s">
        <v>377</v>
      </c>
      <c r="D87" s="32" t="n">
        <f aca="false">IF(CHOOSE($D$5,ISNUMBER(D88),ISNUMBER(D89)),CHOOSE($D$5,D88,D89),"Липсва вход")</f>
        <v>1500</v>
      </c>
      <c r="E87" s="32" t="n">
        <f aca="false">IF(CHOOSE($D$5,ISNUMBER(E88),ISNUMBER(E89)),CHOOSE($D$5,E88,E89),"Липсва вход")</f>
        <v>2800</v>
      </c>
      <c r="F87" s="32" t="n">
        <f aca="false">IF(CHOOSE($D$5,ISNUMBER(F88),ISNUMBER(F89)),CHOOSE($D$5,F88,F89),"Липсва вход")</f>
        <v>4000</v>
      </c>
      <c r="G87" s="32" t="n">
        <f aca="false">IF(CHOOSE($D$5,ISNUMBER(G88),ISNUMBER(G89)),CHOOSE($D$5,G88,G89),"Липсва вход")</f>
        <v>5000</v>
      </c>
      <c r="H87" s="32" t="n">
        <f aca="false">IF(CHOOSE($D$5,ISNUMBER(H88),ISNUMBER(H89)),CHOOSE($D$5,H88,H89),"Липсва вход")</f>
        <v>8500</v>
      </c>
      <c r="I87" s="1"/>
      <c r="J87" s="1"/>
      <c r="K87" s="1"/>
    </row>
    <row r="88" customFormat="false" ht="23" hidden="false" customHeight="true" outlineLevel="0" collapsed="false">
      <c r="A88" s="1"/>
      <c r="B88" s="1"/>
      <c r="C88" s="1" t="s">
        <v>363</v>
      </c>
      <c r="D88" s="28" t="n">
        <v>1500</v>
      </c>
      <c r="E88" s="28" t="n">
        <v>2800</v>
      </c>
      <c r="F88" s="28" t="n">
        <v>4400</v>
      </c>
      <c r="G88" s="28" t="n">
        <v>6400</v>
      </c>
      <c r="H88" s="28" t="n">
        <v>9000</v>
      </c>
      <c r="I88" s="1"/>
      <c r="J88" s="1"/>
      <c r="K88" s="1"/>
    </row>
    <row r="89" customFormat="false" ht="23" hidden="false" customHeight="true" outlineLevel="0" collapsed="false">
      <c r="A89" s="1"/>
      <c r="B89" s="1"/>
      <c r="C89" s="1" t="s">
        <v>365</v>
      </c>
      <c r="D89" s="28" t="n">
        <v>1500</v>
      </c>
      <c r="E89" s="28" t="n">
        <v>2800</v>
      </c>
      <c r="F89" s="28" t="n">
        <v>4000</v>
      </c>
      <c r="G89" s="28" t="n">
        <v>5000</v>
      </c>
      <c r="H89" s="28" t="n">
        <v>8500</v>
      </c>
      <c r="I89" s="1"/>
      <c r="J89" s="1"/>
      <c r="K89" s="1"/>
    </row>
    <row r="90" customFormat="false" ht="23" hidden="false" customHeight="true" outlineLevel="0" collapsed="false">
      <c r="A90" s="1"/>
      <c r="B90" s="1"/>
      <c r="C90" s="32" t="s">
        <v>378</v>
      </c>
      <c r="D90" s="32" t="n">
        <f aca="false">IF(CHOOSE($D$5,ISNUMBER(D91),ISNUMBER(D92)),CHOOSE($D$5,D91,D92),"Липсва вход")</f>
        <v>250</v>
      </c>
      <c r="E90" s="32" t="n">
        <f aca="false">IF(CHOOSE($D$5,ISNUMBER(E91),ISNUMBER(E92)),CHOOSE($D$5,E91,E92),"Липсва вход")</f>
        <v>350</v>
      </c>
      <c r="F90" s="32" t="n">
        <f aca="false">IF(CHOOSE($D$5,ISNUMBER(F91),ISNUMBER(F92)),CHOOSE($D$5,F91,F92),"Липсва вход")</f>
        <v>500</v>
      </c>
      <c r="G90" s="32" t="n">
        <f aca="false">IF(CHOOSE($D$5,ISNUMBER(G91),ISNUMBER(G92)),CHOOSE($D$5,G91,G92),"Липсва вход")</f>
        <v>600</v>
      </c>
      <c r="H90" s="32" t="n">
        <f aca="false">IF(CHOOSE($D$5,ISNUMBER(H91),ISNUMBER(H92)),CHOOSE($D$5,H91,H92),"Липсва вход")</f>
        <v>900</v>
      </c>
      <c r="I90" s="1"/>
      <c r="J90" s="1"/>
      <c r="K90" s="1"/>
    </row>
    <row r="91" customFormat="false" ht="23" hidden="false" customHeight="true" outlineLevel="0" collapsed="false">
      <c r="A91" s="1"/>
      <c r="B91" s="1"/>
      <c r="C91" s="1" t="s">
        <v>363</v>
      </c>
      <c r="D91" s="28" t="n">
        <v>250</v>
      </c>
      <c r="E91" s="28" t="n">
        <v>350</v>
      </c>
      <c r="F91" s="28" t="n">
        <v>500</v>
      </c>
      <c r="G91" s="28" t="n">
        <v>700</v>
      </c>
      <c r="H91" s="28" t="n">
        <v>1100</v>
      </c>
      <c r="I91" s="1"/>
      <c r="J91" s="1"/>
      <c r="K91" s="1"/>
    </row>
    <row r="92" customFormat="false" ht="23" hidden="false" customHeight="true" outlineLevel="0" collapsed="false">
      <c r="A92" s="1"/>
      <c r="B92" s="1"/>
      <c r="C92" s="1" t="s">
        <v>365</v>
      </c>
      <c r="D92" s="28" t="n">
        <v>250</v>
      </c>
      <c r="E92" s="28" t="n">
        <v>350</v>
      </c>
      <c r="F92" s="28" t="n">
        <v>500</v>
      </c>
      <c r="G92" s="28" t="n">
        <v>600</v>
      </c>
      <c r="H92" s="28" t="n">
        <v>900</v>
      </c>
      <c r="I92" s="1"/>
      <c r="J92" s="1"/>
      <c r="K92" s="1"/>
    </row>
    <row r="93" customFormat="false" ht="23" hidden="false" customHeight="true" outlineLevel="0" collapsed="false">
      <c r="A93" s="1"/>
      <c r="B93" s="1"/>
      <c r="C93" s="32" t="s">
        <v>379</v>
      </c>
      <c r="D93" s="32" t="n">
        <f aca="false">IF(CHOOSE($D$5,ISNUMBER(D94),ISNUMBER(D95)),CHOOSE($D$5,D94,D95),"Липсва вход")</f>
        <v>300</v>
      </c>
      <c r="E93" s="32" t="n">
        <f aca="false">IF(CHOOSE($D$5,ISNUMBER(E94),ISNUMBER(E95)),CHOOSE($D$5,E94,E95),"Липсва вход")</f>
        <v>500</v>
      </c>
      <c r="F93" s="32" t="n">
        <f aca="false">IF(CHOOSE($D$5,ISNUMBER(F94),ISNUMBER(F95)),CHOOSE($D$5,F94,F95),"Липсва вход")</f>
        <v>750</v>
      </c>
      <c r="G93" s="32" t="n">
        <f aca="false">IF(CHOOSE($D$5,ISNUMBER(G94),ISNUMBER(G95)),CHOOSE($D$5,G94,G95),"Липсва вход")</f>
        <v>900</v>
      </c>
      <c r="H93" s="32" t="n">
        <f aca="false">IF(CHOOSE($D$5,ISNUMBER(H94),ISNUMBER(H95)),CHOOSE($D$5,H94,H95),"Липсва вход")</f>
        <v>1500</v>
      </c>
      <c r="I93" s="1"/>
      <c r="J93" s="1"/>
      <c r="K93" s="1"/>
    </row>
    <row r="94" customFormat="false" ht="23" hidden="false" customHeight="true" outlineLevel="0" collapsed="false">
      <c r="A94" s="1"/>
      <c r="B94" s="1"/>
      <c r="C94" s="1" t="s">
        <v>363</v>
      </c>
      <c r="D94" s="28" t="n">
        <v>300</v>
      </c>
      <c r="E94" s="28" t="n">
        <v>500</v>
      </c>
      <c r="F94" s="28" t="n">
        <v>750</v>
      </c>
      <c r="G94" s="28" t="n">
        <v>1000</v>
      </c>
      <c r="H94" s="28" t="n">
        <v>1500</v>
      </c>
      <c r="I94" s="1"/>
      <c r="J94" s="1"/>
      <c r="K94" s="1"/>
    </row>
    <row r="95" customFormat="false" ht="23" hidden="false" customHeight="true" outlineLevel="0" collapsed="false">
      <c r="A95" s="1"/>
      <c r="B95" s="1"/>
      <c r="C95" s="1" t="s">
        <v>365</v>
      </c>
      <c r="D95" s="28" t="n">
        <v>300</v>
      </c>
      <c r="E95" s="28" t="n">
        <v>500</v>
      </c>
      <c r="F95" s="28" t="n">
        <v>750</v>
      </c>
      <c r="G95" s="28" t="n">
        <v>900</v>
      </c>
      <c r="H95" s="28" t="n">
        <v>1500</v>
      </c>
      <c r="I95" s="1"/>
      <c r="J95" s="1"/>
      <c r="K95" s="1"/>
    </row>
    <row r="96" customFormat="false" ht="23" hidden="false" customHeight="true" outlineLevel="0" collapsed="false">
      <c r="A96" s="1"/>
      <c r="B96" s="1"/>
      <c r="C96" s="32" t="s">
        <v>380</v>
      </c>
      <c r="D96" s="32" t="n">
        <f aca="false">IF(CHOOSE($D$5,ISNUMBER(D97),ISNUMBER(D98)),CHOOSE($D$5,D97,D98),"Липсва вход")</f>
        <v>200</v>
      </c>
      <c r="E96" s="32" t="n">
        <f aca="false">IF(CHOOSE($D$5,ISNUMBER(E97),ISNUMBER(E98)),CHOOSE($D$5,E97,E98),"Липсва вход")</f>
        <v>300</v>
      </c>
      <c r="F96" s="32" t="n">
        <f aca="false">IF(CHOOSE($D$5,ISNUMBER(F97),ISNUMBER(F98)),CHOOSE($D$5,F97,F98),"Липсва вход")</f>
        <v>400</v>
      </c>
      <c r="G96" s="32" t="n">
        <f aca="false">IF(CHOOSE($D$5,ISNUMBER(G97),ISNUMBER(G98)),CHOOSE($D$5,G97,G98),"Липсва вход")</f>
        <v>500</v>
      </c>
      <c r="H96" s="32" t="n">
        <f aca="false">IF(CHOOSE($D$5,ISNUMBER(H97),ISNUMBER(H98)),CHOOSE($D$5,H97,H98),"Липсва вход")</f>
        <v>700</v>
      </c>
      <c r="I96" s="1"/>
      <c r="J96" s="1"/>
      <c r="K96" s="1"/>
    </row>
    <row r="97" customFormat="false" ht="23" hidden="false" customHeight="true" outlineLevel="0" collapsed="false">
      <c r="A97" s="1"/>
      <c r="B97" s="1"/>
      <c r="C97" s="1" t="s">
        <v>363</v>
      </c>
      <c r="D97" s="28" t="n">
        <v>200</v>
      </c>
      <c r="E97" s="28" t="n">
        <v>300</v>
      </c>
      <c r="F97" s="28" t="n">
        <v>400</v>
      </c>
      <c r="G97" s="28" t="n">
        <v>500</v>
      </c>
      <c r="H97" s="28" t="n">
        <v>700</v>
      </c>
      <c r="I97" s="1"/>
      <c r="J97" s="1"/>
      <c r="K97" s="1"/>
    </row>
    <row r="98" customFormat="false" ht="23" hidden="false" customHeight="true" outlineLevel="0" collapsed="false">
      <c r="A98" s="1"/>
      <c r="B98" s="1"/>
      <c r="C98" s="1" t="s">
        <v>365</v>
      </c>
      <c r="D98" s="28" t="n">
        <v>200</v>
      </c>
      <c r="E98" s="28" t="n">
        <v>300</v>
      </c>
      <c r="F98" s="28" t="n">
        <v>400</v>
      </c>
      <c r="G98" s="28" t="n">
        <v>500</v>
      </c>
      <c r="H98" s="28" t="n">
        <v>700</v>
      </c>
      <c r="I98" s="1"/>
      <c r="J98" s="1"/>
      <c r="K98" s="1"/>
    </row>
    <row r="99" customFormat="false" ht="23" hidden="false" customHeight="true" outlineLevel="0" collapsed="false">
      <c r="A99" s="1"/>
      <c r="B99" s="1"/>
      <c r="C99" s="32" t="s">
        <v>381</v>
      </c>
      <c r="D99" s="32" t="n">
        <f aca="false">IF(CHOOSE($D$5,ISNUMBER(D100),ISNUMBER(D101)),CHOOSE($D$5,D100,D101),"Липсва вход")</f>
        <v>100</v>
      </c>
      <c r="E99" s="32" t="n">
        <f aca="false">IF(CHOOSE($D$5,ISNUMBER(E100),ISNUMBER(E101)),CHOOSE($D$5,E100,E101),"Липсва вход")</f>
        <v>200</v>
      </c>
      <c r="F99" s="32" t="n">
        <f aca="false">IF(CHOOSE($D$5,ISNUMBER(F100),ISNUMBER(F101)),CHOOSE($D$5,F100,F101),"Липсва вход")</f>
        <v>400</v>
      </c>
      <c r="G99" s="32" t="n">
        <f aca="false">IF(CHOOSE($D$5,ISNUMBER(G100),ISNUMBER(G101)),CHOOSE($D$5,G100,G101),"Липсва вход")</f>
        <v>600</v>
      </c>
      <c r="H99" s="32" t="n">
        <f aca="false">IF(CHOOSE($D$5,ISNUMBER(H100),ISNUMBER(H101)),CHOOSE($D$5,H100,H101),"Липсва вход")</f>
        <v>1000</v>
      </c>
      <c r="I99" s="1"/>
      <c r="J99" s="1"/>
      <c r="K99" s="1"/>
    </row>
    <row r="100" customFormat="false" ht="23" hidden="false" customHeight="true" outlineLevel="0" collapsed="false">
      <c r="A100" s="1"/>
      <c r="B100" s="1"/>
      <c r="C100" s="1" t="s">
        <v>363</v>
      </c>
      <c r="D100" s="28" t="n">
        <v>100</v>
      </c>
      <c r="E100" s="28" t="n">
        <v>200</v>
      </c>
      <c r="F100" s="28" t="n">
        <v>400</v>
      </c>
      <c r="G100" s="28" t="n">
        <v>600</v>
      </c>
      <c r="H100" s="28" t="n">
        <v>1000</v>
      </c>
      <c r="I100" s="1"/>
      <c r="J100" s="1"/>
      <c r="K100" s="1"/>
    </row>
    <row r="101" customFormat="false" ht="23" hidden="false" customHeight="true" outlineLevel="0" collapsed="false">
      <c r="A101" s="1"/>
      <c r="B101" s="1"/>
      <c r="C101" s="1" t="s">
        <v>365</v>
      </c>
      <c r="D101" s="28" t="n">
        <v>100</v>
      </c>
      <c r="E101" s="28" t="n">
        <v>200</v>
      </c>
      <c r="F101" s="28" t="n">
        <v>400</v>
      </c>
      <c r="G101" s="28" t="n">
        <v>600</v>
      </c>
      <c r="H101" s="28" t="n">
        <v>1000</v>
      </c>
      <c r="I101" s="1"/>
      <c r="J101" s="1"/>
      <c r="K101" s="1"/>
    </row>
    <row r="102" customFormat="false" ht="23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customFormat="false" ht="23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customFormat="false" ht="23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customFormat="false" ht="23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customFormat="false" ht="23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customFormat="false" ht="23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customFormat="false" ht="23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customFormat="false" ht="23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customFormat="false" ht="23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</sheetData>
  <dataValidations count="2">
    <dataValidation allowBlank="false" errorStyle="stop" operator="between" showDropDown="false" showErrorMessage="false" showInputMessage="false" sqref="D5" type="whole">
      <formula1>1</formula1>
      <formula2>2</formula2>
    </dataValidation>
    <dataValidation allowBlank="false" errorStyle="stop" operator="between" showDropDown="false" showErrorMessage="false" showInputMessage="false" sqref="D12" type="whole">
      <formula1>1</formula1>
      <formula2>12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6" min="3" style="0" width="24"/>
    <col collapsed="false" customWidth="true" hidden="false" outlineLevel="0" max="11" min="7" style="0" width="18"/>
    <col collapsed="false" customWidth="true" hidden="false" outlineLevel="0" max="21" min="12" style="0" width="14"/>
    <col collapsed="false" customWidth="true" hidden="false" outlineLevel="0" max="22" min="22" style="0" width="37"/>
    <col collapsed="false" customWidth="true" hidden="false" outlineLevel="0" max="23" min="23" style="0" width="22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29" hidden="false" customHeight="true" outlineLevel="0" collapsed="false">
      <c r="A2" s="2" t="s">
        <v>382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customFormat="false" ht="23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customFormat="false" ht="23" hidden="false" customHeight="true" outlineLevel="0" collapsed="false">
      <c r="A4" s="1" t="s">
        <v>383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23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customFormat="false" ht="49" hidden="false" customHeight="true" outlineLevel="0" collapsed="false">
      <c r="A6" s="6" t="s">
        <v>384</v>
      </c>
      <c r="B6" s="6" t="s">
        <v>385</v>
      </c>
      <c r="C6" s="6" t="s">
        <v>386</v>
      </c>
      <c r="D6" s="6" t="s">
        <v>387</v>
      </c>
      <c r="E6" s="6" t="s">
        <v>388</v>
      </c>
      <c r="F6" s="6" t="s">
        <v>389</v>
      </c>
      <c r="G6" s="6" t="s">
        <v>390</v>
      </c>
      <c r="H6" s="6" t="s">
        <v>391</v>
      </c>
      <c r="I6" s="6" t="s">
        <v>392</v>
      </c>
      <c r="J6" s="6" t="s">
        <v>393</v>
      </c>
      <c r="K6" s="6" t="s">
        <v>394</v>
      </c>
      <c r="L6" s="6" t="s">
        <v>395</v>
      </c>
      <c r="M6" s="6" t="s">
        <v>396</v>
      </c>
      <c r="N6" s="6" t="s">
        <v>397</v>
      </c>
      <c r="O6" s="6" t="s">
        <v>398</v>
      </c>
      <c r="P6" s="6" t="s">
        <v>399</v>
      </c>
      <c r="Q6" s="6" t="s">
        <v>400</v>
      </c>
      <c r="R6" s="6" t="s">
        <v>401</v>
      </c>
      <c r="S6" s="6" t="s">
        <v>402</v>
      </c>
      <c r="T6" s="6" t="s">
        <v>63</v>
      </c>
      <c r="U6" s="6" t="s">
        <v>403</v>
      </c>
      <c r="V6" s="6" t="s">
        <v>404</v>
      </c>
      <c r="W6" s="6" t="s">
        <v>72</v>
      </c>
    </row>
    <row r="7" customFormat="false" ht="28" hidden="false" customHeight="true" outlineLevel="0" collapsed="false">
      <c r="A7" s="28"/>
      <c r="B7" s="28"/>
      <c r="C7" s="28"/>
      <c r="D7" s="28"/>
      <c r="E7" s="28"/>
      <c r="F7" s="46"/>
      <c r="G7" s="28"/>
      <c r="H7" s="46"/>
      <c r="I7" s="28"/>
      <c r="J7" s="28"/>
      <c r="K7" s="28"/>
      <c r="L7" s="28"/>
      <c r="M7" s="28"/>
      <c r="N7" s="28"/>
      <c r="O7" s="28"/>
      <c r="P7" s="28"/>
      <c r="Q7" s="28"/>
      <c r="R7" s="28"/>
      <c r="S7" s="1" t="str">
        <f aca="false">IF(B7="","",SUM(L7:R7))</f>
        <v/>
      </c>
      <c r="T7" s="1" t="str">
        <f aca="false">IF(B7="","",IF(OR(J7="Да",K7="Да",I7&lt;&gt;"Да",D7="",E7="",F7=""),0,IF(AND(G7="Нов",S7&lt;35),0,IF(AND(G7="Follow-up",ISNUMBER(H7),H7&lt;=Допускания!$D$7),400,IF(G7="Inbound",300,IF(G7="Оферта",200,0)))+S7)))</f>
        <v/>
      </c>
      <c r="U7" s="1" t="str">
        <f aca="false">IF(OR(B7="",T7=0),"",COUNTIFS($T$7:$T$56,"&gt;"&amp;T7)+COUNTIFS($T$7:T7,T7))</f>
        <v/>
      </c>
      <c r="V7" s="1" t="str">
        <f aca="false">IF(B7="","",IF(OR(J7="Да",K7="Да"),"Изключен",IF(T7=0,"Провери fit, контакт и evidence",IF(T7&gt;=400,"Обещан follow-up",IF(T7&gt;=300,"Входящ интерес",IF(T7&gt;=200,"Активна оферта",IF(S7&gt;=75,"P1 силна нужда и fit",IF(S7&gt;=55,"P2 нормален приоритет","P3 допълни research"))))))))</f>
        <v/>
      </c>
      <c r="W7" s="5" t="str">
        <f aca="false">HYPERLINK("BDS_Plan.docx#S07","Scoring в Word")</f>
        <v>Scoring в Word</v>
      </c>
    </row>
    <row r="8" customFormat="false" ht="28" hidden="false" customHeight="true" outlineLevel="0" collapsed="false">
      <c r="A8" s="28"/>
      <c r="B8" s="28"/>
      <c r="C8" s="28"/>
      <c r="D8" s="28"/>
      <c r="E8" s="28"/>
      <c r="F8" s="46"/>
      <c r="G8" s="28"/>
      <c r="H8" s="46"/>
      <c r="I8" s="28"/>
      <c r="J8" s="28"/>
      <c r="K8" s="28"/>
      <c r="L8" s="28"/>
      <c r="M8" s="28"/>
      <c r="N8" s="28"/>
      <c r="O8" s="28"/>
      <c r="P8" s="28"/>
      <c r="Q8" s="28"/>
      <c r="R8" s="28"/>
      <c r="S8" s="1" t="str">
        <f aca="false">IF(B8="","",SUM(L8:R8))</f>
        <v/>
      </c>
      <c r="T8" s="1" t="str">
        <f aca="false">IF(B8="","",IF(OR(J8="Да",K8="Да",I8&lt;&gt;"Да",D8="",E8="",F8=""),0,IF(AND(G8="Нов",S8&lt;35),0,IF(AND(G8="Follow-up",ISNUMBER(H8),H8&lt;=Допускания!$D$7),400,IF(G8="Inbound",300,IF(G8="Оферта",200,0)))+S8)))</f>
        <v/>
      </c>
      <c r="U8" s="1" t="str">
        <f aca="false">IF(OR(B8="",T8=0),"",COUNTIFS($T$7:$T$56,"&gt;"&amp;T8)+COUNTIFS($T$7:T8,T8))</f>
        <v/>
      </c>
      <c r="V8" s="1" t="str">
        <f aca="false">IF(B8="","",IF(OR(J8="Да",K8="Да"),"Изключен",IF(T8=0,"Провери fit, контакт и evidence",IF(T8&gt;=400,"Обещан follow-up",IF(T8&gt;=300,"Входящ интерес",IF(T8&gt;=200,"Активна оферта",IF(S8&gt;=75,"P1 силна нужда и fit",IF(S8&gt;=55,"P2 нормален приоритет","P3 допълни research"))))))))</f>
        <v/>
      </c>
      <c r="W8" s="5" t="str">
        <f aca="false">HYPERLINK("BDS_Plan.docx#S07","Scoring в Word")</f>
        <v>Scoring в Word</v>
      </c>
    </row>
    <row r="9" customFormat="false" ht="28" hidden="false" customHeight="true" outlineLevel="0" collapsed="false">
      <c r="A9" s="28"/>
      <c r="B9" s="28"/>
      <c r="C9" s="28"/>
      <c r="D9" s="28"/>
      <c r="E9" s="28"/>
      <c r="F9" s="46"/>
      <c r="G9" s="28"/>
      <c r="H9" s="46"/>
      <c r="I9" s="28"/>
      <c r="J9" s="28"/>
      <c r="K9" s="28"/>
      <c r="L9" s="28"/>
      <c r="M9" s="28"/>
      <c r="N9" s="28"/>
      <c r="O9" s="28"/>
      <c r="P9" s="28"/>
      <c r="Q9" s="28"/>
      <c r="R9" s="28"/>
      <c r="S9" s="1" t="str">
        <f aca="false">IF(B9="","",SUM(L9:R9))</f>
        <v/>
      </c>
      <c r="T9" s="1" t="str">
        <f aca="false">IF(B9="","",IF(OR(J9="Да",K9="Да",I9&lt;&gt;"Да",D9="",E9="",F9=""),0,IF(AND(G9="Нов",S9&lt;35),0,IF(AND(G9="Follow-up",ISNUMBER(H9),H9&lt;=Допускания!$D$7),400,IF(G9="Inbound",300,IF(G9="Оферта",200,0)))+S9)))</f>
        <v/>
      </c>
      <c r="U9" s="1" t="str">
        <f aca="false">IF(OR(B9="",T9=0),"",COUNTIFS($T$7:$T$56,"&gt;"&amp;T9)+COUNTIFS($T$7:T9,T9))</f>
        <v/>
      </c>
      <c r="V9" s="1" t="str">
        <f aca="false">IF(B9="","",IF(OR(J9="Да",K9="Да"),"Изключен",IF(T9=0,"Провери fit, контакт и evidence",IF(T9&gt;=400,"Обещан follow-up",IF(T9&gt;=300,"Входящ интерес",IF(T9&gt;=200,"Активна оферта",IF(S9&gt;=75,"P1 силна нужда и fit",IF(S9&gt;=55,"P2 нормален приоритет","P3 допълни research"))))))))</f>
        <v/>
      </c>
      <c r="W9" s="5" t="str">
        <f aca="false">HYPERLINK("BDS_Plan.docx#S07","Scoring в Word")</f>
        <v>Scoring в Word</v>
      </c>
    </row>
    <row r="10" customFormat="false" ht="28" hidden="false" customHeight="true" outlineLevel="0" collapsed="false">
      <c r="A10" s="28"/>
      <c r="B10" s="28"/>
      <c r="C10" s="28"/>
      <c r="D10" s="28"/>
      <c r="E10" s="28"/>
      <c r="F10" s="46"/>
      <c r="G10" s="28"/>
      <c r="H10" s="46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1" t="str">
        <f aca="false">IF(B10="","",SUM(L10:R10))</f>
        <v/>
      </c>
      <c r="T10" s="1" t="str">
        <f aca="false">IF(B10="","",IF(OR(J10="Да",K10="Да",I10&lt;&gt;"Да",D10="",E10="",F10=""),0,IF(AND(G10="Нов",S10&lt;35),0,IF(AND(G10="Follow-up",ISNUMBER(H10),H10&lt;=Допускания!$D$7),400,IF(G10="Inbound",300,IF(G10="Оферта",200,0)))+S10)))</f>
        <v/>
      </c>
      <c r="U10" s="1" t="str">
        <f aca="false">IF(OR(B10="",T10=0),"",COUNTIFS($T$7:$T$56,"&gt;"&amp;T10)+COUNTIFS($T$7:T10,T10))</f>
        <v/>
      </c>
      <c r="V10" s="1" t="str">
        <f aca="false">IF(B10="","",IF(OR(J10="Да",K10="Да"),"Изключен",IF(T10=0,"Провери fit, контакт и evidence",IF(T10&gt;=400,"Обещан follow-up",IF(T10&gt;=300,"Входящ интерес",IF(T10&gt;=200,"Активна оферта",IF(S10&gt;=75,"P1 силна нужда и fit",IF(S10&gt;=55,"P2 нормален приоритет","P3 допълни research"))))))))</f>
        <v/>
      </c>
      <c r="W10" s="5" t="str">
        <f aca="false">HYPERLINK("BDS_Plan.docx#S07","Scoring в Word")</f>
        <v>Scoring в Word</v>
      </c>
    </row>
    <row r="11" customFormat="false" ht="28" hidden="false" customHeight="true" outlineLevel="0" collapsed="false">
      <c r="A11" s="28"/>
      <c r="B11" s="28"/>
      <c r="C11" s="28"/>
      <c r="D11" s="28"/>
      <c r="E11" s="28"/>
      <c r="F11" s="46"/>
      <c r="G11" s="28"/>
      <c r="H11" s="46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1" t="str">
        <f aca="false">IF(B11="","",SUM(L11:R11))</f>
        <v/>
      </c>
      <c r="T11" s="1" t="str">
        <f aca="false">IF(B11="","",IF(OR(J11="Да",K11="Да",I11&lt;&gt;"Да",D11="",E11="",F11=""),0,IF(AND(G11="Нов",S11&lt;35),0,IF(AND(G11="Follow-up",ISNUMBER(H11),H11&lt;=Допускания!$D$7),400,IF(G11="Inbound",300,IF(G11="Оферта",200,0)))+S11)))</f>
        <v/>
      </c>
      <c r="U11" s="1" t="str">
        <f aca="false">IF(OR(B11="",T11=0),"",COUNTIFS($T$7:$T$56,"&gt;"&amp;T11)+COUNTIFS($T$7:T11,T11))</f>
        <v/>
      </c>
      <c r="V11" s="1" t="str">
        <f aca="false">IF(B11="","",IF(OR(J11="Да",K11="Да"),"Изключен",IF(T11=0,"Провери fit, контакт и evidence",IF(T11&gt;=400,"Обещан follow-up",IF(T11&gt;=300,"Входящ интерес",IF(T11&gt;=200,"Активна оферта",IF(S11&gt;=75,"P1 силна нужда и fit",IF(S11&gt;=55,"P2 нормален приоритет","P3 допълни research"))))))))</f>
        <v/>
      </c>
      <c r="W11" s="5" t="str">
        <f aca="false">HYPERLINK("BDS_Plan.docx#S07","Scoring в Word")</f>
        <v>Scoring в Word</v>
      </c>
    </row>
    <row r="12" customFormat="false" ht="28" hidden="false" customHeight="true" outlineLevel="0" collapsed="false">
      <c r="A12" s="28"/>
      <c r="B12" s="28"/>
      <c r="C12" s="28"/>
      <c r="D12" s="28"/>
      <c r="E12" s="28"/>
      <c r="F12" s="46"/>
      <c r="G12" s="28"/>
      <c r="H12" s="46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1" t="str">
        <f aca="false">IF(B12="","",SUM(L12:R12))</f>
        <v/>
      </c>
      <c r="T12" s="1" t="str">
        <f aca="false">IF(B12="","",IF(OR(J12="Да",K12="Да",I12&lt;&gt;"Да",D12="",E12="",F12=""),0,IF(AND(G12="Нов",S12&lt;35),0,IF(AND(G12="Follow-up",ISNUMBER(H12),H12&lt;=Допускания!$D$7),400,IF(G12="Inbound",300,IF(G12="Оферта",200,0)))+S12)))</f>
        <v/>
      </c>
      <c r="U12" s="1" t="str">
        <f aca="false">IF(OR(B12="",T12=0),"",COUNTIFS($T$7:$T$56,"&gt;"&amp;T12)+COUNTIFS($T$7:T12,T12))</f>
        <v/>
      </c>
      <c r="V12" s="1" t="str">
        <f aca="false">IF(B12="","",IF(OR(J12="Да",K12="Да"),"Изключен",IF(T12=0,"Провери fit, контакт и evidence",IF(T12&gt;=400,"Обещан follow-up",IF(T12&gt;=300,"Входящ интерес",IF(T12&gt;=200,"Активна оферта",IF(S12&gt;=75,"P1 силна нужда и fit",IF(S12&gt;=55,"P2 нормален приоритет","P3 допълни research"))))))))</f>
        <v/>
      </c>
      <c r="W12" s="5" t="str">
        <f aca="false">HYPERLINK("BDS_Plan.docx#S07","Scoring в Word")</f>
        <v>Scoring в Word</v>
      </c>
    </row>
    <row r="13" customFormat="false" ht="28" hidden="false" customHeight="true" outlineLevel="0" collapsed="false">
      <c r="A13" s="28"/>
      <c r="B13" s="28"/>
      <c r="C13" s="28"/>
      <c r="D13" s="28"/>
      <c r="E13" s="28"/>
      <c r="F13" s="46"/>
      <c r="G13" s="28"/>
      <c r="H13" s="46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1" t="str">
        <f aca="false">IF(B13="","",SUM(L13:R13))</f>
        <v/>
      </c>
      <c r="T13" s="1" t="str">
        <f aca="false">IF(B13="","",IF(OR(J13="Да",K13="Да",I13&lt;&gt;"Да",D13="",E13="",F13=""),0,IF(AND(G13="Нов",S13&lt;35),0,IF(AND(G13="Follow-up",ISNUMBER(H13),H13&lt;=Допускания!$D$7),400,IF(G13="Inbound",300,IF(G13="Оферта",200,0)))+S13)))</f>
        <v/>
      </c>
      <c r="U13" s="1" t="str">
        <f aca="false">IF(OR(B13="",T13=0),"",COUNTIFS($T$7:$T$56,"&gt;"&amp;T13)+COUNTIFS($T$7:T13,T13))</f>
        <v/>
      </c>
      <c r="V13" s="1" t="str">
        <f aca="false">IF(B13="","",IF(OR(J13="Да",K13="Да"),"Изключен",IF(T13=0,"Провери fit, контакт и evidence",IF(T13&gt;=400,"Обещан follow-up",IF(T13&gt;=300,"Входящ интерес",IF(T13&gt;=200,"Активна оферта",IF(S13&gt;=75,"P1 силна нужда и fit",IF(S13&gt;=55,"P2 нормален приоритет","P3 допълни research"))))))))</f>
        <v/>
      </c>
      <c r="W13" s="5" t="str">
        <f aca="false">HYPERLINK("BDS_Plan.docx#S07","Scoring в Word")</f>
        <v>Scoring в Word</v>
      </c>
    </row>
    <row r="14" customFormat="false" ht="28" hidden="false" customHeight="true" outlineLevel="0" collapsed="false">
      <c r="A14" s="28"/>
      <c r="B14" s="28"/>
      <c r="C14" s="28"/>
      <c r="D14" s="28"/>
      <c r="E14" s="28"/>
      <c r="F14" s="46"/>
      <c r="G14" s="28"/>
      <c r="H14" s="46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1" t="str">
        <f aca="false">IF(B14="","",SUM(L14:R14))</f>
        <v/>
      </c>
      <c r="T14" s="1" t="str">
        <f aca="false">IF(B14="","",IF(OR(J14="Да",K14="Да",I14&lt;&gt;"Да",D14="",E14="",F14=""),0,IF(AND(G14="Нов",S14&lt;35),0,IF(AND(G14="Follow-up",ISNUMBER(H14),H14&lt;=Допускания!$D$7),400,IF(G14="Inbound",300,IF(G14="Оферта",200,0)))+S14)))</f>
        <v/>
      </c>
      <c r="U14" s="1" t="str">
        <f aca="false">IF(OR(B14="",T14=0),"",COUNTIFS($T$7:$T$56,"&gt;"&amp;T14)+COUNTIFS($T$7:T14,T14))</f>
        <v/>
      </c>
      <c r="V14" s="1" t="str">
        <f aca="false">IF(B14="","",IF(OR(J14="Да",K14="Да"),"Изключен",IF(T14=0,"Провери fit, контакт и evidence",IF(T14&gt;=400,"Обещан follow-up",IF(T14&gt;=300,"Входящ интерес",IF(T14&gt;=200,"Активна оферта",IF(S14&gt;=75,"P1 силна нужда и fit",IF(S14&gt;=55,"P2 нормален приоритет","P3 допълни research"))))))))</f>
        <v/>
      </c>
      <c r="W14" s="5" t="str">
        <f aca="false">HYPERLINK("BDS_Plan.docx#S07","Scoring в Word")</f>
        <v>Scoring в Word</v>
      </c>
    </row>
    <row r="15" customFormat="false" ht="28" hidden="false" customHeight="true" outlineLevel="0" collapsed="false">
      <c r="A15" s="28"/>
      <c r="B15" s="28"/>
      <c r="C15" s="28"/>
      <c r="D15" s="28"/>
      <c r="E15" s="28"/>
      <c r="F15" s="46"/>
      <c r="G15" s="28"/>
      <c r="H15" s="46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1" t="str">
        <f aca="false">IF(B15="","",SUM(L15:R15))</f>
        <v/>
      </c>
      <c r="T15" s="1" t="str">
        <f aca="false">IF(B15="","",IF(OR(J15="Да",K15="Да",I15&lt;&gt;"Да",D15="",E15="",F15=""),0,IF(AND(G15="Нов",S15&lt;35),0,IF(AND(G15="Follow-up",ISNUMBER(H15),H15&lt;=Допускания!$D$7),400,IF(G15="Inbound",300,IF(G15="Оферта",200,0)))+S15)))</f>
        <v/>
      </c>
      <c r="U15" s="1" t="str">
        <f aca="false">IF(OR(B15="",T15=0),"",COUNTIFS($T$7:$T$56,"&gt;"&amp;T15)+COUNTIFS($T$7:T15,T15))</f>
        <v/>
      </c>
      <c r="V15" s="1" t="str">
        <f aca="false">IF(B15="","",IF(OR(J15="Да",K15="Да"),"Изключен",IF(T15=0,"Провери fit, контакт и evidence",IF(T15&gt;=400,"Обещан follow-up",IF(T15&gt;=300,"Входящ интерес",IF(T15&gt;=200,"Активна оферта",IF(S15&gt;=75,"P1 силна нужда и fit",IF(S15&gt;=55,"P2 нормален приоритет","P3 допълни research"))))))))</f>
        <v/>
      </c>
      <c r="W15" s="5" t="str">
        <f aca="false">HYPERLINK("BDS_Plan.docx#S07","Scoring в Word")</f>
        <v>Scoring в Word</v>
      </c>
    </row>
    <row r="16" customFormat="false" ht="28" hidden="false" customHeight="true" outlineLevel="0" collapsed="false">
      <c r="A16" s="28"/>
      <c r="B16" s="28"/>
      <c r="C16" s="28"/>
      <c r="D16" s="28"/>
      <c r="E16" s="28"/>
      <c r="F16" s="46"/>
      <c r="G16" s="28"/>
      <c r="H16" s="46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1" t="str">
        <f aca="false">IF(B16="","",SUM(L16:R16))</f>
        <v/>
      </c>
      <c r="T16" s="1" t="str">
        <f aca="false">IF(B16="","",IF(OR(J16="Да",K16="Да",I16&lt;&gt;"Да",D16="",E16="",F16=""),0,IF(AND(G16="Нов",S16&lt;35),0,IF(AND(G16="Follow-up",ISNUMBER(H16),H16&lt;=Допускания!$D$7),400,IF(G16="Inbound",300,IF(G16="Оферта",200,0)))+S16)))</f>
        <v/>
      </c>
      <c r="U16" s="1" t="str">
        <f aca="false">IF(OR(B16="",T16=0),"",COUNTIFS($T$7:$T$56,"&gt;"&amp;T16)+COUNTIFS($T$7:T16,T16))</f>
        <v/>
      </c>
      <c r="V16" s="1" t="str">
        <f aca="false">IF(B16="","",IF(OR(J16="Да",K16="Да"),"Изключен",IF(T16=0,"Провери fit, контакт и evidence",IF(T16&gt;=400,"Обещан follow-up",IF(T16&gt;=300,"Входящ интерес",IF(T16&gt;=200,"Активна оферта",IF(S16&gt;=75,"P1 силна нужда и fit",IF(S16&gt;=55,"P2 нормален приоритет","P3 допълни research"))))))))</f>
        <v/>
      </c>
      <c r="W16" s="5" t="str">
        <f aca="false">HYPERLINK("BDS_Plan.docx#S07","Scoring в Word")</f>
        <v>Scoring в Word</v>
      </c>
    </row>
    <row r="17" customFormat="false" ht="28" hidden="false" customHeight="true" outlineLevel="0" collapsed="false">
      <c r="A17" s="28"/>
      <c r="B17" s="28"/>
      <c r="C17" s="28"/>
      <c r="D17" s="28"/>
      <c r="E17" s="28"/>
      <c r="F17" s="46"/>
      <c r="G17" s="28"/>
      <c r="H17" s="46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1" t="str">
        <f aca="false">IF(B17="","",SUM(L17:R17))</f>
        <v/>
      </c>
      <c r="T17" s="1" t="str">
        <f aca="false">IF(B17="","",IF(OR(J17="Да",K17="Да",I17&lt;&gt;"Да",D17="",E17="",F17=""),0,IF(AND(G17="Нов",S17&lt;35),0,IF(AND(G17="Follow-up",ISNUMBER(H17),H17&lt;=Допускания!$D$7),400,IF(G17="Inbound",300,IF(G17="Оферта",200,0)))+S17)))</f>
        <v/>
      </c>
      <c r="U17" s="1" t="str">
        <f aca="false">IF(OR(B17="",T17=0),"",COUNTIFS($T$7:$T$56,"&gt;"&amp;T17)+COUNTIFS($T$7:T17,T17))</f>
        <v/>
      </c>
      <c r="V17" s="1" t="str">
        <f aca="false">IF(B17="","",IF(OR(J17="Да",K17="Да"),"Изключен",IF(T17=0,"Провери fit, контакт и evidence",IF(T17&gt;=400,"Обещан follow-up",IF(T17&gt;=300,"Входящ интерес",IF(T17&gt;=200,"Активна оферта",IF(S17&gt;=75,"P1 силна нужда и fit",IF(S17&gt;=55,"P2 нормален приоритет","P3 допълни research"))))))))</f>
        <v/>
      </c>
      <c r="W17" s="5" t="str">
        <f aca="false">HYPERLINK("BDS_Plan.docx#S07","Scoring в Word")</f>
        <v>Scoring в Word</v>
      </c>
    </row>
    <row r="18" customFormat="false" ht="28" hidden="false" customHeight="true" outlineLevel="0" collapsed="false">
      <c r="A18" s="28"/>
      <c r="B18" s="28"/>
      <c r="C18" s="28"/>
      <c r="D18" s="28"/>
      <c r="E18" s="28"/>
      <c r="F18" s="46"/>
      <c r="G18" s="28"/>
      <c r="H18" s="46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1" t="str">
        <f aca="false">IF(B18="","",SUM(L18:R18))</f>
        <v/>
      </c>
      <c r="T18" s="1" t="str">
        <f aca="false">IF(B18="","",IF(OR(J18="Да",K18="Да",I18&lt;&gt;"Да",D18="",E18="",F18=""),0,IF(AND(G18="Нов",S18&lt;35),0,IF(AND(G18="Follow-up",ISNUMBER(H18),H18&lt;=Допускания!$D$7),400,IF(G18="Inbound",300,IF(G18="Оферта",200,0)))+S18)))</f>
        <v/>
      </c>
      <c r="U18" s="1" t="str">
        <f aca="false">IF(OR(B18="",T18=0),"",COUNTIFS($T$7:$T$56,"&gt;"&amp;T18)+COUNTIFS($T$7:T18,T18))</f>
        <v/>
      </c>
      <c r="V18" s="1" t="str">
        <f aca="false">IF(B18="","",IF(OR(J18="Да",K18="Да"),"Изключен",IF(T18=0,"Провери fit, контакт и evidence",IF(T18&gt;=400,"Обещан follow-up",IF(T18&gt;=300,"Входящ интерес",IF(T18&gt;=200,"Активна оферта",IF(S18&gt;=75,"P1 силна нужда и fit",IF(S18&gt;=55,"P2 нормален приоритет","P3 допълни research"))))))))</f>
        <v/>
      </c>
      <c r="W18" s="5" t="str">
        <f aca="false">HYPERLINK("BDS_Plan.docx#S07","Scoring в Word")</f>
        <v>Scoring в Word</v>
      </c>
    </row>
    <row r="19" customFormat="false" ht="28" hidden="false" customHeight="true" outlineLevel="0" collapsed="false">
      <c r="A19" s="28"/>
      <c r="B19" s="28"/>
      <c r="C19" s="28"/>
      <c r="D19" s="28"/>
      <c r="E19" s="28"/>
      <c r="F19" s="46"/>
      <c r="G19" s="28"/>
      <c r="H19" s="46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1" t="str">
        <f aca="false">IF(B19="","",SUM(L19:R19))</f>
        <v/>
      </c>
      <c r="T19" s="1" t="str">
        <f aca="false">IF(B19="","",IF(OR(J19="Да",K19="Да",I19&lt;&gt;"Да",D19="",E19="",F19=""),0,IF(AND(G19="Нов",S19&lt;35),0,IF(AND(G19="Follow-up",ISNUMBER(H19),H19&lt;=Допускания!$D$7),400,IF(G19="Inbound",300,IF(G19="Оферта",200,0)))+S19)))</f>
        <v/>
      </c>
      <c r="U19" s="1" t="str">
        <f aca="false">IF(OR(B19="",T19=0),"",COUNTIFS($T$7:$T$56,"&gt;"&amp;T19)+COUNTIFS($T$7:T19,T19))</f>
        <v/>
      </c>
      <c r="V19" s="1" t="str">
        <f aca="false">IF(B19="","",IF(OR(J19="Да",K19="Да"),"Изключен",IF(T19=0,"Провери fit, контакт и evidence",IF(T19&gt;=400,"Обещан follow-up",IF(T19&gt;=300,"Входящ интерес",IF(T19&gt;=200,"Активна оферта",IF(S19&gt;=75,"P1 силна нужда и fit",IF(S19&gt;=55,"P2 нормален приоритет","P3 допълни research"))))))))</f>
        <v/>
      </c>
      <c r="W19" s="5" t="str">
        <f aca="false">HYPERLINK("BDS_Plan.docx#S07","Scoring в Word")</f>
        <v>Scoring в Word</v>
      </c>
    </row>
    <row r="20" customFormat="false" ht="28" hidden="false" customHeight="true" outlineLevel="0" collapsed="false">
      <c r="A20" s="28"/>
      <c r="B20" s="28"/>
      <c r="C20" s="28"/>
      <c r="D20" s="28"/>
      <c r="E20" s="28"/>
      <c r="F20" s="46"/>
      <c r="G20" s="28"/>
      <c r="H20" s="46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1" t="str">
        <f aca="false">IF(B20="","",SUM(L20:R20))</f>
        <v/>
      </c>
      <c r="T20" s="1" t="str">
        <f aca="false">IF(B20="","",IF(OR(J20="Да",K20="Да",I20&lt;&gt;"Да",D20="",E20="",F20=""),0,IF(AND(G20="Нов",S20&lt;35),0,IF(AND(G20="Follow-up",ISNUMBER(H20),H20&lt;=Допускания!$D$7),400,IF(G20="Inbound",300,IF(G20="Оферта",200,0)))+S20)))</f>
        <v/>
      </c>
      <c r="U20" s="1" t="str">
        <f aca="false">IF(OR(B20="",T20=0),"",COUNTIFS($T$7:$T$56,"&gt;"&amp;T20)+COUNTIFS($T$7:T20,T20))</f>
        <v/>
      </c>
      <c r="V20" s="1" t="str">
        <f aca="false">IF(B20="","",IF(OR(J20="Да",K20="Да"),"Изключен",IF(T20=0,"Провери fit, контакт и evidence",IF(T20&gt;=400,"Обещан follow-up",IF(T20&gt;=300,"Входящ интерес",IF(T20&gt;=200,"Активна оферта",IF(S20&gt;=75,"P1 силна нужда и fit",IF(S20&gt;=55,"P2 нормален приоритет","P3 допълни research"))))))))</f>
        <v/>
      </c>
      <c r="W20" s="5" t="str">
        <f aca="false">HYPERLINK("BDS_Plan.docx#S07","Scoring в Word")</f>
        <v>Scoring в Word</v>
      </c>
    </row>
    <row r="21" customFormat="false" ht="28" hidden="false" customHeight="true" outlineLevel="0" collapsed="false">
      <c r="A21" s="28"/>
      <c r="B21" s="28"/>
      <c r="C21" s="28"/>
      <c r="D21" s="28"/>
      <c r="E21" s="28"/>
      <c r="F21" s="46"/>
      <c r="G21" s="28"/>
      <c r="H21" s="46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1" t="str">
        <f aca="false">IF(B21="","",SUM(L21:R21))</f>
        <v/>
      </c>
      <c r="T21" s="1" t="str">
        <f aca="false">IF(B21="","",IF(OR(J21="Да",K21="Да",I21&lt;&gt;"Да",D21="",E21="",F21=""),0,IF(AND(G21="Нов",S21&lt;35),0,IF(AND(G21="Follow-up",ISNUMBER(H21),H21&lt;=Допускания!$D$7),400,IF(G21="Inbound",300,IF(G21="Оферта",200,0)))+S21)))</f>
        <v/>
      </c>
      <c r="U21" s="1" t="str">
        <f aca="false">IF(OR(B21="",T21=0),"",COUNTIFS($T$7:$T$56,"&gt;"&amp;T21)+COUNTIFS($T$7:T21,T21))</f>
        <v/>
      </c>
      <c r="V21" s="1" t="str">
        <f aca="false">IF(B21="","",IF(OR(J21="Да",K21="Да"),"Изключен",IF(T21=0,"Провери fit, контакт и evidence",IF(T21&gt;=400,"Обещан follow-up",IF(T21&gt;=300,"Входящ интерес",IF(T21&gt;=200,"Активна оферта",IF(S21&gt;=75,"P1 силна нужда и fit",IF(S21&gt;=55,"P2 нормален приоритет","P3 допълни research"))))))))</f>
        <v/>
      </c>
      <c r="W21" s="5" t="str">
        <f aca="false">HYPERLINK("BDS_Plan.docx#S07","Scoring в Word")</f>
        <v>Scoring в Word</v>
      </c>
    </row>
    <row r="22" customFormat="false" ht="28" hidden="false" customHeight="true" outlineLevel="0" collapsed="false">
      <c r="A22" s="28"/>
      <c r="B22" s="28"/>
      <c r="C22" s="28"/>
      <c r="D22" s="28"/>
      <c r="E22" s="28"/>
      <c r="F22" s="46"/>
      <c r="G22" s="28"/>
      <c r="H22" s="46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1" t="str">
        <f aca="false">IF(B22="","",SUM(L22:R22))</f>
        <v/>
      </c>
      <c r="T22" s="1" t="str">
        <f aca="false">IF(B22="","",IF(OR(J22="Да",K22="Да",I22&lt;&gt;"Да",D22="",E22="",F22=""),0,IF(AND(G22="Нов",S22&lt;35),0,IF(AND(G22="Follow-up",ISNUMBER(H22),H22&lt;=Допускания!$D$7),400,IF(G22="Inbound",300,IF(G22="Оферта",200,0)))+S22)))</f>
        <v/>
      </c>
      <c r="U22" s="1" t="str">
        <f aca="false">IF(OR(B22="",T22=0),"",COUNTIFS($T$7:$T$56,"&gt;"&amp;T22)+COUNTIFS($T$7:T22,T22))</f>
        <v/>
      </c>
      <c r="V22" s="1" t="str">
        <f aca="false">IF(B22="","",IF(OR(J22="Да",K22="Да"),"Изключен",IF(T22=0,"Провери fit, контакт и evidence",IF(T22&gt;=400,"Обещан follow-up",IF(T22&gt;=300,"Входящ интерес",IF(T22&gt;=200,"Активна оферта",IF(S22&gt;=75,"P1 силна нужда и fit",IF(S22&gt;=55,"P2 нормален приоритет","P3 допълни research"))))))))</f>
        <v/>
      </c>
      <c r="W22" s="5" t="str">
        <f aca="false">HYPERLINK("BDS_Plan.docx#S07","Scoring в Word")</f>
        <v>Scoring в Word</v>
      </c>
    </row>
    <row r="23" customFormat="false" ht="28" hidden="false" customHeight="true" outlineLevel="0" collapsed="false">
      <c r="A23" s="28"/>
      <c r="B23" s="28"/>
      <c r="C23" s="28"/>
      <c r="D23" s="28"/>
      <c r="E23" s="28"/>
      <c r="F23" s="46"/>
      <c r="G23" s="28"/>
      <c r="H23" s="46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1" t="str">
        <f aca="false">IF(B23="","",SUM(L23:R23))</f>
        <v/>
      </c>
      <c r="T23" s="1" t="str">
        <f aca="false">IF(B23="","",IF(OR(J23="Да",K23="Да",I23&lt;&gt;"Да",D23="",E23="",F23=""),0,IF(AND(G23="Нов",S23&lt;35),0,IF(AND(G23="Follow-up",ISNUMBER(H23),H23&lt;=Допускания!$D$7),400,IF(G23="Inbound",300,IF(G23="Оферта",200,0)))+S23)))</f>
        <v/>
      </c>
      <c r="U23" s="1" t="str">
        <f aca="false">IF(OR(B23="",T23=0),"",COUNTIFS($T$7:$T$56,"&gt;"&amp;T23)+COUNTIFS($T$7:T23,T23))</f>
        <v/>
      </c>
      <c r="V23" s="1" t="str">
        <f aca="false">IF(B23="","",IF(OR(J23="Да",K23="Да"),"Изключен",IF(T23=0,"Провери fit, контакт и evidence",IF(T23&gt;=400,"Обещан follow-up",IF(T23&gt;=300,"Входящ интерес",IF(T23&gt;=200,"Активна оферта",IF(S23&gt;=75,"P1 силна нужда и fit",IF(S23&gt;=55,"P2 нормален приоритет","P3 допълни research"))))))))</f>
        <v/>
      </c>
      <c r="W23" s="5" t="str">
        <f aca="false">HYPERLINK("BDS_Plan.docx#S07","Scoring в Word")</f>
        <v>Scoring в Word</v>
      </c>
    </row>
    <row r="24" customFormat="false" ht="28" hidden="false" customHeight="true" outlineLevel="0" collapsed="false">
      <c r="A24" s="28"/>
      <c r="B24" s="28"/>
      <c r="C24" s="28"/>
      <c r="D24" s="28"/>
      <c r="E24" s="28"/>
      <c r="F24" s="46"/>
      <c r="G24" s="28"/>
      <c r="H24" s="46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1" t="str">
        <f aca="false">IF(B24="","",SUM(L24:R24))</f>
        <v/>
      </c>
      <c r="T24" s="1" t="str">
        <f aca="false">IF(B24="","",IF(OR(J24="Да",K24="Да",I24&lt;&gt;"Да",D24="",E24="",F24=""),0,IF(AND(G24="Нов",S24&lt;35),0,IF(AND(G24="Follow-up",ISNUMBER(H24),H24&lt;=Допускания!$D$7),400,IF(G24="Inbound",300,IF(G24="Оферта",200,0)))+S24)))</f>
        <v/>
      </c>
      <c r="U24" s="1" t="str">
        <f aca="false">IF(OR(B24="",T24=0),"",COUNTIFS($T$7:$T$56,"&gt;"&amp;T24)+COUNTIFS($T$7:T24,T24))</f>
        <v/>
      </c>
      <c r="V24" s="1" t="str">
        <f aca="false">IF(B24="","",IF(OR(J24="Да",K24="Да"),"Изключен",IF(T24=0,"Провери fit, контакт и evidence",IF(T24&gt;=400,"Обещан follow-up",IF(T24&gt;=300,"Входящ интерес",IF(T24&gt;=200,"Активна оферта",IF(S24&gt;=75,"P1 силна нужда и fit",IF(S24&gt;=55,"P2 нормален приоритет","P3 допълни research"))))))))</f>
        <v/>
      </c>
      <c r="W24" s="5" t="str">
        <f aca="false">HYPERLINK("BDS_Plan.docx#S07","Scoring в Word")</f>
        <v>Scoring в Word</v>
      </c>
    </row>
    <row r="25" customFormat="false" ht="28" hidden="false" customHeight="true" outlineLevel="0" collapsed="false">
      <c r="A25" s="28"/>
      <c r="B25" s="28"/>
      <c r="C25" s="28"/>
      <c r="D25" s="28"/>
      <c r="E25" s="28"/>
      <c r="F25" s="46"/>
      <c r="G25" s="28"/>
      <c r="H25" s="46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1" t="str">
        <f aca="false">IF(B25="","",SUM(L25:R25))</f>
        <v/>
      </c>
      <c r="T25" s="1" t="str">
        <f aca="false">IF(B25="","",IF(OR(J25="Да",K25="Да",I25&lt;&gt;"Да",D25="",E25="",F25=""),0,IF(AND(G25="Нов",S25&lt;35),0,IF(AND(G25="Follow-up",ISNUMBER(H25),H25&lt;=Допускания!$D$7),400,IF(G25="Inbound",300,IF(G25="Оферта",200,0)))+S25)))</f>
        <v/>
      </c>
      <c r="U25" s="1" t="str">
        <f aca="false">IF(OR(B25="",T25=0),"",COUNTIFS($T$7:$T$56,"&gt;"&amp;T25)+COUNTIFS($T$7:T25,T25))</f>
        <v/>
      </c>
      <c r="V25" s="1" t="str">
        <f aca="false">IF(B25="","",IF(OR(J25="Да",K25="Да"),"Изключен",IF(T25=0,"Провери fit, контакт и evidence",IF(T25&gt;=400,"Обещан follow-up",IF(T25&gt;=300,"Входящ интерес",IF(T25&gt;=200,"Активна оферта",IF(S25&gt;=75,"P1 силна нужда и fit",IF(S25&gt;=55,"P2 нормален приоритет","P3 допълни research"))))))))</f>
        <v/>
      </c>
      <c r="W25" s="5" t="str">
        <f aca="false">HYPERLINK("BDS_Plan.docx#S07","Scoring в Word")</f>
        <v>Scoring в Word</v>
      </c>
    </row>
    <row r="26" customFormat="false" ht="28" hidden="false" customHeight="true" outlineLevel="0" collapsed="false">
      <c r="A26" s="28"/>
      <c r="B26" s="28"/>
      <c r="C26" s="28"/>
      <c r="D26" s="28"/>
      <c r="E26" s="28"/>
      <c r="F26" s="46"/>
      <c r="G26" s="28"/>
      <c r="H26" s="46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1" t="str">
        <f aca="false">IF(B26="","",SUM(L26:R26))</f>
        <v/>
      </c>
      <c r="T26" s="1" t="str">
        <f aca="false">IF(B26="","",IF(OR(J26="Да",K26="Да",I26&lt;&gt;"Да",D26="",E26="",F26=""),0,IF(AND(G26="Нов",S26&lt;35),0,IF(AND(G26="Follow-up",ISNUMBER(H26),H26&lt;=Допускания!$D$7),400,IF(G26="Inbound",300,IF(G26="Оферта",200,0)))+S26)))</f>
        <v/>
      </c>
      <c r="U26" s="1" t="str">
        <f aca="false">IF(OR(B26="",T26=0),"",COUNTIFS($T$7:$T$56,"&gt;"&amp;T26)+COUNTIFS($T$7:T26,T26))</f>
        <v/>
      </c>
      <c r="V26" s="1" t="str">
        <f aca="false">IF(B26="","",IF(OR(J26="Да",K26="Да"),"Изключен",IF(T26=0,"Провери fit, контакт и evidence",IF(T26&gt;=400,"Обещан follow-up",IF(T26&gt;=300,"Входящ интерес",IF(T26&gt;=200,"Активна оферта",IF(S26&gt;=75,"P1 силна нужда и fit",IF(S26&gt;=55,"P2 нормален приоритет","P3 допълни research"))))))))</f>
        <v/>
      </c>
      <c r="W26" s="5" t="str">
        <f aca="false">HYPERLINK("BDS_Plan.docx#S07","Scoring в Word")</f>
        <v>Scoring в Word</v>
      </c>
    </row>
    <row r="27" customFormat="false" ht="28" hidden="false" customHeight="true" outlineLevel="0" collapsed="false">
      <c r="A27" s="28"/>
      <c r="B27" s="28"/>
      <c r="C27" s="28"/>
      <c r="D27" s="28"/>
      <c r="E27" s="28"/>
      <c r="F27" s="46"/>
      <c r="G27" s="28"/>
      <c r="H27" s="46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1" t="str">
        <f aca="false">IF(B27="","",SUM(L27:R27))</f>
        <v/>
      </c>
      <c r="T27" s="1" t="str">
        <f aca="false">IF(B27="","",IF(OR(J27="Да",K27="Да",I27&lt;&gt;"Да",D27="",E27="",F27=""),0,IF(AND(G27="Нов",S27&lt;35),0,IF(AND(G27="Follow-up",ISNUMBER(H27),H27&lt;=Допускания!$D$7),400,IF(G27="Inbound",300,IF(G27="Оферта",200,0)))+S27)))</f>
        <v/>
      </c>
      <c r="U27" s="1" t="str">
        <f aca="false">IF(OR(B27="",T27=0),"",COUNTIFS($T$7:$T$56,"&gt;"&amp;T27)+COUNTIFS($T$7:T27,T27))</f>
        <v/>
      </c>
      <c r="V27" s="1" t="str">
        <f aca="false">IF(B27="","",IF(OR(J27="Да",K27="Да"),"Изключен",IF(T27=0,"Провери fit, контакт и evidence",IF(T27&gt;=400,"Обещан follow-up",IF(T27&gt;=300,"Входящ интерес",IF(T27&gt;=200,"Активна оферта",IF(S27&gt;=75,"P1 силна нужда и fit",IF(S27&gt;=55,"P2 нормален приоритет","P3 допълни research"))))))))</f>
        <v/>
      </c>
      <c r="W27" s="5" t="str">
        <f aca="false">HYPERLINK("BDS_Plan.docx#S07","Scoring в Word")</f>
        <v>Scoring в Word</v>
      </c>
    </row>
    <row r="28" customFormat="false" ht="28" hidden="false" customHeight="true" outlineLevel="0" collapsed="false">
      <c r="A28" s="28"/>
      <c r="B28" s="28"/>
      <c r="C28" s="28"/>
      <c r="D28" s="28"/>
      <c r="E28" s="28"/>
      <c r="F28" s="46"/>
      <c r="G28" s="28"/>
      <c r="H28" s="46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1" t="str">
        <f aca="false">IF(B28="","",SUM(L28:R28))</f>
        <v/>
      </c>
      <c r="T28" s="1" t="str">
        <f aca="false">IF(B28="","",IF(OR(J28="Да",K28="Да",I28&lt;&gt;"Да",D28="",E28="",F28=""),0,IF(AND(G28="Нов",S28&lt;35),0,IF(AND(G28="Follow-up",ISNUMBER(H28),H28&lt;=Допускания!$D$7),400,IF(G28="Inbound",300,IF(G28="Оферта",200,0)))+S28)))</f>
        <v/>
      </c>
      <c r="U28" s="1" t="str">
        <f aca="false">IF(OR(B28="",T28=0),"",COUNTIFS($T$7:$T$56,"&gt;"&amp;T28)+COUNTIFS($T$7:T28,T28))</f>
        <v/>
      </c>
      <c r="V28" s="1" t="str">
        <f aca="false">IF(B28="","",IF(OR(J28="Да",K28="Да"),"Изключен",IF(T28=0,"Провери fit, контакт и evidence",IF(T28&gt;=400,"Обещан follow-up",IF(T28&gt;=300,"Входящ интерес",IF(T28&gt;=200,"Активна оферта",IF(S28&gt;=75,"P1 силна нужда и fit",IF(S28&gt;=55,"P2 нормален приоритет","P3 допълни research"))))))))</f>
        <v/>
      </c>
      <c r="W28" s="5" t="str">
        <f aca="false">HYPERLINK("BDS_Plan.docx#S07","Scoring в Word")</f>
        <v>Scoring в Word</v>
      </c>
    </row>
    <row r="29" customFormat="false" ht="28" hidden="false" customHeight="true" outlineLevel="0" collapsed="false">
      <c r="A29" s="28"/>
      <c r="B29" s="28"/>
      <c r="C29" s="28"/>
      <c r="D29" s="28"/>
      <c r="E29" s="28"/>
      <c r="F29" s="46"/>
      <c r="G29" s="28"/>
      <c r="H29" s="46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1" t="str">
        <f aca="false">IF(B29="","",SUM(L29:R29))</f>
        <v/>
      </c>
      <c r="T29" s="1" t="str">
        <f aca="false">IF(B29="","",IF(OR(J29="Да",K29="Да",I29&lt;&gt;"Да",D29="",E29="",F29=""),0,IF(AND(G29="Нов",S29&lt;35),0,IF(AND(G29="Follow-up",ISNUMBER(H29),H29&lt;=Допускания!$D$7),400,IF(G29="Inbound",300,IF(G29="Оферта",200,0)))+S29)))</f>
        <v/>
      </c>
      <c r="U29" s="1" t="str">
        <f aca="false">IF(OR(B29="",T29=0),"",COUNTIFS($T$7:$T$56,"&gt;"&amp;T29)+COUNTIFS($T$7:T29,T29))</f>
        <v/>
      </c>
      <c r="V29" s="1" t="str">
        <f aca="false">IF(B29="","",IF(OR(J29="Да",K29="Да"),"Изключен",IF(T29=0,"Провери fit, контакт и evidence",IF(T29&gt;=400,"Обещан follow-up",IF(T29&gt;=300,"Входящ интерес",IF(T29&gt;=200,"Активна оферта",IF(S29&gt;=75,"P1 силна нужда и fit",IF(S29&gt;=55,"P2 нормален приоритет","P3 допълни research"))))))))</f>
        <v/>
      </c>
      <c r="W29" s="5" t="str">
        <f aca="false">HYPERLINK("BDS_Plan.docx#S07","Scoring в Word")</f>
        <v>Scoring в Word</v>
      </c>
    </row>
    <row r="30" customFormat="false" ht="28" hidden="false" customHeight="true" outlineLevel="0" collapsed="false">
      <c r="A30" s="28"/>
      <c r="B30" s="28"/>
      <c r="C30" s="28"/>
      <c r="D30" s="28"/>
      <c r="E30" s="28"/>
      <c r="F30" s="46"/>
      <c r="G30" s="28"/>
      <c r="H30" s="46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1" t="str">
        <f aca="false">IF(B30="","",SUM(L30:R30))</f>
        <v/>
      </c>
      <c r="T30" s="1" t="str">
        <f aca="false">IF(B30="","",IF(OR(J30="Да",K30="Да",I30&lt;&gt;"Да",D30="",E30="",F30=""),0,IF(AND(G30="Нов",S30&lt;35),0,IF(AND(G30="Follow-up",ISNUMBER(H30),H30&lt;=Допускания!$D$7),400,IF(G30="Inbound",300,IF(G30="Оферта",200,0)))+S30)))</f>
        <v/>
      </c>
      <c r="U30" s="1" t="str">
        <f aca="false">IF(OR(B30="",T30=0),"",COUNTIFS($T$7:$T$56,"&gt;"&amp;T30)+COUNTIFS($T$7:T30,T30))</f>
        <v/>
      </c>
      <c r="V30" s="1" t="str">
        <f aca="false">IF(B30="","",IF(OR(J30="Да",K30="Да"),"Изключен",IF(T30=0,"Провери fit, контакт и evidence",IF(T30&gt;=400,"Обещан follow-up",IF(T30&gt;=300,"Входящ интерес",IF(T30&gt;=200,"Активна оферта",IF(S30&gt;=75,"P1 силна нужда и fit",IF(S30&gt;=55,"P2 нормален приоритет","P3 допълни research"))))))))</f>
        <v/>
      </c>
      <c r="W30" s="5" t="str">
        <f aca="false">HYPERLINK("BDS_Plan.docx#S07","Scoring в Word")</f>
        <v>Scoring в Word</v>
      </c>
    </row>
    <row r="31" customFormat="false" ht="28" hidden="false" customHeight="true" outlineLevel="0" collapsed="false">
      <c r="A31" s="28"/>
      <c r="B31" s="28"/>
      <c r="C31" s="28"/>
      <c r="D31" s="28"/>
      <c r="E31" s="28"/>
      <c r="F31" s="46"/>
      <c r="G31" s="28"/>
      <c r="H31" s="46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1" t="str">
        <f aca="false">IF(B31="","",SUM(L31:R31))</f>
        <v/>
      </c>
      <c r="T31" s="1" t="str">
        <f aca="false">IF(B31="","",IF(OR(J31="Да",K31="Да",I31&lt;&gt;"Да",D31="",E31="",F31=""),0,IF(AND(G31="Нов",S31&lt;35),0,IF(AND(G31="Follow-up",ISNUMBER(H31),H31&lt;=Допускания!$D$7),400,IF(G31="Inbound",300,IF(G31="Оферта",200,0)))+S31)))</f>
        <v/>
      </c>
      <c r="U31" s="1" t="str">
        <f aca="false">IF(OR(B31="",T31=0),"",COUNTIFS($T$7:$T$56,"&gt;"&amp;T31)+COUNTIFS($T$7:T31,T31))</f>
        <v/>
      </c>
      <c r="V31" s="1" t="str">
        <f aca="false">IF(B31="","",IF(OR(J31="Да",K31="Да"),"Изключен",IF(T31=0,"Провери fit, контакт и evidence",IF(T31&gt;=400,"Обещан follow-up",IF(T31&gt;=300,"Входящ интерес",IF(T31&gt;=200,"Активна оферта",IF(S31&gt;=75,"P1 силна нужда и fit",IF(S31&gt;=55,"P2 нормален приоритет","P3 допълни research"))))))))</f>
        <v/>
      </c>
      <c r="W31" s="5" t="str">
        <f aca="false">HYPERLINK("BDS_Plan.docx#S07","Scoring в Word")</f>
        <v>Scoring в Word</v>
      </c>
    </row>
    <row r="32" customFormat="false" ht="28" hidden="false" customHeight="true" outlineLevel="0" collapsed="false">
      <c r="A32" s="28"/>
      <c r="B32" s="28"/>
      <c r="C32" s="28"/>
      <c r="D32" s="28"/>
      <c r="E32" s="28"/>
      <c r="F32" s="46"/>
      <c r="G32" s="28"/>
      <c r="H32" s="46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1" t="str">
        <f aca="false">IF(B32="","",SUM(L32:R32))</f>
        <v/>
      </c>
      <c r="T32" s="1" t="str">
        <f aca="false">IF(B32="","",IF(OR(J32="Да",K32="Да",I32&lt;&gt;"Да",D32="",E32="",F32=""),0,IF(AND(G32="Нов",S32&lt;35),0,IF(AND(G32="Follow-up",ISNUMBER(H32),H32&lt;=Допускания!$D$7),400,IF(G32="Inbound",300,IF(G32="Оферта",200,0)))+S32)))</f>
        <v/>
      </c>
      <c r="U32" s="1" t="str">
        <f aca="false">IF(OR(B32="",T32=0),"",COUNTIFS($T$7:$T$56,"&gt;"&amp;T32)+COUNTIFS($T$7:T32,T32))</f>
        <v/>
      </c>
      <c r="V32" s="1" t="str">
        <f aca="false">IF(B32="","",IF(OR(J32="Да",K32="Да"),"Изключен",IF(T32=0,"Провери fit, контакт и evidence",IF(T32&gt;=400,"Обещан follow-up",IF(T32&gt;=300,"Входящ интерес",IF(T32&gt;=200,"Активна оферта",IF(S32&gt;=75,"P1 силна нужда и fit",IF(S32&gt;=55,"P2 нормален приоритет","P3 допълни research"))))))))</f>
        <v/>
      </c>
      <c r="W32" s="5" t="str">
        <f aca="false">HYPERLINK("BDS_Plan.docx#S07","Scoring в Word")</f>
        <v>Scoring в Word</v>
      </c>
    </row>
    <row r="33" customFormat="false" ht="28" hidden="false" customHeight="true" outlineLevel="0" collapsed="false">
      <c r="A33" s="28"/>
      <c r="B33" s="28"/>
      <c r="C33" s="28"/>
      <c r="D33" s="28"/>
      <c r="E33" s="28"/>
      <c r="F33" s="46"/>
      <c r="G33" s="28"/>
      <c r="H33" s="46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1" t="str">
        <f aca="false">IF(B33="","",SUM(L33:R33))</f>
        <v/>
      </c>
      <c r="T33" s="1" t="str">
        <f aca="false">IF(B33="","",IF(OR(J33="Да",K33="Да",I33&lt;&gt;"Да",D33="",E33="",F33=""),0,IF(AND(G33="Нов",S33&lt;35),0,IF(AND(G33="Follow-up",ISNUMBER(H33),H33&lt;=Допускания!$D$7),400,IF(G33="Inbound",300,IF(G33="Оферта",200,0)))+S33)))</f>
        <v/>
      </c>
      <c r="U33" s="1" t="str">
        <f aca="false">IF(OR(B33="",T33=0),"",COUNTIFS($T$7:$T$56,"&gt;"&amp;T33)+COUNTIFS($T$7:T33,T33))</f>
        <v/>
      </c>
      <c r="V33" s="1" t="str">
        <f aca="false">IF(B33="","",IF(OR(J33="Да",K33="Да"),"Изключен",IF(T33=0,"Провери fit, контакт и evidence",IF(T33&gt;=400,"Обещан follow-up",IF(T33&gt;=300,"Входящ интерес",IF(T33&gt;=200,"Активна оферта",IF(S33&gt;=75,"P1 силна нужда и fit",IF(S33&gt;=55,"P2 нормален приоритет","P3 допълни research"))))))))</f>
        <v/>
      </c>
      <c r="W33" s="5" t="str">
        <f aca="false">HYPERLINK("BDS_Plan.docx#S07","Scoring в Word")</f>
        <v>Scoring в Word</v>
      </c>
    </row>
    <row r="34" customFormat="false" ht="28" hidden="false" customHeight="true" outlineLevel="0" collapsed="false">
      <c r="A34" s="28"/>
      <c r="B34" s="28"/>
      <c r="C34" s="28"/>
      <c r="D34" s="28"/>
      <c r="E34" s="28"/>
      <c r="F34" s="46"/>
      <c r="G34" s="28"/>
      <c r="H34" s="46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1" t="str">
        <f aca="false">IF(B34="","",SUM(L34:R34))</f>
        <v/>
      </c>
      <c r="T34" s="1" t="str">
        <f aca="false">IF(B34="","",IF(OR(J34="Да",K34="Да",I34&lt;&gt;"Да",D34="",E34="",F34=""),0,IF(AND(G34="Нов",S34&lt;35),0,IF(AND(G34="Follow-up",ISNUMBER(H34),H34&lt;=Допускания!$D$7),400,IF(G34="Inbound",300,IF(G34="Оферта",200,0)))+S34)))</f>
        <v/>
      </c>
      <c r="U34" s="1" t="str">
        <f aca="false">IF(OR(B34="",T34=0),"",COUNTIFS($T$7:$T$56,"&gt;"&amp;T34)+COUNTIFS($T$7:T34,T34))</f>
        <v/>
      </c>
      <c r="V34" s="1" t="str">
        <f aca="false">IF(B34="","",IF(OR(J34="Да",K34="Да"),"Изключен",IF(T34=0,"Провери fit, контакт и evidence",IF(T34&gt;=400,"Обещан follow-up",IF(T34&gt;=300,"Входящ интерес",IF(T34&gt;=200,"Активна оферта",IF(S34&gt;=75,"P1 силна нужда и fit",IF(S34&gt;=55,"P2 нормален приоритет","P3 допълни research"))))))))</f>
        <v/>
      </c>
      <c r="W34" s="5" t="str">
        <f aca="false">HYPERLINK("BDS_Plan.docx#S07","Scoring в Word")</f>
        <v>Scoring в Word</v>
      </c>
    </row>
    <row r="35" customFormat="false" ht="28" hidden="false" customHeight="true" outlineLevel="0" collapsed="false">
      <c r="A35" s="28"/>
      <c r="B35" s="28"/>
      <c r="C35" s="28"/>
      <c r="D35" s="28"/>
      <c r="E35" s="28"/>
      <c r="F35" s="46"/>
      <c r="G35" s="28"/>
      <c r="H35" s="46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1" t="str">
        <f aca="false">IF(B35="","",SUM(L35:R35))</f>
        <v/>
      </c>
      <c r="T35" s="1" t="str">
        <f aca="false">IF(B35="","",IF(OR(J35="Да",K35="Да",I35&lt;&gt;"Да",D35="",E35="",F35=""),0,IF(AND(G35="Нов",S35&lt;35),0,IF(AND(G35="Follow-up",ISNUMBER(H35),H35&lt;=Допускания!$D$7),400,IF(G35="Inbound",300,IF(G35="Оферта",200,0)))+S35)))</f>
        <v/>
      </c>
      <c r="U35" s="1" t="str">
        <f aca="false">IF(OR(B35="",T35=0),"",COUNTIFS($T$7:$T$56,"&gt;"&amp;T35)+COUNTIFS($T$7:T35,T35))</f>
        <v/>
      </c>
      <c r="V35" s="1" t="str">
        <f aca="false">IF(B35="","",IF(OR(J35="Да",K35="Да"),"Изключен",IF(T35=0,"Провери fit, контакт и evidence",IF(T35&gt;=400,"Обещан follow-up",IF(T35&gt;=300,"Входящ интерес",IF(T35&gt;=200,"Активна оферта",IF(S35&gt;=75,"P1 силна нужда и fit",IF(S35&gt;=55,"P2 нормален приоритет","P3 допълни research"))))))))</f>
        <v/>
      </c>
      <c r="W35" s="5" t="str">
        <f aca="false">HYPERLINK("BDS_Plan.docx#S07","Scoring в Word")</f>
        <v>Scoring в Word</v>
      </c>
    </row>
    <row r="36" customFormat="false" ht="28" hidden="false" customHeight="true" outlineLevel="0" collapsed="false">
      <c r="A36" s="28"/>
      <c r="B36" s="28"/>
      <c r="C36" s="28"/>
      <c r="D36" s="28"/>
      <c r="E36" s="28"/>
      <c r="F36" s="46"/>
      <c r="G36" s="28"/>
      <c r="H36" s="46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1" t="str">
        <f aca="false">IF(B36="","",SUM(L36:R36))</f>
        <v/>
      </c>
      <c r="T36" s="1" t="str">
        <f aca="false">IF(B36="","",IF(OR(J36="Да",K36="Да",I36&lt;&gt;"Да",D36="",E36="",F36=""),0,IF(AND(G36="Нов",S36&lt;35),0,IF(AND(G36="Follow-up",ISNUMBER(H36),H36&lt;=Допускания!$D$7),400,IF(G36="Inbound",300,IF(G36="Оферта",200,0)))+S36)))</f>
        <v/>
      </c>
      <c r="U36" s="1" t="str">
        <f aca="false">IF(OR(B36="",T36=0),"",COUNTIFS($T$7:$T$56,"&gt;"&amp;T36)+COUNTIFS($T$7:T36,T36))</f>
        <v/>
      </c>
      <c r="V36" s="1" t="str">
        <f aca="false">IF(B36="","",IF(OR(J36="Да",K36="Да"),"Изключен",IF(T36=0,"Провери fit, контакт и evidence",IF(T36&gt;=400,"Обещан follow-up",IF(T36&gt;=300,"Входящ интерес",IF(T36&gt;=200,"Активна оферта",IF(S36&gt;=75,"P1 силна нужда и fit",IF(S36&gt;=55,"P2 нормален приоритет","P3 допълни research"))))))))</f>
        <v/>
      </c>
      <c r="W36" s="5" t="str">
        <f aca="false">HYPERLINK("BDS_Plan.docx#S07","Scoring в Word")</f>
        <v>Scoring в Word</v>
      </c>
    </row>
    <row r="37" customFormat="false" ht="28" hidden="false" customHeight="true" outlineLevel="0" collapsed="false">
      <c r="A37" s="28"/>
      <c r="B37" s="28"/>
      <c r="C37" s="28"/>
      <c r="D37" s="28"/>
      <c r="E37" s="28"/>
      <c r="F37" s="46"/>
      <c r="G37" s="28"/>
      <c r="H37" s="46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1" t="str">
        <f aca="false">IF(B37="","",SUM(L37:R37))</f>
        <v/>
      </c>
      <c r="T37" s="1" t="str">
        <f aca="false">IF(B37="","",IF(OR(J37="Да",K37="Да",I37&lt;&gt;"Да",D37="",E37="",F37=""),0,IF(AND(G37="Нов",S37&lt;35),0,IF(AND(G37="Follow-up",ISNUMBER(H37),H37&lt;=Допускания!$D$7),400,IF(G37="Inbound",300,IF(G37="Оферта",200,0)))+S37)))</f>
        <v/>
      </c>
      <c r="U37" s="1" t="str">
        <f aca="false">IF(OR(B37="",T37=0),"",COUNTIFS($T$7:$T$56,"&gt;"&amp;T37)+COUNTIFS($T$7:T37,T37))</f>
        <v/>
      </c>
      <c r="V37" s="1" t="str">
        <f aca="false">IF(B37="","",IF(OR(J37="Да",K37="Да"),"Изключен",IF(T37=0,"Провери fit, контакт и evidence",IF(T37&gt;=400,"Обещан follow-up",IF(T37&gt;=300,"Входящ интерес",IF(T37&gt;=200,"Активна оферта",IF(S37&gt;=75,"P1 силна нужда и fit",IF(S37&gt;=55,"P2 нормален приоритет","P3 допълни research"))))))))</f>
        <v/>
      </c>
      <c r="W37" s="5" t="str">
        <f aca="false">HYPERLINK("BDS_Plan.docx#S07","Scoring в Word")</f>
        <v>Scoring в Word</v>
      </c>
    </row>
    <row r="38" customFormat="false" ht="28" hidden="false" customHeight="true" outlineLevel="0" collapsed="false">
      <c r="A38" s="28"/>
      <c r="B38" s="28"/>
      <c r="C38" s="28"/>
      <c r="D38" s="28"/>
      <c r="E38" s="28"/>
      <c r="F38" s="46"/>
      <c r="G38" s="28"/>
      <c r="H38" s="46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1" t="str">
        <f aca="false">IF(B38="","",SUM(L38:R38))</f>
        <v/>
      </c>
      <c r="T38" s="1" t="str">
        <f aca="false">IF(B38="","",IF(OR(J38="Да",K38="Да",I38&lt;&gt;"Да",D38="",E38="",F38=""),0,IF(AND(G38="Нов",S38&lt;35),0,IF(AND(G38="Follow-up",ISNUMBER(H38),H38&lt;=Допускания!$D$7),400,IF(G38="Inbound",300,IF(G38="Оферта",200,0)))+S38)))</f>
        <v/>
      </c>
      <c r="U38" s="1" t="str">
        <f aca="false">IF(OR(B38="",T38=0),"",COUNTIFS($T$7:$T$56,"&gt;"&amp;T38)+COUNTIFS($T$7:T38,T38))</f>
        <v/>
      </c>
      <c r="V38" s="1" t="str">
        <f aca="false">IF(B38="","",IF(OR(J38="Да",K38="Да"),"Изключен",IF(T38=0,"Провери fit, контакт и evidence",IF(T38&gt;=400,"Обещан follow-up",IF(T38&gt;=300,"Входящ интерес",IF(T38&gt;=200,"Активна оферта",IF(S38&gt;=75,"P1 силна нужда и fit",IF(S38&gt;=55,"P2 нормален приоритет","P3 допълни research"))))))))</f>
        <v/>
      </c>
      <c r="W38" s="5" t="str">
        <f aca="false">HYPERLINK("BDS_Plan.docx#S07","Scoring в Word")</f>
        <v>Scoring в Word</v>
      </c>
    </row>
    <row r="39" customFormat="false" ht="28" hidden="false" customHeight="true" outlineLevel="0" collapsed="false">
      <c r="A39" s="28"/>
      <c r="B39" s="28"/>
      <c r="C39" s="28"/>
      <c r="D39" s="28"/>
      <c r="E39" s="28"/>
      <c r="F39" s="46"/>
      <c r="G39" s="28"/>
      <c r="H39" s="46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1" t="str">
        <f aca="false">IF(B39="","",SUM(L39:R39))</f>
        <v/>
      </c>
      <c r="T39" s="1" t="str">
        <f aca="false">IF(B39="","",IF(OR(J39="Да",K39="Да",I39&lt;&gt;"Да",D39="",E39="",F39=""),0,IF(AND(G39="Нов",S39&lt;35),0,IF(AND(G39="Follow-up",ISNUMBER(H39),H39&lt;=Допускания!$D$7),400,IF(G39="Inbound",300,IF(G39="Оферта",200,0)))+S39)))</f>
        <v/>
      </c>
      <c r="U39" s="1" t="str">
        <f aca="false">IF(OR(B39="",T39=0),"",COUNTIFS($T$7:$T$56,"&gt;"&amp;T39)+COUNTIFS($T$7:T39,T39))</f>
        <v/>
      </c>
      <c r="V39" s="1" t="str">
        <f aca="false">IF(B39="","",IF(OR(J39="Да",K39="Да"),"Изключен",IF(T39=0,"Провери fit, контакт и evidence",IF(T39&gt;=400,"Обещан follow-up",IF(T39&gt;=300,"Входящ интерес",IF(T39&gt;=200,"Активна оферта",IF(S39&gt;=75,"P1 силна нужда и fit",IF(S39&gt;=55,"P2 нормален приоритет","P3 допълни research"))))))))</f>
        <v/>
      </c>
      <c r="W39" s="5" t="str">
        <f aca="false">HYPERLINK("BDS_Plan.docx#S07","Scoring в Word")</f>
        <v>Scoring в Word</v>
      </c>
    </row>
    <row r="40" customFormat="false" ht="28" hidden="false" customHeight="true" outlineLevel="0" collapsed="false">
      <c r="A40" s="28"/>
      <c r="B40" s="28"/>
      <c r="C40" s="28"/>
      <c r="D40" s="28"/>
      <c r="E40" s="28"/>
      <c r="F40" s="46"/>
      <c r="G40" s="28"/>
      <c r="H40" s="46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1" t="str">
        <f aca="false">IF(B40="","",SUM(L40:R40))</f>
        <v/>
      </c>
      <c r="T40" s="1" t="str">
        <f aca="false">IF(B40="","",IF(OR(J40="Да",K40="Да",I40&lt;&gt;"Да",D40="",E40="",F40=""),0,IF(AND(G40="Нов",S40&lt;35),0,IF(AND(G40="Follow-up",ISNUMBER(H40),H40&lt;=Допускания!$D$7),400,IF(G40="Inbound",300,IF(G40="Оферта",200,0)))+S40)))</f>
        <v/>
      </c>
      <c r="U40" s="1" t="str">
        <f aca="false">IF(OR(B40="",T40=0),"",COUNTIFS($T$7:$T$56,"&gt;"&amp;T40)+COUNTIFS($T$7:T40,T40))</f>
        <v/>
      </c>
      <c r="V40" s="1" t="str">
        <f aca="false">IF(B40="","",IF(OR(J40="Да",K40="Да"),"Изключен",IF(T40=0,"Провери fit, контакт и evidence",IF(T40&gt;=400,"Обещан follow-up",IF(T40&gt;=300,"Входящ интерес",IF(T40&gt;=200,"Активна оферта",IF(S40&gt;=75,"P1 силна нужда и fit",IF(S40&gt;=55,"P2 нормален приоритет","P3 допълни research"))))))))</f>
        <v/>
      </c>
      <c r="W40" s="5" t="str">
        <f aca="false">HYPERLINK("BDS_Plan.docx#S07","Scoring в Word")</f>
        <v>Scoring в Word</v>
      </c>
    </row>
    <row r="41" customFormat="false" ht="28" hidden="false" customHeight="true" outlineLevel="0" collapsed="false">
      <c r="A41" s="28"/>
      <c r="B41" s="28"/>
      <c r="C41" s="28"/>
      <c r="D41" s="28"/>
      <c r="E41" s="28"/>
      <c r="F41" s="46"/>
      <c r="G41" s="28"/>
      <c r="H41" s="46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1" t="str">
        <f aca="false">IF(B41="","",SUM(L41:R41))</f>
        <v/>
      </c>
      <c r="T41" s="1" t="str">
        <f aca="false">IF(B41="","",IF(OR(J41="Да",K41="Да",I41&lt;&gt;"Да",D41="",E41="",F41=""),0,IF(AND(G41="Нов",S41&lt;35),0,IF(AND(G41="Follow-up",ISNUMBER(H41),H41&lt;=Допускания!$D$7),400,IF(G41="Inbound",300,IF(G41="Оферта",200,0)))+S41)))</f>
        <v/>
      </c>
      <c r="U41" s="1" t="str">
        <f aca="false">IF(OR(B41="",T41=0),"",COUNTIFS($T$7:$T$56,"&gt;"&amp;T41)+COUNTIFS($T$7:T41,T41))</f>
        <v/>
      </c>
      <c r="V41" s="1" t="str">
        <f aca="false">IF(B41="","",IF(OR(J41="Да",K41="Да"),"Изключен",IF(T41=0,"Провери fit, контакт и evidence",IF(T41&gt;=400,"Обещан follow-up",IF(T41&gt;=300,"Входящ интерес",IF(T41&gt;=200,"Активна оферта",IF(S41&gt;=75,"P1 силна нужда и fit",IF(S41&gt;=55,"P2 нормален приоритет","P3 допълни research"))))))))</f>
        <v/>
      </c>
      <c r="W41" s="5" t="str">
        <f aca="false">HYPERLINK("BDS_Plan.docx#S07","Scoring в Word")</f>
        <v>Scoring в Word</v>
      </c>
    </row>
    <row r="42" customFormat="false" ht="28" hidden="false" customHeight="true" outlineLevel="0" collapsed="false">
      <c r="A42" s="28"/>
      <c r="B42" s="28"/>
      <c r="C42" s="28"/>
      <c r="D42" s="28"/>
      <c r="E42" s="28"/>
      <c r="F42" s="46"/>
      <c r="G42" s="28"/>
      <c r="H42" s="46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1" t="str">
        <f aca="false">IF(B42="","",SUM(L42:R42))</f>
        <v/>
      </c>
      <c r="T42" s="1" t="str">
        <f aca="false">IF(B42="","",IF(OR(J42="Да",K42="Да",I42&lt;&gt;"Да",D42="",E42="",F42=""),0,IF(AND(G42="Нов",S42&lt;35),0,IF(AND(G42="Follow-up",ISNUMBER(H42),H42&lt;=Допускания!$D$7),400,IF(G42="Inbound",300,IF(G42="Оферта",200,0)))+S42)))</f>
        <v/>
      </c>
      <c r="U42" s="1" t="str">
        <f aca="false">IF(OR(B42="",T42=0),"",COUNTIFS($T$7:$T$56,"&gt;"&amp;T42)+COUNTIFS($T$7:T42,T42))</f>
        <v/>
      </c>
      <c r="V42" s="1" t="str">
        <f aca="false">IF(B42="","",IF(OR(J42="Да",K42="Да"),"Изключен",IF(T42=0,"Провери fit, контакт и evidence",IF(T42&gt;=400,"Обещан follow-up",IF(T42&gt;=300,"Входящ интерес",IF(T42&gt;=200,"Активна оферта",IF(S42&gt;=75,"P1 силна нужда и fit",IF(S42&gt;=55,"P2 нормален приоритет","P3 допълни research"))))))))</f>
        <v/>
      </c>
      <c r="W42" s="5" t="str">
        <f aca="false">HYPERLINK("BDS_Plan.docx#S07","Scoring в Word")</f>
        <v>Scoring в Word</v>
      </c>
    </row>
    <row r="43" customFormat="false" ht="28" hidden="false" customHeight="true" outlineLevel="0" collapsed="false">
      <c r="A43" s="28"/>
      <c r="B43" s="28"/>
      <c r="C43" s="28"/>
      <c r="D43" s="28"/>
      <c r="E43" s="28"/>
      <c r="F43" s="46"/>
      <c r="G43" s="28"/>
      <c r="H43" s="46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1" t="str">
        <f aca="false">IF(B43="","",SUM(L43:R43))</f>
        <v/>
      </c>
      <c r="T43" s="1" t="str">
        <f aca="false">IF(B43="","",IF(OR(J43="Да",K43="Да",I43&lt;&gt;"Да",D43="",E43="",F43=""),0,IF(AND(G43="Нов",S43&lt;35),0,IF(AND(G43="Follow-up",ISNUMBER(H43),H43&lt;=Допускания!$D$7),400,IF(G43="Inbound",300,IF(G43="Оферта",200,0)))+S43)))</f>
        <v/>
      </c>
      <c r="U43" s="1" t="str">
        <f aca="false">IF(OR(B43="",T43=0),"",COUNTIFS($T$7:$T$56,"&gt;"&amp;T43)+COUNTIFS($T$7:T43,T43))</f>
        <v/>
      </c>
      <c r="V43" s="1" t="str">
        <f aca="false">IF(B43="","",IF(OR(J43="Да",K43="Да"),"Изключен",IF(T43=0,"Провери fit, контакт и evidence",IF(T43&gt;=400,"Обещан follow-up",IF(T43&gt;=300,"Входящ интерес",IF(T43&gt;=200,"Активна оферта",IF(S43&gt;=75,"P1 силна нужда и fit",IF(S43&gt;=55,"P2 нормален приоритет","P3 допълни research"))))))))</f>
        <v/>
      </c>
      <c r="W43" s="5" t="str">
        <f aca="false">HYPERLINK("BDS_Plan.docx#S07","Scoring в Word")</f>
        <v>Scoring в Word</v>
      </c>
    </row>
    <row r="44" customFormat="false" ht="28" hidden="false" customHeight="true" outlineLevel="0" collapsed="false">
      <c r="A44" s="28"/>
      <c r="B44" s="28"/>
      <c r="C44" s="28"/>
      <c r="D44" s="28"/>
      <c r="E44" s="28"/>
      <c r="F44" s="46"/>
      <c r="G44" s="28"/>
      <c r="H44" s="46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1" t="str">
        <f aca="false">IF(B44="","",SUM(L44:R44))</f>
        <v/>
      </c>
      <c r="T44" s="1" t="str">
        <f aca="false">IF(B44="","",IF(OR(J44="Да",K44="Да",I44&lt;&gt;"Да",D44="",E44="",F44=""),0,IF(AND(G44="Нов",S44&lt;35),0,IF(AND(G44="Follow-up",ISNUMBER(H44),H44&lt;=Допускания!$D$7),400,IF(G44="Inbound",300,IF(G44="Оферта",200,0)))+S44)))</f>
        <v/>
      </c>
      <c r="U44" s="1" t="str">
        <f aca="false">IF(OR(B44="",T44=0),"",COUNTIFS($T$7:$T$56,"&gt;"&amp;T44)+COUNTIFS($T$7:T44,T44))</f>
        <v/>
      </c>
      <c r="V44" s="1" t="str">
        <f aca="false">IF(B44="","",IF(OR(J44="Да",K44="Да"),"Изключен",IF(T44=0,"Провери fit, контакт и evidence",IF(T44&gt;=400,"Обещан follow-up",IF(T44&gt;=300,"Входящ интерес",IF(T44&gt;=200,"Активна оферта",IF(S44&gt;=75,"P1 силна нужда и fit",IF(S44&gt;=55,"P2 нормален приоритет","P3 допълни research"))))))))</f>
        <v/>
      </c>
      <c r="W44" s="5" t="str">
        <f aca="false">HYPERLINK("BDS_Plan.docx#S07","Scoring в Word")</f>
        <v>Scoring в Word</v>
      </c>
    </row>
    <row r="45" customFormat="false" ht="28" hidden="false" customHeight="true" outlineLevel="0" collapsed="false">
      <c r="A45" s="28"/>
      <c r="B45" s="28"/>
      <c r="C45" s="28"/>
      <c r="D45" s="28"/>
      <c r="E45" s="28"/>
      <c r="F45" s="46"/>
      <c r="G45" s="28"/>
      <c r="H45" s="46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1" t="str">
        <f aca="false">IF(B45="","",SUM(L45:R45))</f>
        <v/>
      </c>
      <c r="T45" s="1" t="str">
        <f aca="false">IF(B45="","",IF(OR(J45="Да",K45="Да",I45&lt;&gt;"Да",D45="",E45="",F45=""),0,IF(AND(G45="Нов",S45&lt;35),0,IF(AND(G45="Follow-up",ISNUMBER(H45),H45&lt;=Допускания!$D$7),400,IF(G45="Inbound",300,IF(G45="Оферта",200,0)))+S45)))</f>
        <v/>
      </c>
      <c r="U45" s="1" t="str">
        <f aca="false">IF(OR(B45="",T45=0),"",COUNTIFS($T$7:$T$56,"&gt;"&amp;T45)+COUNTIFS($T$7:T45,T45))</f>
        <v/>
      </c>
      <c r="V45" s="1" t="str">
        <f aca="false">IF(B45="","",IF(OR(J45="Да",K45="Да"),"Изключен",IF(T45=0,"Провери fit, контакт и evidence",IF(T45&gt;=400,"Обещан follow-up",IF(T45&gt;=300,"Входящ интерес",IF(T45&gt;=200,"Активна оферта",IF(S45&gt;=75,"P1 силна нужда и fit",IF(S45&gt;=55,"P2 нормален приоритет","P3 допълни research"))))))))</f>
        <v/>
      </c>
      <c r="W45" s="5" t="str">
        <f aca="false">HYPERLINK("BDS_Plan.docx#S07","Scoring в Word")</f>
        <v>Scoring в Word</v>
      </c>
    </row>
    <row r="46" customFormat="false" ht="28" hidden="false" customHeight="true" outlineLevel="0" collapsed="false">
      <c r="A46" s="28"/>
      <c r="B46" s="28"/>
      <c r="C46" s="28"/>
      <c r="D46" s="28"/>
      <c r="E46" s="28"/>
      <c r="F46" s="46"/>
      <c r="G46" s="28"/>
      <c r="H46" s="46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1" t="str">
        <f aca="false">IF(B46="","",SUM(L46:R46))</f>
        <v/>
      </c>
      <c r="T46" s="1" t="str">
        <f aca="false">IF(B46="","",IF(OR(J46="Да",K46="Да",I46&lt;&gt;"Да",D46="",E46="",F46=""),0,IF(AND(G46="Нов",S46&lt;35),0,IF(AND(G46="Follow-up",ISNUMBER(H46),H46&lt;=Допускания!$D$7),400,IF(G46="Inbound",300,IF(G46="Оферта",200,0)))+S46)))</f>
        <v/>
      </c>
      <c r="U46" s="1" t="str">
        <f aca="false">IF(OR(B46="",T46=0),"",COUNTIFS($T$7:$T$56,"&gt;"&amp;T46)+COUNTIFS($T$7:T46,T46))</f>
        <v/>
      </c>
      <c r="V46" s="1" t="str">
        <f aca="false">IF(B46="","",IF(OR(J46="Да",K46="Да"),"Изключен",IF(T46=0,"Провери fit, контакт и evidence",IF(T46&gt;=400,"Обещан follow-up",IF(T46&gt;=300,"Входящ интерес",IF(T46&gt;=200,"Активна оферта",IF(S46&gt;=75,"P1 силна нужда и fit",IF(S46&gt;=55,"P2 нормален приоритет","P3 допълни research"))))))))</f>
        <v/>
      </c>
      <c r="W46" s="5" t="str">
        <f aca="false">HYPERLINK("BDS_Plan.docx#S07","Scoring в Word")</f>
        <v>Scoring в Word</v>
      </c>
    </row>
    <row r="47" customFormat="false" ht="28" hidden="false" customHeight="true" outlineLevel="0" collapsed="false">
      <c r="A47" s="28"/>
      <c r="B47" s="28"/>
      <c r="C47" s="28"/>
      <c r="D47" s="28"/>
      <c r="E47" s="28"/>
      <c r="F47" s="46"/>
      <c r="G47" s="28"/>
      <c r="H47" s="46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1" t="str">
        <f aca="false">IF(B47="","",SUM(L47:R47))</f>
        <v/>
      </c>
      <c r="T47" s="1" t="str">
        <f aca="false">IF(B47="","",IF(OR(J47="Да",K47="Да",I47&lt;&gt;"Да",D47="",E47="",F47=""),0,IF(AND(G47="Нов",S47&lt;35),0,IF(AND(G47="Follow-up",ISNUMBER(H47),H47&lt;=Допускания!$D$7),400,IF(G47="Inbound",300,IF(G47="Оферта",200,0)))+S47)))</f>
        <v/>
      </c>
      <c r="U47" s="1" t="str">
        <f aca="false">IF(OR(B47="",T47=0),"",COUNTIFS($T$7:$T$56,"&gt;"&amp;T47)+COUNTIFS($T$7:T47,T47))</f>
        <v/>
      </c>
      <c r="V47" s="1" t="str">
        <f aca="false">IF(B47="","",IF(OR(J47="Да",K47="Да"),"Изключен",IF(T47=0,"Провери fit, контакт и evidence",IF(T47&gt;=400,"Обещан follow-up",IF(T47&gt;=300,"Входящ интерес",IF(T47&gt;=200,"Активна оферта",IF(S47&gt;=75,"P1 силна нужда и fit",IF(S47&gt;=55,"P2 нормален приоритет","P3 допълни research"))))))))</f>
        <v/>
      </c>
      <c r="W47" s="5" t="str">
        <f aca="false">HYPERLINK("BDS_Plan.docx#S07","Scoring в Word")</f>
        <v>Scoring в Word</v>
      </c>
    </row>
    <row r="48" customFormat="false" ht="28" hidden="false" customHeight="true" outlineLevel="0" collapsed="false">
      <c r="A48" s="28"/>
      <c r="B48" s="28"/>
      <c r="C48" s="28"/>
      <c r="D48" s="28"/>
      <c r="E48" s="28"/>
      <c r="F48" s="46"/>
      <c r="G48" s="28"/>
      <c r="H48" s="46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1" t="str">
        <f aca="false">IF(B48="","",SUM(L48:R48))</f>
        <v/>
      </c>
      <c r="T48" s="1" t="str">
        <f aca="false">IF(B48="","",IF(OR(J48="Да",K48="Да",I48&lt;&gt;"Да",D48="",E48="",F48=""),0,IF(AND(G48="Нов",S48&lt;35),0,IF(AND(G48="Follow-up",ISNUMBER(H48),H48&lt;=Допускания!$D$7),400,IF(G48="Inbound",300,IF(G48="Оферта",200,0)))+S48)))</f>
        <v/>
      </c>
      <c r="U48" s="1" t="str">
        <f aca="false">IF(OR(B48="",T48=0),"",COUNTIFS($T$7:$T$56,"&gt;"&amp;T48)+COUNTIFS($T$7:T48,T48))</f>
        <v/>
      </c>
      <c r="V48" s="1" t="str">
        <f aca="false">IF(B48="","",IF(OR(J48="Да",K48="Да"),"Изключен",IF(T48=0,"Провери fit, контакт и evidence",IF(T48&gt;=400,"Обещан follow-up",IF(T48&gt;=300,"Входящ интерес",IF(T48&gt;=200,"Активна оферта",IF(S48&gt;=75,"P1 силна нужда и fit",IF(S48&gt;=55,"P2 нормален приоритет","P3 допълни research"))))))))</f>
        <v/>
      </c>
      <c r="W48" s="5" t="str">
        <f aca="false">HYPERLINK("BDS_Plan.docx#S07","Scoring в Word")</f>
        <v>Scoring в Word</v>
      </c>
    </row>
    <row r="49" customFormat="false" ht="28" hidden="false" customHeight="true" outlineLevel="0" collapsed="false">
      <c r="A49" s="28"/>
      <c r="B49" s="28"/>
      <c r="C49" s="28"/>
      <c r="D49" s="28"/>
      <c r="E49" s="28"/>
      <c r="F49" s="46"/>
      <c r="G49" s="28"/>
      <c r="H49" s="46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1" t="str">
        <f aca="false">IF(B49="","",SUM(L49:R49))</f>
        <v/>
      </c>
      <c r="T49" s="1" t="str">
        <f aca="false">IF(B49="","",IF(OR(J49="Да",K49="Да",I49&lt;&gt;"Да",D49="",E49="",F49=""),0,IF(AND(G49="Нов",S49&lt;35),0,IF(AND(G49="Follow-up",ISNUMBER(H49),H49&lt;=Допускания!$D$7),400,IF(G49="Inbound",300,IF(G49="Оферта",200,0)))+S49)))</f>
        <v/>
      </c>
      <c r="U49" s="1" t="str">
        <f aca="false">IF(OR(B49="",T49=0),"",COUNTIFS($T$7:$T$56,"&gt;"&amp;T49)+COUNTIFS($T$7:T49,T49))</f>
        <v/>
      </c>
      <c r="V49" s="1" t="str">
        <f aca="false">IF(B49="","",IF(OR(J49="Да",K49="Да"),"Изключен",IF(T49=0,"Провери fit, контакт и evidence",IF(T49&gt;=400,"Обещан follow-up",IF(T49&gt;=300,"Входящ интерес",IF(T49&gt;=200,"Активна оферта",IF(S49&gt;=75,"P1 силна нужда и fit",IF(S49&gt;=55,"P2 нормален приоритет","P3 допълни research"))))))))</f>
        <v/>
      </c>
      <c r="W49" s="5" t="str">
        <f aca="false">HYPERLINK("BDS_Plan.docx#S07","Scoring в Word")</f>
        <v>Scoring в Word</v>
      </c>
    </row>
    <row r="50" customFormat="false" ht="28" hidden="false" customHeight="true" outlineLevel="0" collapsed="false">
      <c r="A50" s="28"/>
      <c r="B50" s="28"/>
      <c r="C50" s="28"/>
      <c r="D50" s="28"/>
      <c r="E50" s="28"/>
      <c r="F50" s="46"/>
      <c r="G50" s="28"/>
      <c r="H50" s="46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1" t="str">
        <f aca="false">IF(B50="","",SUM(L50:R50))</f>
        <v/>
      </c>
      <c r="T50" s="1" t="str">
        <f aca="false">IF(B50="","",IF(OR(J50="Да",K50="Да",I50&lt;&gt;"Да",D50="",E50="",F50=""),0,IF(AND(G50="Нов",S50&lt;35),0,IF(AND(G50="Follow-up",ISNUMBER(H50),H50&lt;=Допускания!$D$7),400,IF(G50="Inbound",300,IF(G50="Оферта",200,0)))+S50)))</f>
        <v/>
      </c>
      <c r="U50" s="1" t="str">
        <f aca="false">IF(OR(B50="",T50=0),"",COUNTIFS($T$7:$T$56,"&gt;"&amp;T50)+COUNTIFS($T$7:T50,T50))</f>
        <v/>
      </c>
      <c r="V50" s="1" t="str">
        <f aca="false">IF(B50="","",IF(OR(J50="Да",K50="Да"),"Изключен",IF(T50=0,"Провери fit, контакт и evidence",IF(T50&gt;=400,"Обещан follow-up",IF(T50&gt;=300,"Входящ интерес",IF(T50&gt;=200,"Активна оферта",IF(S50&gt;=75,"P1 силна нужда и fit",IF(S50&gt;=55,"P2 нормален приоритет","P3 допълни research"))))))))</f>
        <v/>
      </c>
      <c r="W50" s="5" t="str">
        <f aca="false">HYPERLINK("BDS_Plan.docx#S07","Scoring в Word")</f>
        <v>Scoring в Word</v>
      </c>
    </row>
    <row r="51" customFormat="false" ht="28" hidden="false" customHeight="true" outlineLevel="0" collapsed="false">
      <c r="A51" s="28"/>
      <c r="B51" s="28"/>
      <c r="C51" s="28"/>
      <c r="D51" s="28"/>
      <c r="E51" s="28"/>
      <c r="F51" s="46"/>
      <c r="G51" s="28"/>
      <c r="H51" s="46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1" t="str">
        <f aca="false">IF(B51="","",SUM(L51:R51))</f>
        <v/>
      </c>
      <c r="T51" s="1" t="str">
        <f aca="false">IF(B51="","",IF(OR(J51="Да",K51="Да",I51&lt;&gt;"Да",D51="",E51="",F51=""),0,IF(AND(G51="Нов",S51&lt;35),0,IF(AND(G51="Follow-up",ISNUMBER(H51),H51&lt;=Допускания!$D$7),400,IF(G51="Inbound",300,IF(G51="Оферта",200,0)))+S51)))</f>
        <v/>
      </c>
      <c r="U51" s="1" t="str">
        <f aca="false">IF(OR(B51="",T51=0),"",COUNTIFS($T$7:$T$56,"&gt;"&amp;T51)+COUNTIFS($T$7:T51,T51))</f>
        <v/>
      </c>
      <c r="V51" s="1" t="str">
        <f aca="false">IF(B51="","",IF(OR(J51="Да",K51="Да"),"Изключен",IF(T51=0,"Провери fit, контакт и evidence",IF(T51&gt;=400,"Обещан follow-up",IF(T51&gt;=300,"Входящ интерес",IF(T51&gt;=200,"Активна оферта",IF(S51&gt;=75,"P1 силна нужда и fit",IF(S51&gt;=55,"P2 нормален приоритет","P3 допълни research"))))))))</f>
        <v/>
      </c>
      <c r="W51" s="5" t="str">
        <f aca="false">HYPERLINK("BDS_Plan.docx#S07","Scoring в Word")</f>
        <v>Scoring в Word</v>
      </c>
    </row>
    <row r="52" customFormat="false" ht="28" hidden="false" customHeight="true" outlineLevel="0" collapsed="false">
      <c r="A52" s="28"/>
      <c r="B52" s="28"/>
      <c r="C52" s="28"/>
      <c r="D52" s="28"/>
      <c r="E52" s="28"/>
      <c r="F52" s="46"/>
      <c r="G52" s="28"/>
      <c r="H52" s="46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1" t="str">
        <f aca="false">IF(B52="","",SUM(L52:R52))</f>
        <v/>
      </c>
      <c r="T52" s="1" t="str">
        <f aca="false">IF(B52="","",IF(OR(J52="Да",K52="Да",I52&lt;&gt;"Да",D52="",E52="",F52=""),0,IF(AND(G52="Нов",S52&lt;35),0,IF(AND(G52="Follow-up",ISNUMBER(H52),H52&lt;=Допускания!$D$7),400,IF(G52="Inbound",300,IF(G52="Оферта",200,0)))+S52)))</f>
        <v/>
      </c>
      <c r="U52" s="1" t="str">
        <f aca="false">IF(OR(B52="",T52=0),"",COUNTIFS($T$7:$T$56,"&gt;"&amp;T52)+COUNTIFS($T$7:T52,T52))</f>
        <v/>
      </c>
      <c r="V52" s="1" t="str">
        <f aca="false">IF(B52="","",IF(OR(J52="Да",K52="Да"),"Изключен",IF(T52=0,"Провери fit, контакт и evidence",IF(T52&gt;=400,"Обещан follow-up",IF(T52&gt;=300,"Входящ интерес",IF(T52&gt;=200,"Активна оферта",IF(S52&gt;=75,"P1 силна нужда и fit",IF(S52&gt;=55,"P2 нормален приоритет","P3 допълни research"))))))))</f>
        <v/>
      </c>
      <c r="W52" s="5" t="str">
        <f aca="false">HYPERLINK("BDS_Plan.docx#S07","Scoring в Word")</f>
        <v>Scoring в Word</v>
      </c>
    </row>
    <row r="53" customFormat="false" ht="28" hidden="false" customHeight="true" outlineLevel="0" collapsed="false">
      <c r="A53" s="28"/>
      <c r="B53" s="28"/>
      <c r="C53" s="28"/>
      <c r="D53" s="28"/>
      <c r="E53" s="28"/>
      <c r="F53" s="46"/>
      <c r="G53" s="28"/>
      <c r="H53" s="46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1" t="str">
        <f aca="false">IF(B53="","",SUM(L53:R53))</f>
        <v/>
      </c>
      <c r="T53" s="1" t="str">
        <f aca="false">IF(B53="","",IF(OR(J53="Да",K53="Да",I53&lt;&gt;"Да",D53="",E53="",F53=""),0,IF(AND(G53="Нов",S53&lt;35),0,IF(AND(G53="Follow-up",ISNUMBER(H53),H53&lt;=Допускания!$D$7),400,IF(G53="Inbound",300,IF(G53="Оферта",200,0)))+S53)))</f>
        <v/>
      </c>
      <c r="U53" s="1" t="str">
        <f aca="false">IF(OR(B53="",T53=0),"",COUNTIFS($T$7:$T$56,"&gt;"&amp;T53)+COUNTIFS($T$7:T53,T53))</f>
        <v/>
      </c>
      <c r="V53" s="1" t="str">
        <f aca="false">IF(B53="","",IF(OR(J53="Да",K53="Да"),"Изключен",IF(T53=0,"Провери fit, контакт и evidence",IF(T53&gt;=400,"Обещан follow-up",IF(T53&gt;=300,"Входящ интерес",IF(T53&gt;=200,"Активна оферта",IF(S53&gt;=75,"P1 силна нужда и fit",IF(S53&gt;=55,"P2 нормален приоритет","P3 допълни research"))))))))</f>
        <v/>
      </c>
      <c r="W53" s="5" t="str">
        <f aca="false">HYPERLINK("BDS_Plan.docx#S07","Scoring в Word")</f>
        <v>Scoring в Word</v>
      </c>
    </row>
    <row r="54" customFormat="false" ht="28" hidden="false" customHeight="true" outlineLevel="0" collapsed="false">
      <c r="A54" s="28"/>
      <c r="B54" s="28"/>
      <c r="C54" s="28"/>
      <c r="D54" s="28"/>
      <c r="E54" s="28"/>
      <c r="F54" s="46"/>
      <c r="G54" s="28"/>
      <c r="H54" s="46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1" t="str">
        <f aca="false">IF(B54="","",SUM(L54:R54))</f>
        <v/>
      </c>
      <c r="T54" s="1" t="str">
        <f aca="false">IF(B54="","",IF(OR(J54="Да",K54="Да",I54&lt;&gt;"Да",D54="",E54="",F54=""),0,IF(AND(G54="Нов",S54&lt;35),0,IF(AND(G54="Follow-up",ISNUMBER(H54),H54&lt;=Допускания!$D$7),400,IF(G54="Inbound",300,IF(G54="Оферта",200,0)))+S54)))</f>
        <v/>
      </c>
      <c r="U54" s="1" t="str">
        <f aca="false">IF(OR(B54="",T54=0),"",COUNTIFS($T$7:$T$56,"&gt;"&amp;T54)+COUNTIFS($T$7:T54,T54))</f>
        <v/>
      </c>
      <c r="V54" s="1" t="str">
        <f aca="false">IF(B54="","",IF(OR(J54="Да",K54="Да"),"Изключен",IF(T54=0,"Провери fit, контакт и evidence",IF(T54&gt;=400,"Обещан follow-up",IF(T54&gt;=300,"Входящ интерес",IF(T54&gt;=200,"Активна оферта",IF(S54&gt;=75,"P1 силна нужда и fit",IF(S54&gt;=55,"P2 нормален приоритет","P3 допълни research"))))))))</f>
        <v/>
      </c>
      <c r="W54" s="5" t="str">
        <f aca="false">HYPERLINK("BDS_Plan.docx#S07","Scoring в Word")</f>
        <v>Scoring в Word</v>
      </c>
    </row>
    <row r="55" customFormat="false" ht="28" hidden="false" customHeight="true" outlineLevel="0" collapsed="false">
      <c r="A55" s="28"/>
      <c r="B55" s="28"/>
      <c r="C55" s="28"/>
      <c r="D55" s="28"/>
      <c r="E55" s="28"/>
      <c r="F55" s="46"/>
      <c r="G55" s="28"/>
      <c r="H55" s="46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1" t="str">
        <f aca="false">IF(B55="","",SUM(L55:R55))</f>
        <v/>
      </c>
      <c r="T55" s="1" t="str">
        <f aca="false">IF(B55="","",IF(OR(J55="Да",K55="Да",I55&lt;&gt;"Да",D55="",E55="",F55=""),0,IF(AND(G55="Нов",S55&lt;35),0,IF(AND(G55="Follow-up",ISNUMBER(H55),H55&lt;=Допускания!$D$7),400,IF(G55="Inbound",300,IF(G55="Оферта",200,0)))+S55)))</f>
        <v/>
      </c>
      <c r="U55" s="1" t="str">
        <f aca="false">IF(OR(B55="",T55=0),"",COUNTIFS($T$7:$T$56,"&gt;"&amp;T55)+COUNTIFS($T$7:T55,T55))</f>
        <v/>
      </c>
      <c r="V55" s="1" t="str">
        <f aca="false">IF(B55="","",IF(OR(J55="Да",K55="Да"),"Изключен",IF(T55=0,"Провери fit, контакт и evidence",IF(T55&gt;=400,"Обещан follow-up",IF(T55&gt;=300,"Входящ интерес",IF(T55&gt;=200,"Активна оферта",IF(S55&gt;=75,"P1 силна нужда и fit",IF(S55&gt;=55,"P2 нормален приоритет","P3 допълни research"))))))))</f>
        <v/>
      </c>
      <c r="W55" s="5" t="str">
        <f aca="false">HYPERLINK("BDS_Plan.docx#S07","Scoring в Word")</f>
        <v>Scoring в Word</v>
      </c>
    </row>
    <row r="56" customFormat="false" ht="28" hidden="false" customHeight="true" outlineLevel="0" collapsed="false">
      <c r="A56" s="28"/>
      <c r="B56" s="28"/>
      <c r="C56" s="28"/>
      <c r="D56" s="28"/>
      <c r="E56" s="28"/>
      <c r="F56" s="46"/>
      <c r="G56" s="28"/>
      <c r="H56" s="46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1" t="str">
        <f aca="false">IF(B56="","",SUM(L56:R56))</f>
        <v/>
      </c>
      <c r="T56" s="1" t="str">
        <f aca="false">IF(B56="","",IF(OR(J56="Да",K56="Да",I56&lt;&gt;"Да",D56="",E56="",F56=""),0,IF(AND(G56="Нов",S56&lt;35),0,IF(AND(G56="Follow-up",ISNUMBER(H56),H56&lt;=Допускания!$D$7),400,IF(G56="Inbound",300,IF(G56="Оферта",200,0)))+S56)))</f>
        <v/>
      </c>
      <c r="U56" s="1" t="str">
        <f aca="false">IF(OR(B56="",T56=0),"",COUNTIFS($T$7:$T$56,"&gt;"&amp;T56)+COUNTIFS($T$7:T56,T56))</f>
        <v/>
      </c>
      <c r="V56" s="1" t="str">
        <f aca="false">IF(B56="","",IF(OR(J56="Да",K56="Да"),"Изключен",IF(T56=0,"Провери fit, контакт и evidence",IF(T56&gt;=400,"Обещан follow-up",IF(T56&gt;=300,"Входящ интерес",IF(T56&gt;=200,"Активна оферта",IF(S56&gt;=75,"P1 силна нужда и fit",IF(S56&gt;=55,"P2 нормален приоритет","P3 допълни research"))))))))</f>
        <v/>
      </c>
      <c r="W56" s="5" t="str">
        <f aca="false">HYPERLINK("BDS_Plan.docx#S07","Scoring в Word")</f>
        <v>Scoring в Word</v>
      </c>
    </row>
    <row r="57" customFormat="false" ht="23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customFormat="false" ht="23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customFormat="false" ht="23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</sheetData>
  <conditionalFormatting sqref="S7:S56">
    <cfRule type="cellIs" priority="2" operator="greaterThanOrEqual" aboveAverage="0" equalAverage="0" bottom="0" percent="0" rank="0" text="" dxfId="12">
      <formula>75</formula>
    </cfRule>
  </conditionalFormatting>
  <dataValidations count="9">
    <dataValidation allowBlank="false" errorStyle="stop" operator="between" showDropDown="false" showErrorMessage="false" showInputMessage="false" sqref="G7:G56" type="list">
      <formula1>"Нов,Inbound,Follow-up,Оферта"</formula1>
      <formula2>0</formula2>
    </dataValidation>
    <dataValidation allowBlank="false" errorStyle="stop" operator="between" showDropDown="false" showErrorMessage="false" showInputMessage="false" sqref="I7:K56" type="list">
      <formula1>"Да,Не"</formula1>
      <formula2>0</formula2>
    </dataValidation>
    <dataValidation allowBlank="false" errorStyle="stop" operator="between" showDropDown="false" showErrorMessage="false" showInputMessage="false" sqref="L7:L56" type="whole">
      <formula1>0</formula1>
      <formula2>20</formula2>
    </dataValidation>
    <dataValidation allowBlank="false" errorStyle="stop" operator="between" showDropDown="false" showErrorMessage="false" showInputMessage="false" sqref="M7:M56" type="whole">
      <formula1>0</formula1>
      <formula2>20</formula2>
    </dataValidation>
    <dataValidation allowBlank="false" errorStyle="stop" operator="between" showDropDown="false" showErrorMessage="false" showInputMessage="false" sqref="N7:N56" type="whole">
      <formula1>0</formula1>
      <formula2>15</formula2>
    </dataValidation>
    <dataValidation allowBlank="false" errorStyle="stop" operator="between" showDropDown="false" showErrorMessage="false" showInputMessage="false" sqref="O7:O56" type="whole">
      <formula1>0</formula1>
      <formula2>15</formula2>
    </dataValidation>
    <dataValidation allowBlank="false" errorStyle="stop" operator="between" showDropDown="false" showErrorMessage="false" showInputMessage="false" sqref="P7:P56" type="whole">
      <formula1>0</formula1>
      <formula2>15</formula2>
    </dataValidation>
    <dataValidation allowBlank="false" errorStyle="stop" operator="between" showDropDown="false" showErrorMessage="false" showInputMessage="false" sqref="Q7:Q56" type="whole">
      <formula1>0</formula1>
      <formula2>10</formula2>
    </dataValidation>
    <dataValidation allowBlank="false" errorStyle="stop" operator="between" showDropDown="false" showErrorMessage="false" showInputMessage="false" sqref="R7:R56" type="whole">
      <formula1>0</formula1>
      <formula2>5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