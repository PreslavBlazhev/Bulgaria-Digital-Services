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4cebfadd2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4afdb3ac4840c4"/>
    <x:sheet xmlns:r="http://schemas.openxmlformats.org/officeDocument/2006/relationships" name="Leads" sheetId="2" r:id="R1d6b09dbf38b46da"/>
    <x:sheet xmlns:r="http://schemas.openxmlformats.org/officeDocument/2006/relationships" name="Today" sheetId="3" r:id="R5f9472a54ba640c7"/>
    <x:sheet xmlns:r="http://schemas.openxmlformats.org/officeDocument/2006/relationships" name="Pipeline" sheetId="4" r:id="Rce274c4ece934be4"/>
    <x:sheet xmlns:r="http://schemas.openxmlformats.org/officeDocument/2006/relationships" name="Offers" sheetId="5" r:id="R4127f12918d249b5"/>
    <x:sheet xmlns:r="http://schemas.openxmlformats.org/officeDocument/2006/relationships" name="Won Clients" sheetId="6" r:id="Re6dbd29dd8894181"/>
    <x:sheet xmlns:r="http://schemas.openxmlformats.org/officeDocument/2006/relationships" name="Activity Log" sheetId="7" r:id="Rcad6c02daf81421a"/>
    <x:sheet xmlns:r="http://schemas.openxmlformats.org/officeDocument/2006/relationships" name="AI Queue" sheetId="8" r:id="R4780ee1a167642c2"/>
    <x:sheet xmlns:r="http://schemas.openxmlformats.org/officeDocument/2006/relationships" name="Settings" sheetId="9" r:id="R1109c2bd14d8404c"/>
    <x:sheet xmlns:r="http://schemas.openxmlformats.org/officeDocument/2006/relationships" name="Guide" sheetId="10" r:id="R7f3aa5a38771487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 &quot;лв&quot;"/>
    <x:numFmt numFmtId="202" formatCode="0&quot;%&quot;"/>
    <x:numFmt numFmtId="203" formatCode="#,##0"/>
    <x:numFmt numFmtId="204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i/>
      <x:sz val="11"/>
      <x:color rgb="FF37415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7C2D12"/>
      </x:patternFill>
    </x:fill>
    <x:fill>
      <x:patternFill patternType="solid">
        <x:fgColor rgb="FF9A3412"/>
      </x:patternFill>
    </x:fill>
    <x:fill>
      <x:patternFill patternType="solid">
        <x:fgColor rgb="FF1E3A8A"/>
      </x:patternFill>
    </x:fill>
    <x:fill>
      <x:patternFill patternType="solid">
        <x:fgColor rgb="FF1D4ED8"/>
      </x:patternFill>
    </x:fill>
    <x:fill>
      <x:patternFill patternType="solid">
        <x:fgColor rgb="FF854D0E"/>
      </x:patternFill>
    </x:fill>
    <x:fill>
      <x:patternFill patternType="solid">
        <x:fgColor rgb="FFA16207"/>
      </x:patternFill>
    </x:fill>
    <x:fill>
      <x:patternFill patternType="solid">
        <x:fgColor rgb="FF14532D"/>
      </x:patternFill>
    </x:fill>
    <x:fill>
      <x:patternFill patternType="solid">
        <x:fgColor rgb="FF166534"/>
      </x:patternFill>
    </x:fill>
    <x:fill>
      <x:patternFill patternType="solid">
        <x:fgColor rgb="FF312E81"/>
      </x:patternFill>
    </x:fill>
    <x:fill>
      <x:patternFill patternType="solid">
        <x:fgColor rgb="FF4338CA"/>
      </x:patternFill>
    </x:fill>
    <x:fill>
      <x:patternFill patternType="solid">
        <x:fgColor rgb="FF581C87"/>
      </x:patternFill>
    </x:fill>
    <x:fill>
      <x:patternFill patternType="solid">
        <x:fgColor rgb="FF7E22CE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4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left"/>
    </x:xf>
    <x:xf numFmtId="0" fontId="1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7" borderId="1" xfId="0" applyNumberFormat="1" applyFont="1" applyFill="1" applyBorder="1" applyAlignment="1">
      <x:alignment horizontal="left" vertical="center" wrapText="1"/>
    </x:xf>
    <x:xf numFmtId="200" fontId="1" fillId="7" borderId="0" xfId="0" applyNumberFormat="1" applyFont="1" applyFill="1" applyBorder="1" applyAlignment="1">
      <x:alignment horizontal="left" vertical="center" wrapText="1"/>
    </x:xf>
    <x:xf numFmtId="200" fontId="1" fillId="7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left"/>
    </x:xf>
    <x:xf numFmtId="0" fontId="1" fillId="9" borderId="1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201" fontId="1" fillId="9" borderId="0" xfId="0" applyNumberFormat="1" applyFont="1" applyFill="1" applyBorder="1" applyAlignment="1">
      <x:alignment horizontal="left" vertical="center"/>
    </x:xf>
    <x:xf numFmtId="201" fontId="1" fillId="9" borderId="1" xfId="0" applyNumberFormat="1" applyFont="1" applyFill="1" applyBorder="1" applyAlignment="1">
      <x:alignment horizontal="left" vertical="center"/>
    </x:xf>
    <x:xf numFmtId="202" fontId="1" fillId="9" borderId="0" xfId="0" applyNumberFormat="1" applyFont="1" applyFill="1" applyBorder="1" applyAlignment="1">
      <x:alignment horizontal="left" vertical="center"/>
    </x:xf>
    <x:xf numFmtId="202" fontId="1" fillId="9" borderId="1" xfId="0" applyNumberFormat="1" applyFont="1" applyFill="1" applyBorder="1" applyAlignment="1">
      <x:alignment horizontal="left" vertical="center"/>
    </x:xf>
    <x:xf numFmtId="200" fontId="1" fillId="9" borderId="0" xfId="0" applyNumberFormat="1" applyFont="1" applyFill="1" applyBorder="1" applyAlignment="1">
      <x:alignment horizontal="left" vertical="center"/>
    </x:xf>
    <x:xf numFmtId="200" fontId="1" fillId="9" borderId="1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 applyAlignment="1">
      <x:alignment horizontal="left" vertical="center" wrapText="1"/>
    </x:xf>
    <x:xf numFmtId="201" fontId="1" fillId="9" borderId="0" xfId="0" applyNumberFormat="1" applyFont="1" applyFill="1" applyBorder="1" applyAlignment="1">
      <x:alignment horizontal="left" vertical="center" wrapText="1"/>
    </x:xf>
    <x:xf numFmtId="202" fontId="1" fillId="9" borderId="0" xfId="0" applyNumberFormat="1" applyFont="1" applyFill="1" applyBorder="1" applyAlignment="1">
      <x:alignment horizontal="left" vertical="center" wrapText="1"/>
    </x:xf>
    <x:xf numFmtId="200" fontId="1" fillId="9" borderId="0" xfId="0" applyNumberFormat="1" applyFont="1" applyFill="1" applyBorder="1" applyAlignment="1">
      <x:alignment horizontal="left" vertical="center" wrapText="1"/>
    </x:xf>
    <x:xf numFmtId="0" fontId="1" fillId="9" borderId="1" xfId="0" applyNumberFormat="1" applyFont="1" applyFill="1" applyBorder="1" applyAlignment="1">
      <x:alignment horizontal="left" vertical="center" wrapText="1"/>
    </x:xf>
    <x:xf numFmtId="201" fontId="1" fillId="9" borderId="1" xfId="0" applyNumberFormat="1" applyFont="1" applyFill="1" applyBorder="1" applyAlignment="1">
      <x:alignment horizontal="left" vertical="center" wrapText="1"/>
    </x:xf>
    <x:xf numFmtId="202" fontId="1" fillId="9" borderId="1" xfId="0" applyNumberFormat="1" applyFont="1" applyFill="1" applyBorder="1" applyAlignment="1">
      <x:alignment horizontal="left" vertical="center" wrapText="1"/>
    </x:xf>
    <x:xf numFmtId="200" fontId="1" fillId="9" borderId="1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left"/>
    </x:xf>
    <x:xf numFmtId="0" fontId="1" fillId="11" borderId="1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201" fontId="1" fillId="11" borderId="0" xfId="0" applyNumberFormat="1" applyFont="1" applyFill="1" applyBorder="1" applyAlignment="1">
      <x:alignment horizontal="left" vertical="center"/>
    </x:xf>
    <x:xf numFmtId="201" fontId="1" fillId="11" borderId="1" xfId="0" applyNumberFormat="1" applyFont="1" applyFill="1" applyBorder="1" applyAlignment="1">
      <x:alignment horizontal="left" vertical="center"/>
    </x:xf>
    <x:xf numFmtId="202" fontId="1" fillId="11" borderId="0" xfId="0" applyNumberFormat="1" applyFont="1" applyFill="1" applyBorder="1" applyAlignment="1">
      <x:alignment horizontal="left" vertical="center"/>
    </x:xf>
    <x:xf numFmtId="202" fontId="1" fillId="11" borderId="1" xfId="0" applyNumberFormat="1" applyFont="1" applyFill="1" applyBorder="1" applyAlignment="1">
      <x:alignment horizontal="left" vertical="center"/>
    </x:xf>
    <x:xf numFmtId="200" fontId="1" fillId="11" borderId="0" xfId="0" applyNumberFormat="1" applyFont="1" applyFill="1" applyBorder="1" applyAlignment="1">
      <x:alignment horizontal="left" vertical="center"/>
    </x:xf>
    <x:xf numFmtId="200" fontId="1" fillId="11" borderId="1" xfId="0" applyNumberFormat="1" applyFont="1" applyFill="1" applyBorder="1" applyAlignment="1">
      <x:alignment horizontal="left" vertical="center"/>
    </x:xf>
    <x:xf numFmtId="0" fontId="1" fillId="11" borderId="0" xfId="0" applyNumberFormat="1" applyFont="1" applyFill="1" applyBorder="1" applyAlignment="1">
      <x:alignment horizontal="left" vertical="center" wrapText="1"/>
    </x:xf>
    <x:xf numFmtId="201" fontId="1" fillId="11" borderId="0" xfId="0" applyNumberFormat="1" applyFont="1" applyFill="1" applyBorder="1" applyAlignment="1">
      <x:alignment horizontal="left" vertical="center" wrapText="1"/>
    </x:xf>
    <x:xf numFmtId="202" fontId="1" fillId="11" borderId="0" xfId="0" applyNumberFormat="1" applyFont="1" applyFill="1" applyBorder="1" applyAlignment="1">
      <x:alignment horizontal="left" vertical="center" wrapText="1"/>
    </x:xf>
    <x:xf numFmtId="200" fontId="1" fillId="11" borderId="0" xfId="0" applyNumberFormat="1" applyFont="1" applyFill="1" applyBorder="1" applyAlignment="1">
      <x:alignment horizontal="left" vertical="center" wrapText="1"/>
    </x:xf>
    <x:xf numFmtId="0" fontId="1" fillId="11" borderId="1" xfId="0" applyNumberFormat="1" applyFont="1" applyFill="1" applyBorder="1" applyAlignment="1">
      <x:alignment horizontal="left" vertical="center" wrapText="1"/>
    </x:xf>
    <x:xf numFmtId="201" fontId="1" fillId="11" borderId="1" xfId="0" applyNumberFormat="1" applyFont="1" applyFill="1" applyBorder="1" applyAlignment="1">
      <x:alignment horizontal="left" vertical="center" wrapText="1"/>
    </x:xf>
    <x:xf numFmtId="202" fontId="1" fillId="11" borderId="1" xfId="0" applyNumberFormat="1" applyFont="1" applyFill="1" applyBorder="1" applyAlignment="1">
      <x:alignment horizontal="left" vertical="center" wrapText="1"/>
    </x:xf>
    <x:xf numFmtId="200" fontId="1" fillId="11" borderId="1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3" borderId="1" xfId="0" applyNumberFormat="1" applyFont="1" applyFill="1" applyBorder="1"/>
    <x:xf numFmtId="0" fontId="1" fillId="13" borderId="1" xfId="0" applyNumberFormat="1" applyFont="1" applyFill="1" applyBorder="1"/>
    <x:xf numFmtId="0" fontId="1" fillId="13" borderId="1" xfId="0" applyNumberFormat="1" applyFont="1" applyFill="1" applyBorder="1" applyAlignment="1">
      <x:alignment horizontal="left"/>
    </x:xf>
    <x:xf numFmtId="0" fontId="1" fillId="13" borderId="1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2" fillId="14" borderId="1" xfId="0" applyNumberFormat="1" applyFont="1" applyFill="1" applyBorder="1"/>
    <x:xf numFmtId="0" fontId="2" fillId="14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horizontal="center" wrapText="1"/>
    </x:xf>
    <x:xf numFmtId="0" fontId="2" fillId="14" borderId="1" xfId="0" applyNumberFormat="1" applyFont="1" applyFill="1" applyBorder="1" applyAlignment="1">
      <x:alignment horizontal="center" vertical="center" wrapText="1"/>
    </x:xf>
    <x:xf numFmtId="201" fontId="1" fillId="13" borderId="0" xfId="0" applyNumberFormat="1" applyFont="1" applyFill="1" applyBorder="1" applyAlignment="1">
      <x:alignment horizontal="left" vertical="center"/>
    </x:xf>
    <x:xf numFmtId="201" fontId="1" fillId="13" borderId="1" xfId="0" applyNumberFormat="1" applyFont="1" applyFill="1" applyBorder="1" applyAlignment="1">
      <x:alignment horizontal="left" vertical="center"/>
    </x:xf>
    <x:xf numFmtId="200" fontId="1" fillId="13" borderId="0" xfId="0" applyNumberFormat="1" applyFont="1" applyFill="1" applyBorder="1" applyAlignment="1">
      <x:alignment horizontal="left" vertical="center"/>
    </x:xf>
    <x:xf numFmtId="200" fontId="1" fillId="13" borderId="1" xfId="0" applyNumberFormat="1" applyFont="1" applyFill="1" applyBorder="1" applyAlignment="1">
      <x:alignment horizontal="left" vertical="center"/>
    </x:xf>
    <x:xf numFmtId="0" fontId="1" fillId="13" borderId="0" xfId="0" applyNumberFormat="1" applyFont="1" applyFill="1" applyBorder="1" applyAlignment="1">
      <x:alignment horizontal="left" vertical="center" wrapText="1"/>
    </x:xf>
    <x:xf numFmtId="201" fontId="1" fillId="13" borderId="0" xfId="0" applyNumberFormat="1" applyFont="1" applyFill="1" applyBorder="1" applyAlignment="1">
      <x:alignment horizontal="left" vertical="center" wrapText="1"/>
    </x:xf>
    <x:xf numFmtId="200" fontId="1" fillId="13" borderId="0" xfId="0" applyNumberFormat="1" applyFont="1" applyFill="1" applyBorder="1" applyAlignment="1">
      <x:alignment horizontal="left" vertical="center" wrapText="1"/>
    </x:xf>
    <x:xf numFmtId="0" fontId="1" fillId="13" borderId="1" xfId="0" applyNumberFormat="1" applyFont="1" applyFill="1" applyBorder="1" applyAlignment="1">
      <x:alignment horizontal="left" vertical="center" wrapText="1"/>
    </x:xf>
    <x:xf numFmtId="201" fontId="1" fillId="13" borderId="1" xfId="0" applyNumberFormat="1" applyFont="1" applyFill="1" applyBorder="1" applyAlignment="1">
      <x:alignment horizontal="left" vertical="center" wrapText="1"/>
    </x:xf>
    <x:xf numFmtId="200" fontId="1" fillId="13" borderId="1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5" borderId="1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horizontal="left"/>
    </x:xf>
    <x:xf numFmtId="0" fontId="1" fillId="15" borderId="1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/>
    <x:xf numFmtId="0" fontId="2" fillId="16" borderId="1" xfId="0" applyNumberFormat="1" applyFont="1" applyFill="1" applyBorder="1"/>
    <x:xf numFmtId="0" fontId="2" fillId="16" borderId="1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horizontal="center" wrapText="1"/>
    </x:xf>
    <x:xf numFmtId="0" fontId="2" fillId="16" borderId="1" xfId="0" applyNumberFormat="1" applyFont="1" applyFill="1" applyBorder="1" applyAlignment="1">
      <x:alignment horizontal="center" vertical="center" wrapText="1"/>
    </x:xf>
    <x:xf numFmtId="200" fontId="1" fillId="15" borderId="0" xfId="0" applyNumberFormat="1" applyFont="1" applyFill="1" applyBorder="1" applyAlignment="1">
      <x:alignment horizontal="left" vertical="center"/>
    </x:xf>
    <x:xf numFmtId="200" fontId="1" fillId="15" borderId="1" xfId="0" applyNumberFormat="1" applyFont="1" applyFill="1" applyBorder="1" applyAlignment="1">
      <x:alignment horizontal="left" vertical="center"/>
    </x:xf>
    <x:xf numFmtId="200" fontId="1" fillId="15" borderId="0" xfId="0" applyNumberFormat="1" applyFont="1" applyFill="1" applyBorder="1" applyAlignment="1">
      <x:alignment horizontal="left" vertical="center" wrapText="1"/>
    </x:xf>
    <x:xf numFmtId="0" fontId="1" fillId="15" borderId="0" xfId="0" applyNumberFormat="1" applyFont="1" applyFill="1" applyBorder="1" applyAlignment="1">
      <x:alignment horizontal="left" vertical="center" wrapText="1"/>
    </x:xf>
    <x:xf numFmtId="200" fontId="1" fillId="15" borderId="1" xfId="0" applyNumberFormat="1" applyFont="1" applyFill="1" applyBorder="1" applyAlignment="1">
      <x:alignment horizontal="left" vertical="center" wrapText="1"/>
    </x:xf>
    <x:xf numFmtId="0" fontId="1" fillId="15" borderId="1" xfId="0" applyNumberFormat="1" applyFont="1" applyFill="1" applyBorder="1" applyAlignment="1">
      <x:alignment horizontal="left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7" borderId="1" xfId="0" applyNumberFormat="1" applyFont="1" applyFill="1" applyBorder="1"/>
    <x:xf numFmtId="0" fontId="1" fillId="17" borderId="1" xfId="0" applyNumberFormat="1" applyFont="1" applyFill="1" applyBorder="1"/>
    <x:xf numFmtId="0" fontId="1" fillId="17" borderId="1" xfId="0" applyNumberFormat="1" applyFont="1" applyFill="1" applyBorder="1" applyAlignment="1">
      <x:alignment horizontal="left"/>
    </x:xf>
    <x:xf numFmtId="0" fontId="1" fillId="17" borderId="1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8" borderId="1" xfId="0" applyNumberFormat="1" applyFont="1" applyFill="1" applyBorder="1"/>
    <x:xf numFmtId="0" fontId="2" fillId="18" borderId="1" xfId="0" applyNumberFormat="1" applyFont="1" applyFill="1" applyBorder="1"/>
    <x:xf numFmtId="0" fontId="2" fillId="18" borderId="1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horizontal="center" wrapText="1"/>
    </x:xf>
    <x:xf numFmtId="0" fontId="2" fillId="18" borderId="1" xfId="0" applyNumberFormat="1" applyFont="1" applyFill="1" applyBorder="1" applyAlignment="1">
      <x:alignment horizontal="center" vertical="center" wrapText="1"/>
    </x:xf>
    <x:xf numFmtId="200" fontId="1" fillId="17" borderId="0" xfId="0" applyNumberFormat="1" applyFont="1" applyFill="1" applyBorder="1" applyAlignment="1">
      <x:alignment horizontal="left" vertical="center"/>
    </x:xf>
    <x:xf numFmtId="200" fontId="1" fillId="17" borderId="1" xfId="0" applyNumberFormat="1" applyFont="1" applyFill="1" applyBorder="1" applyAlignment="1">
      <x:alignment horizontal="left" vertical="center"/>
    </x:xf>
    <x:xf numFmtId="0" fontId="1" fillId="17" borderId="0" xfId="0" applyNumberFormat="1" applyFont="1" applyFill="1" applyBorder="1" applyAlignment="1">
      <x:alignment horizontal="left" vertical="center" wrapText="1"/>
    </x:xf>
    <x:xf numFmtId="200" fontId="1" fillId="17" borderId="0" xfId="0" applyNumberFormat="1" applyFont="1" applyFill="1" applyBorder="1" applyAlignment="1">
      <x:alignment horizontal="left" vertical="center" wrapText="1"/>
    </x:xf>
    <x:xf numFmtId="0" fontId="1" fillId="17" borderId="1" xfId="0" applyNumberFormat="1" applyFont="1" applyFill="1" applyBorder="1" applyAlignment="1">
      <x:alignment horizontal="left" vertical="center" wrapText="1"/>
    </x:xf>
    <x:xf numFmtId="200" fontId="1" fillId="17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color rgb="FF6B7280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cabe4842f4b15" /><Relationship Type="http://schemas.openxmlformats.org/officeDocument/2006/relationships/theme" Target="/xl/theme/theme1.xml" Id="R787c7b341ef1411c" /><Relationship Type="http://schemas.openxmlformats.org/officeDocument/2006/relationships/sheetMetadata" Target="/xl/metadata1.xml" Id="R45ebab89ad34438b" /><Relationship Type="http://schemas.openxmlformats.org/officeDocument/2006/relationships/sharedStrings" Target="/xl/sharedStrings.xml" Id="Rd6eba1e7bcf24341" /><Relationship Type="http://schemas.openxmlformats.org/officeDocument/2006/relationships/worksheet" Target="/xl/worksheets/sheet1.xml" Id="Rce4afdb3ac4840c4" /><Relationship Type="http://schemas.openxmlformats.org/officeDocument/2006/relationships/worksheet" Target="/xl/worksheets/sheet2.xml" Id="R1d6b09dbf38b46da" /><Relationship Type="http://schemas.openxmlformats.org/officeDocument/2006/relationships/worksheet" Target="/xl/worksheets/sheet3.xml" Id="R5f9472a54ba640c7" /><Relationship Type="http://schemas.openxmlformats.org/officeDocument/2006/relationships/worksheet" Target="/xl/worksheets/sheet4.xml" Id="Rce274c4ece934be4" /><Relationship Type="http://schemas.openxmlformats.org/officeDocument/2006/relationships/worksheet" Target="/xl/worksheets/sheet5.xml" Id="R4127f12918d249b5" /><Relationship Type="http://schemas.openxmlformats.org/officeDocument/2006/relationships/worksheet" Target="/xl/worksheets/sheet6.xml" Id="Re6dbd29dd8894181" /><Relationship Type="http://schemas.openxmlformats.org/officeDocument/2006/relationships/worksheet" Target="/xl/worksheets/sheet7.xml" Id="Rcad6c02daf81421a" /><Relationship Type="http://schemas.openxmlformats.org/officeDocument/2006/relationships/worksheet" Target="/xl/worksheets/sheet8.xml" Id="R4780ee1a167642c2" /><Relationship Type="http://schemas.openxmlformats.org/officeDocument/2006/relationships/worksheet" Target="/xl/worksheets/sheet9.xml" Id="R1109c2bd14d8404c" /><Relationship Type="http://schemas.openxmlformats.org/officeDocument/2006/relationships/worksheet" Target="/xl/worksheets/sheet10.xml" Id="R7f3aa5a3877148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afdca73fa9494f" /><Relationship Type="http://schemas.openxmlformats.org/officeDocument/2006/relationships/chart" Target="/xl/drawings/charts/chart2.xml" Id="Rf5938c9a4a2246a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Брой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'Dashboard'!$F$5:$F$14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Потенциал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'Dashboard'!$G$5:$G$14</c:f>
              <c:numCache>
                <c:formatCode>#,##0 "лв"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fdca73fa9494f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938c9a4a2246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adsTable" displayName="LeadsTable" ref="A1:AC1001" headerRowCount="1">
  <x:tableColumns count="29">
    <x:tableColumn id="1" name="ID"/>
    <x:tableColumn id="2" name="Дата добавяне"/>
    <x:tableColumn id="3" name="Име на бизнеса"/>
    <x:tableColumn id="4" name="Тип бизнес"/>
    <x:tableColumn id="5" name="Град"/>
    <x:tableColumn id="6" name="Източник"/>
    <x:tableColumn id="7" name="Телефон"/>
    <x:tableColumn id="8" name="Email"/>
    <x:tableColumn id="9" name="Instagram/Facebook"/>
    <x:tableColumn id="10" name="Уебсайт"/>
    <x:tableColumn id="11" name="Имат ли сайт"/>
    <x:tableColumn id="12" name="Проблем/наблюдение"/>
    <x:tableColumn id="13" name="Услуга за предлагане"/>
    <x:tableColumn id="14" name="Етап"/>
    <x:tableColumn id="15" name="Статус"/>
    <x:tableColumn id="16" name="Приоритет"/>
    <x:tableColumn id="17" name="Потенциална цена"/>
    <x:tableColumn id="18" name="Вероятност %"/>
    <x:tableColumn id="19" name="Очаквана стойност"/>
    <x:tableColumn id="20" name="Последен контакт"/>
    <x:tableColumn id="21" name="Следващ контакт"/>
    <x:tableColumn id="22" name="Дни до контакт"/>
    <x:tableColumn id="23" name="Просрочен?"/>
    <x:tableColumn id="24" name="Следващо действие"/>
    <x:tableColumn id="25" name="Бележки"/>
    <x:tableColumn id="26" name="AI контекст"/>
    <x:tableColumn id="27" name="AI задача"/>
    <x:tableColumn id="28" name="AI Prompt"/>
    <x:tableColumn id="29" name="Последна промяна"/>
  </x:tableColumns>
  <x:tableStyleInfo name="TableStyleMedium2" showRowStripes="1"/>
</x:table>
</file>

<file path=xl/tables/table2.xml><?xml version="1.0" encoding="utf-8"?>
<x:table xmlns:x="http://schemas.openxmlformats.org/spreadsheetml/2006/main" id="2" name="ActivityLogTable" displayName="ActivityLogTable" ref="A3:K1000" headerRowCount="1">
  <x:tableColumns count="11">
    <x:tableColumn id="1" name="Дата"/>
    <x:tableColumn id="2" name="Lead ID"/>
    <x:tableColumn id="3" name="Бизнес"/>
    <x:tableColumn id="4" name="Канал"/>
    <x:tableColumn id="5" name="Тип действие"/>
    <x:tableColumn id="6" name="Резултат"/>
    <x:tableColumn id="7" name="Следваща дата"/>
    <x:tableColumn id="8" name="Кой говори"/>
    <x:tableColumn id="9" name="Съобщение/скрипт"/>
    <x:tableColumn id="10" name="Бележки"/>
    <x:tableColumn id="11" name="AI използван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9c1282f50845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6313826284f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ce69d4c44c6f4d7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2" hidden="0" customWidth="1"/>
    <x:col min="4" max="4" width="3" hidden="0" customWidth="1"/>
    <x:col min="5" max="5" width="20" hidden="0" customWidth="1"/>
    <x:col min="6" max="6" width="12" hidden="0" customWidth="1"/>
    <x:col min="7" max="7" width="16" hidden="0" customWidth="1"/>
    <x:col min="8" max="8" width="18" hidden="0" customWidth="1"/>
    <x:col min="9" max="9" width="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5" t="str">
        <x:v>WEBFORGE CRM — Dashboard / Sales Command Center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 ht="24" customHeight="1">
      <x:c r="A2" s="269" t="str">
        <x:v>Автоматизиран CRM за потенциални клиенти, оферти, follow-up задачи и AI подготовка</x:v>
      </x:c>
      <x:c r="B2" s="269" t="str"/>
      <x:c r="C2" s="269" t="str"/>
      <x:c r="D2" s="269" t="str"/>
      <x:c r="E2" s="269" t="str"/>
      <x:c r="F2" s="269" t="str"/>
      <x:c r="G2" s="269" t="str"/>
      <x:c r="H2" s="269" t="str"/>
      <x:c r="I2" s="269" t="str"/>
      <x:c r="J2" s="269" t="str"/>
      <x:c r="K2" s="269" t="str"/>
      <x:c r="L2" s="269" t="str"/>
      <x:c r="M2" s="269" t="str"/>
      <x:c r="N2" s="269" t="str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>
      <x:c r="A3" s="268"/>
      <x:c r="B3" s="268"/>
      <x:c r="C3" s="268"/>
      <x:c r="D3" s="268"/>
      <x:c r="E3" s="268"/>
      <x:c r="F3" s="268"/>
      <x:c r="G3" s="268"/>
      <x:c r="H3" s="268"/>
      <x:c r="I3" s="268"/>
      <x:c r="J3" s="268"/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 ht="28" customHeight="1">
      <x:c r="A4" s="66" t="str">
        <x:v>Метрика</x:v>
      </x:c>
      <x:c r="B4" s="67" t="str">
        <x:v>Стойност</x:v>
      </x:c>
      <x:c r="C4" s="68" t="str">
        <x:v>Цел/смисъл</x:v>
      </x:c>
      <x:c r="D4" s="268"/>
      <x:c r="E4" s="14" t="str">
        <x:v>Етап</x:v>
      </x:c>
      <x:c r="F4" s="14" t="str">
        <x:v>Брой</x:v>
      </x:c>
      <x:c r="G4" s="14" t="str">
        <x:v>Потенциал</x:v>
      </x:c>
      <x:c r="H4" s="14" t="str">
        <x:v>Очаквана стойност</x:v>
      </x:c>
      <x:c r="I4" s="268"/>
      <x:c r="J4" s="90" t="str">
        <x:v>Днешен фокус</x:v>
      </x:c>
      <x:c r="K4" s="90" t="str">
        <x:v>Формула</x:v>
      </x:c>
      <x:c r="L4" s="90"/>
      <x:c r="M4" s="90"/>
      <x:c r="N4" s="90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69" t="str">
        <x:v>Общо lead-ове</x:v>
      </x:c>
      <x:c r="B5" s="70" t="n">
        <x:f>COUNTIFS(Leads!C2:C1001,"&lt;&gt;",Leads!O2:O1001,"&lt;&gt;Пример")</x:f>
        <x:v>0</x:v>
      </x:c>
      <x:c r="C5" s="71" t="str">
        <x:v>Всички записани бизнеси</x:v>
      </x:c>
      <x:c r="D5" s="268"/>
      <x:c r="E5" s="55" t="str">
        <x:v>Нов</x:v>
      </x:c>
      <x:c r="F5" s="55" t="n">
        <x:f>COUNTIFS(Leads!N2:N1001,"Нов",Leads!O2:O1001,"&lt;&gt;Пример")</x:f>
        <x:v>0</x:v>
      </x:c>
      <x:c r="G5" s="57" t="n">
        <x:f>SUMIFS(Leads!Q2:Q1001,Leads!N2:N1001,"Нов",Leads!O2:O1001,"&lt;&gt;Пример")</x:f>
        <x:v>0</x:v>
      </x:c>
      <x:c r="H5" s="57" t="n">
        <x:f>SUMIFS(Leads!S2:S1001,Leads!N2:N1001,"Нов",Leads!O2:O1001,"&lt;&gt;Пример")</x:f>
        <x:v>0</x:v>
      </x:c>
      <x:c r="I5" s="268"/>
      <x:c r="J5" s="98" t="str">
        <x:v>Най-важно</x:v>
      </x:c>
      <x:c r="K5" s="98" t="str">
        <x:f>IF(B7&gt;0,"Имаш "&amp;B7&amp;" lead-а за контакт днес.","Няма задължителни контакти за днес.")</x:f>
        <x:v>Няма задължителни контакти за днес.</x:v>
      </x:c>
      <x:c r="L5" s="98"/>
      <x:c r="M5" s="98"/>
      <x:c r="N5" s="9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69" t="str">
        <x:v>Активни</x:v>
      </x:c>
      <x:c r="B6" s="70" t="n">
        <x:f>COUNTIFS(Leads!O2:O1001,"Активен")</x:f>
        <x:v>0</x:v>
      </x:c>
      <x:c r="C6" s="71" t="str">
        <x:v>Които още могат да станат клиенти</x:v>
      </x:c>
      <x:c r="D6" s="268"/>
      <x:c r="E6" s="55" t="str">
        <x:v>Писано</x:v>
      </x:c>
      <x:c r="F6" s="55" t="n">
        <x:f>COUNTIFS(Leads!N2:N1001,"Писано",Leads!O2:O1001,"&lt;&gt;Пример")</x:f>
        <x:v>0</x:v>
      </x:c>
      <x:c r="G6" s="57" t="n">
        <x:f>SUMIFS(Leads!Q2:Q1001,Leads!N2:N1001,"Писано",Leads!O2:O1001,"&lt;&gt;Пример")</x:f>
        <x:v>0</x:v>
      </x:c>
      <x:c r="H6" s="57" t="n">
        <x:f>SUMIFS(Leads!S2:S1001,Leads!N2:N1001,"Писано",Leads!O2:O1001,"&lt;&gt;Пример")</x:f>
        <x:v>0</x:v>
      </x:c>
      <x:c r="I6" s="268"/>
      <x:c r="J6" s="98" t="str">
        <x:v>Следващо действие</x:v>
      </x:c>
      <x:c r="K6" s="98" t="str">
        <x:f>IF(B8&gt;0,"Първо оправи просрочените follow-up-и.","Добави нови бизнеси от Google Maps.")</x:f>
        <x:v>Добави нови бизнеси от Google Maps.</x:v>
      </x:c>
      <x:c r="L6" s="98"/>
      <x:c r="M6" s="98"/>
      <x:c r="N6" s="9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69" t="str">
        <x:v>За контакт днес</x:v>
      </x:c>
      <x:c r="B7" s="70" t="n">
        <x:f>COUNTIFS(Leads!U2:U1001,"&lt;="&amp;TODAY(),Leads!O2:O1001,"Активен")</x:f>
        <x:v>0</x:v>
      </x:c>
      <x:c r="C7" s="71" t="str">
        <x:v>Днешна работа</x:v>
      </x:c>
      <x:c r="D7" s="268"/>
      <x:c r="E7" s="55" t="str">
        <x:v>Звъннато</x:v>
      </x:c>
      <x:c r="F7" s="55" t="n">
        <x:f>COUNTIFS(Leads!N2:N1001,"Звъннато",Leads!O2:O1001,"&lt;&gt;Пример")</x:f>
        <x:v>0</x:v>
      </x:c>
      <x:c r="G7" s="57" t="n">
        <x:f>SUMIFS(Leads!Q2:Q1001,Leads!N2:N1001,"Звъннато",Leads!O2:O1001,"&lt;&gt;Пример")</x:f>
        <x:v>0</x:v>
      </x:c>
      <x:c r="H7" s="57" t="n">
        <x:f>SUMIFS(Leads!S2:S1001,Leads!N2:N1001,"Звъннато",Leads!O2:O1001,"&lt;&gt;Пример")</x:f>
        <x:v>0</x:v>
      </x:c>
      <x:c r="I7" s="268"/>
      <x:c r="J7" s="98" t="str">
        <x:v>Правило</x:v>
      </x:c>
      <x:c r="K7" s="98" t="str">
        <x:v>Всеки ден: 10 нови lead-а + всички follow-up-и</x:v>
      </x:c>
      <x:c r="L7" s="98"/>
      <x:c r="M7" s="98"/>
      <x:c r="N7" s="9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69" t="str">
        <x:v>Просрочени</x:v>
      </x:c>
      <x:c r="B8" s="70" t="n">
        <x:f>COUNTIFS(Leads!W2:W1001,"ДА",Leads!O2:O1001,"Активен")</x:f>
        <x:v>0</x:v>
      </x:c>
      <x:c r="C8" s="71" t="str">
        <x:v>Изпуснати follow-up-и</x:v>
      </x:c>
      <x:c r="D8" s="268"/>
      <x:c r="E8" s="55" t="str">
        <x:v>Отговорил</x:v>
      </x:c>
      <x:c r="F8" s="55" t="n">
        <x:f>COUNTIFS(Leads!N2:N1001,"Отговорил",Leads!O2:O1001,"&lt;&gt;Пример")</x:f>
        <x:v>0</x:v>
      </x:c>
      <x:c r="G8" s="57" t="n">
        <x:f>SUMIFS(Leads!Q2:Q1001,Leads!N2:N1001,"Отговорил",Leads!O2:O1001,"&lt;&gt;Пример")</x:f>
        <x:v>0</x:v>
      </x:c>
      <x:c r="H8" s="57" t="n">
        <x:f>SUMIFS(Leads!S2:S1001,Leads!N2:N1001,"Отговорил",Leads!O2:O1001,"&lt;&gt;Пример")</x:f>
        <x:v>0</x:v>
      </x:c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69" t="str">
        <x:v>Изпратени оферти</x:v>
      </x:c>
      <x:c r="B9" s="70" t="n">
        <x:f>COUNTIFS(Leads!N2:N1001,"Изпратена оферта",Leads!O2:O1001,"&lt;&gt;Пример")+COUNTIFS(Leads!N2:N1001,"Чака отговор",Leads!O2:O1001,"&lt;&gt;Пример")</x:f>
        <x:v>0</x:v>
      </x:c>
      <x:c r="C9" s="71" t="str">
        <x:v>Пари в движение</x:v>
      </x:c>
      <x:c r="D9" s="268"/>
      <x:c r="E9" s="55" t="str">
        <x:v>Интерес има</x:v>
      </x:c>
      <x:c r="F9" s="55" t="n">
        <x:f>COUNTIFS(Leads!N2:N1001,"Интерес има",Leads!O2:O1001,"&lt;&gt;Пример")</x:f>
        <x:v>0</x:v>
      </x:c>
      <x:c r="G9" s="57" t="n">
        <x:f>SUMIFS(Leads!Q2:Q1001,Leads!N2:N1001,"Интерес има",Leads!O2:O1001,"&lt;&gt;Пример")</x:f>
        <x:v>0</x:v>
      </x:c>
      <x:c r="H9" s="57" t="n">
        <x:f>SUMIFS(Leads!S2:S1001,Leads!N2:N1001,"Интерес има",Leads!O2:O1001,"&lt;&gt;Пример")</x:f>
        <x:v>0</x:v>
      </x:c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69" t="str">
        <x:v>Спечелени</x:v>
      </x:c>
      <x:c r="B10" s="70" t="n">
        <x:f>COUNTIFS(Leads!N2:N1001,"Спечелен",Leads!O2:O1001,"&lt;&gt;Пример")</x:f>
        <x:v>0</x:v>
      </x:c>
      <x:c r="C10" s="71" t="str">
        <x:v>Затворени сделки</x:v>
      </x:c>
      <x:c r="D10" s="268"/>
      <x:c r="E10" s="55" t="str">
        <x:v>Изпратена оферта</x:v>
      </x:c>
      <x:c r="F10" s="55" t="n">
        <x:f>COUNTIFS(Leads!N2:N1001,"Изпратена оферта",Leads!O2:O1001,"&lt;&gt;Пример")</x:f>
        <x:v>0</x:v>
      </x:c>
      <x:c r="G10" s="57" t="n">
        <x:f>SUMIFS(Leads!Q2:Q1001,Leads!N2:N1001,"Изпратена оферта",Leads!O2:O1001,"&lt;&gt;Пример")</x:f>
        <x:v>0</x:v>
      </x:c>
      <x:c r="H10" s="57" t="n">
        <x:f>SUMIFS(Leads!S2:S1001,Leads!N2:N1001,"Изпратена оферта",Leads!O2:O1001,"&lt;&gt;Пример")</x:f>
        <x:v>0</x:v>
      </x:c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69" t="str">
        <x:v>Загубени</x:v>
      </x:c>
      <x:c r="B11" s="70" t="n">
        <x:f>COUNTIFS(Leads!N2:N1001,"Загубен",Leads!O2:O1001,"&lt;&gt;Пример")</x:f>
        <x:v>0</x:v>
      </x:c>
      <x:c r="C11" s="71" t="str">
        <x:v>Отказани/мъртви</x:v>
      </x:c>
      <x:c r="D11" s="268"/>
      <x:c r="E11" s="55" t="str">
        <x:v>Чака отговор</x:v>
      </x:c>
      <x:c r="F11" s="55" t="n">
        <x:f>COUNTIFS(Leads!N2:N1001,"Чака отговор",Leads!O2:O1001,"&lt;&gt;Пример")</x:f>
        <x:v>0</x:v>
      </x:c>
      <x:c r="G11" s="57" t="n">
        <x:f>SUMIFS(Leads!Q2:Q1001,Leads!N2:N1001,"Чака отговор",Leads!O2:O1001,"&lt;&gt;Пример")</x:f>
        <x:v>0</x:v>
      </x:c>
      <x:c r="H11" s="57" t="n">
        <x:f>SUMIFS(Leads!S2:S1001,Leads!N2:N1001,"Чака отговор",Leads!O2:O1001,"&lt;&gt;Пример")</x:f>
        <x:v>0</x:v>
      </x:c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69" t="str">
        <x:v>Потенциални пари</x:v>
      </x:c>
      <x:c r="B12" s="70" t="n">
        <x:f>SUMIFS(Leads!Q2:Q1001,Leads!O2:O1001,"&lt;&gt;Пример")</x:f>
        <x:v>0</x:v>
      </x:c>
      <x:c r="C12" s="71" t="str">
        <x:v>Сума от потенциалните цени</x:v>
      </x:c>
      <x:c r="D12" s="268"/>
      <x:c r="E12" s="55" t="str">
        <x:v>Follow-up</x:v>
      </x:c>
      <x:c r="F12" s="55" t="n">
        <x:f>COUNTIFS(Leads!N2:N1001,"Follow-up",Leads!O2:O1001,"&lt;&gt;Пример")</x:f>
        <x:v>0</x:v>
      </x:c>
      <x:c r="G12" s="57" t="n">
        <x:f>SUMIFS(Leads!Q2:Q1001,Leads!N2:N1001,"Follow-up",Leads!O2:O1001,"&lt;&gt;Пример")</x:f>
        <x:v>0</x:v>
      </x:c>
      <x:c r="H12" s="57" t="n">
        <x:f>SUMIFS(Leads!S2:S1001,Leads!N2:N1001,"Follow-up",Leads!O2:O1001,"&lt;&gt;Пример")</x:f>
        <x:v>0</x:v>
      </x:c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69" t="str">
        <x:v>Очаквана стойност</x:v>
      </x:c>
      <x:c r="B13" s="72" t="n">
        <x:f>SUMIFS(Leads!S2:S1001,Leads!O2:O1001,"&lt;&gt;Пример")</x:f>
        <x:v>0</x:v>
      </x:c>
      <x:c r="C13" s="71" t="str">
        <x:v>Цена × вероятност</x:v>
      </x:c>
      <x:c r="D13" s="268"/>
      <x:c r="E13" s="55" t="str">
        <x:v>Спечелен</x:v>
      </x:c>
      <x:c r="F13" s="55" t="n">
        <x:f>COUNTIFS(Leads!N2:N1001,"Спечелен",Leads!O2:O1001,"&lt;&gt;Пример")</x:f>
        <x:v>0</x:v>
      </x:c>
      <x:c r="G13" s="57" t="n">
        <x:f>SUMIFS(Leads!Q2:Q1001,Leads!N2:N1001,"Спечелен",Leads!O2:O1001,"&lt;&gt;Пример")</x:f>
        <x:v>0</x:v>
      </x:c>
      <x:c r="H13" s="57" t="n">
        <x:f>SUMIFS(Leads!S2:S1001,Leads!N2:N1001,"Спечелен",Leads!O2:O1001,"&lt;&gt;Пример")</x:f>
        <x:v>0</x:v>
      </x:c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69" t="str">
        <x:v>Реално спечелени</x:v>
      </x:c>
      <x:c r="B14" s="72" t="n">
        <x:f>SUMIFS(Leads!Q2:Q1001,Leads!N2:N1001,"Спечелен",Leads!O2:O1001,"&lt;&gt;Пример")</x:f>
        <x:v>0</x:v>
      </x:c>
      <x:c r="C14" s="71" t="str">
        <x:v>Приход от спечелени</x:v>
      </x:c>
      <x:c r="D14" s="268"/>
      <x:c r="E14" s="55" t="str">
        <x:v>Загубен</x:v>
      </x:c>
      <x:c r="F14" s="55" t="n">
        <x:f>COUNTIFS(Leads!N2:N1001,"Загубен",Leads!O2:O1001,"&lt;&gt;Пример")</x:f>
        <x:v>0</x:v>
      </x:c>
      <x:c r="G14" s="57" t="n">
        <x:f>SUMIFS(Leads!Q2:Q1001,Leads!N2:N1001,"Загубен",Leads!O2:O1001,"&lt;&gt;Пример")</x:f>
        <x:v>0</x:v>
      </x:c>
      <x:c r="H14" s="57" t="n">
        <x:f>SUMIFS(Leads!S2:S1001,Leads!N2:N1001,"Загубен",Leads!O2:O1001,"&lt;&gt;Пример")</x:f>
        <x:v>0</x:v>
      </x:c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73" t="str">
        <x:v>Conversion %</x:v>
      </x:c>
      <x:c r="B15" s="74" t="n">
        <x:f>IFERROR(B10/B5,0)</x:f>
        <x:v>0</x:v>
      </x:c>
      <x:c r="C15" s="75" t="str">
        <x:v>Спечелени / всички</x:v>
      </x:c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N1"/>
    <x:mergeCell ref="A2:N2"/>
    <x:mergeCell ref="K5:N5"/>
    <x:mergeCell ref="K6:N6"/>
    <x:mergeCell ref="K7:N7"/>
  </x:mergeCells>
  <x:pageMargins left="0.7" right="0.7" top="0.75" bottom="0.75" header="0.3" footer="0.3"/>
  <x:drawing xmlns:r="http://schemas.openxmlformats.org/officeDocument/2006/relationships" r:id="R349c1282f508452a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20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26" hidden="0" customWidth="1"/>
    <x:col min="10" max="10" width="20" hidden="0" customWidth="1"/>
    <x:col min="11" max="11" width="12" hidden="0" customWidth="1"/>
    <x:col min="12" max="12" width="32" hidden="0" customWidth="1"/>
    <x:col min="13" max="13" width="24" hidden="0" customWidth="1"/>
    <x:col min="14" max="14" width="18" hidden="0" customWidth="1"/>
    <x:col min="15" max="15" width="14" hidden="0" customWidth="1"/>
    <x:col min="16" max="16" width="13" hidden="0" customWidth="1"/>
    <x:col min="17" max="17" width="16" hidden="0" customWidth="1"/>
    <x:col min="18" max="18" width="13" hidden="0" customWidth="1"/>
    <x:col min="19" max="19" width="16" hidden="0" customWidth="1"/>
    <x:col min="20" max="20" width="14" hidden="0" customWidth="1"/>
    <x:col min="21" max="21" width="14" hidden="0" customWidth="1"/>
    <x:col min="22" max="22" width="12" hidden="0" customWidth="1"/>
    <x:col min="23" max="23" width="12" hidden="0" customWidth="1"/>
    <x:col min="24" max="24" width="30" hidden="0" customWidth="1"/>
    <x:col min="25" max="25" width="32" hidden="0" customWidth="1"/>
    <x:col min="26" max="26" width="34" hidden="0" customWidth="1"/>
    <x:col min="27" max="27" width="16" hidden="0" customWidth="1"/>
    <x:col min="28" max="28" width="48" hidden="0" customWidth="1"/>
    <x:col min="29" max="29" width="16" hidden="0" customWidth="1"/>
  </x:cols>
  <x:sheetData>
    <x:row r="1" ht="28" customHeight="1">
      <x:c r="A1" s="33" t="str">
        <x:v>ID</x:v>
      </x:c>
      <x:c r="B1" s="38" t="str">
        <x:v>Дата добавяне</x:v>
      </x:c>
      <x:c r="C1" s="33" t="str">
        <x:v>Име на бизнеса</x:v>
      </x:c>
      <x:c r="D1" s="33" t="str">
        <x:v>Тип бизнес</x:v>
      </x:c>
      <x:c r="E1" s="33" t="str">
        <x:v>Град</x:v>
      </x:c>
      <x:c r="F1" s="33" t="str">
        <x:v>Източник</x:v>
      </x:c>
      <x:c r="G1" s="33" t="str">
        <x:v>Телефон</x:v>
      </x:c>
      <x:c r="H1" s="33" t="str">
        <x:v>Email</x:v>
      </x:c>
      <x:c r="I1" s="33" t="str">
        <x:v>Instagram/Facebook</x:v>
      </x:c>
      <x:c r="J1" s="33" t="str">
        <x:v>Уебсайт</x:v>
      </x:c>
      <x:c r="K1" s="33" t="str">
        <x:v>Имат ли сайт</x:v>
      </x:c>
      <x:c r="L1" s="33" t="str">
        <x:v>Проблем/наблюдение</x:v>
      </x:c>
      <x:c r="M1" s="33" t="str">
        <x:v>Услуга за предлагане</x:v>
      </x:c>
      <x:c r="N1" s="33" t="str">
        <x:v>Етап</x:v>
      </x:c>
      <x:c r="O1" s="33" t="str">
        <x:v>Статус</x:v>
      </x:c>
      <x:c r="P1" s="33" t="str">
        <x:v>Приоритет</x:v>
      </x:c>
      <x:c r="Q1" s="40" t="str">
        <x:v>Потенциална цена</x:v>
      </x:c>
      <x:c r="R1" s="42" t="str">
        <x:v>Вероятност %</x:v>
      </x:c>
      <x:c r="S1" s="40" t="str">
        <x:v>Очаквана стойност</x:v>
      </x:c>
      <x:c r="T1" s="38" t="str">
        <x:v>Последен контакт</x:v>
      </x:c>
      <x:c r="U1" s="38" t="str">
        <x:v>Следващ контакт</x:v>
      </x:c>
      <x:c r="V1" s="33" t="str">
        <x:v>Дни до контакт</x:v>
      </x:c>
      <x:c r="W1" s="33" t="str">
        <x:v>Просрочен?</x:v>
      </x:c>
      <x:c r="X1" s="33" t="str">
        <x:v>Следващо действие</x:v>
      </x:c>
      <x:c r="Y1" s="33" t="str">
        <x:v>Бележки</x:v>
      </x:c>
      <x:c r="Z1" s="33" t="str">
        <x:v>AI контекст</x:v>
      </x:c>
      <x:c r="AA1" s="33" t="str">
        <x:v>AI задача</x:v>
      </x:c>
      <x:c r="AB1" s="33" t="str">
        <x:v>AI Prompt</x:v>
      </x:c>
      <x:c r="AC1" s="38" t="str">
        <x:v>Последна промяна</x:v>
      </x:c>
    </x:row>
    <x:row r="2">
      <x:c r="A2" s="55" t="n">
        <x:v>0</x:v>
      </x:c>
      <x:c r="B2" s="55" t="n">
        <x:v>46203</x:v>
      </x:c>
      <x:c r="C2" s="55" t="str">
        <x:v>ПРИМЕР: Ресторант Х</x:v>
      </x:c>
      <x:c r="D2" s="55" t="str">
        <x:v>Ресторант</x:v>
      </x:c>
      <x:c r="E2" s="55" t="str">
        <x:v>Плевен</x:v>
      </x:c>
      <x:c r="F2" s="55" t="str">
        <x:v>Google Maps</x:v>
      </x:c>
      <x:c r="G2" s="55" t="str">
        <x:v>0888 000 000</x:v>
      </x:c>
      <x:c r="H2" s="55" t="str"/>
      <x:c r="I2" s="55" t="str">
        <x:v>facebook.com/primer</x:v>
      </x:c>
      <x:c r="J2" s="55" t="str"/>
      <x:c r="K2" s="55" t="str">
        <x:v>Не</x:v>
      </x:c>
      <x:c r="L2" s="55" t="str">
        <x:v>Нямат сайт, менюто е качено като снимки и трудно се чете</x:v>
      </x:c>
      <x:c r="M2" s="55" t="str">
        <x:v>Дигитално меню + QR код + Google ревю бутон</x:v>
      </x:c>
      <x:c r="N2" s="55" t="str">
        <x:v>Нов</x:v>
      </x:c>
      <x:c r="O2" s="55" t="str">
        <x:v>Пример</x:v>
      </x:c>
      <x:c r="P2" s="55" t="str">
        <x:v>Висок</x:v>
      </x:c>
      <x:c r="Q2" s="55" t="n">
        <x:v>300</x:v>
      </x:c>
      <x:c r="R2" s="55" t="n">
        <x:v>25</x:v>
      </x:c>
      <x:c r="S2" s="55" t="n">
        <x:f>IF(C2="","",IFERROR(Q2*R2/100,""))</x:f>
        <x:v>75</x:v>
      </x:c>
      <x:c r="T2" s="55"/>
      <x:c r="U2" s="55" t="n">
        <x:v>46203</x:v>
      </x:c>
      <x:c r="V2" s="55" t="n">
        <x:f>IF(U2="","",U2-TODAY())</x:f>
        <x:v>1</x:v>
      </x:c>
      <x:c r="W2" s="55" t="str">
        <x:f>IF(AND(U2&lt;&gt;"",U2&lt;TODAY(),O2="Активен"),"ДА","")</x:f>
      </x:c>
      <x:c r="X2" s="55" t="str">
        <x:v>Първо съобщение във Viber</x:v>
      </x:c>
      <x:c r="Y2" s="55" t="str">
        <x:v>Това е примерен ред. Когато започнеш реално — изтрий или замени този ред.</x:v>
      </x:c>
      <x:c r="Z2" s="55" t="str">
        <x:v>Ресторант без сайт; менюто е неудобно; предложението е дигитално меню с QR код</x:v>
      </x:c>
      <x:c r="AA2" s="55" t="str">
        <x:v>first_message</x:v>
      </x:c>
      <x:c r="AB2" s="55" t="str">
        <x:f>IF(C2="","", "Напиши " &amp; AA2 &amp; " за бизнес: " &amp; C2 &amp; ". Тип: " &amp; D2 &amp; ". Град: " &amp; E2 &amp; ". Проблем: " &amp; L2 &amp; ". Предложение: " &amp; M2 &amp; ". Етап: " &amp; N2 &amp; ". Бележки: " &amp; Y2)</x:f>
        <x:v>Напиши first_message за бизнес: ПРИМЕР: Ресторант Х. Тип: Ресторант. Град: Плевен. Проблем: Нямат сайт, менюто е качено като снимки и трудно се чете. Предложение: Дигитално меню + QR код + Google ревю бутон. Етап: Нов. Бележки: Това е примерен ред. Когато започнеш реално — изтрий или замени този ред.</x:v>
      </x:c>
      <x:c r="AC2" s="55" t="n">
        <x:v>46203</x:v>
      </x:c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 t="str">
        <x:f>IF(C3="","",IFERROR(Q3*R3/100,""))</x:f>
      </x:c>
      <x:c r="T3" s="55"/>
      <x:c r="U3" s="55"/>
      <x:c r="V3" s="55" t="str">
        <x:f>IF(U3="","",U3-TODAY())</x:f>
      </x:c>
      <x:c r="W3" s="55" t="str">
        <x:f>IF(AND(U3&lt;&gt;"",U3&lt;TODAY(),O3="Активен"),"ДА","")</x:f>
      </x:c>
      <x:c r="X3" s="55"/>
      <x:c r="Y3" s="55"/>
      <x:c r="Z3" s="55"/>
      <x:c r="AA3" s="55"/>
      <x:c r="AB3" s="55" t="str">
        <x:f>IF(C3="","", "Напиши " &amp; AA3 &amp; " за бизнес: " &amp; C3 &amp; ". Тип: " &amp; D3 &amp; ". Град: " &amp; E3 &amp; ". Проблем: " &amp; L3 &amp; ". Предложение: " &amp; M3 &amp; ". Етап: " &amp; N3 &amp; ". Бележки: " &amp; Y3)</x:f>
      </x:c>
      <x:c r="AC3" s="55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 t="str">
        <x:f>IF(C4="","",IFERROR(Q4*R4/100,""))</x:f>
      </x:c>
      <x:c r="T4" s="55"/>
      <x:c r="U4" s="55"/>
      <x:c r="V4" s="55" t="str">
        <x:f>IF(U4="","",U4-TODAY())</x:f>
      </x:c>
      <x:c r="W4" s="55" t="str">
        <x:f>IF(AND(U4&lt;&gt;"",U4&lt;TODAY(),O4="Активен"),"ДА","")</x:f>
      </x:c>
      <x:c r="X4" s="55"/>
      <x:c r="Y4" s="55"/>
      <x:c r="Z4" s="55"/>
      <x:c r="AA4" s="55"/>
      <x:c r="AB4" s="55" t="str">
        <x:f>IF(C4="","", "Напиши " &amp; AA4 &amp; " за бизнес: " &amp; C4 &amp; ". Тип: " &amp; D4 &amp; ". Град: " &amp; E4 &amp; ". Проблем: " &amp; L4 &amp; ". Предложение: " &amp; M4 &amp; ". Етап: " &amp; N4 &amp; ". Бележки: " &amp; Y4)</x:f>
      </x:c>
      <x:c r="AC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 t="str">
        <x:f>IF(C5="","",IFERROR(Q5*R5/100,""))</x:f>
      </x:c>
      <x:c r="T5" s="55"/>
      <x:c r="U5" s="55"/>
      <x:c r="V5" s="55" t="str">
        <x:f>IF(U5="","",U5-TODAY())</x:f>
      </x:c>
      <x:c r="W5" s="55" t="str">
        <x:f>IF(AND(U5&lt;&gt;"",U5&lt;TODAY(),O5="Активен"),"ДА","")</x:f>
      </x:c>
      <x:c r="X5" s="55"/>
      <x:c r="Y5" s="55"/>
      <x:c r="Z5" s="55"/>
      <x:c r="AA5" s="55"/>
      <x:c r="AB5" s="55" t="str">
        <x:f>IF(C5="","", "Напиши " &amp; AA5 &amp; " за бизнес: " &amp; C5 &amp; ". Тип: " &amp; D5 &amp; ". Град: " &amp; E5 &amp; ". Проблем: " &amp; L5 &amp; ". Предложение: " &amp; M5 &amp; ". Етап: " &amp; N5 &amp; ". Бележки: " &amp; Y5)</x:f>
      </x:c>
      <x:c r="AC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 t="str">
        <x:f>IF(C6="","",IFERROR(Q6*R6/100,""))</x:f>
      </x:c>
      <x:c r="T6" s="55"/>
      <x:c r="U6" s="55"/>
      <x:c r="V6" s="55" t="str">
        <x:f>IF(U6="","",U6-TODAY())</x:f>
      </x:c>
      <x:c r="W6" s="55" t="str">
        <x:f>IF(AND(U6&lt;&gt;"",U6&lt;TODAY(),O6="Активен"),"ДА","")</x:f>
      </x:c>
      <x:c r="X6" s="55"/>
      <x:c r="Y6" s="55"/>
      <x:c r="Z6" s="55"/>
      <x:c r="AA6" s="55"/>
      <x:c r="AB6" s="55" t="str">
        <x:f>IF(C6="","", "Напиши " &amp; AA6 &amp; " за бизнес: " &amp; C6 &amp; ". Тип: " &amp; D6 &amp; ". Град: " &amp; E6 &amp; ". Проблем: " &amp; L6 &amp; ". Предложение: " &amp; M6 &amp; ". Етап: " &amp; N6 &amp; ". Бележки: " &amp; Y6)</x:f>
      </x:c>
      <x:c r="AC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 t="str">
        <x:f>IF(C7="","",IFERROR(Q7*R7/100,""))</x:f>
      </x:c>
      <x:c r="T7" s="55"/>
      <x:c r="U7" s="55"/>
      <x:c r="V7" s="55" t="str">
        <x:f>IF(U7="","",U7-TODAY())</x:f>
      </x:c>
      <x:c r="W7" s="55" t="str">
        <x:f>IF(AND(U7&lt;&gt;"",U7&lt;TODAY(),O7="Активен"),"ДА","")</x:f>
      </x:c>
      <x:c r="X7" s="55"/>
      <x:c r="Y7" s="55"/>
      <x:c r="Z7" s="55"/>
      <x:c r="AA7" s="55"/>
      <x:c r="AB7" s="55" t="str">
        <x:f>IF(C7="","", "Напиши " &amp; AA7 &amp; " за бизнес: " &amp; C7 &amp; ". Тип: " &amp; D7 &amp; ". Град: " &amp; E7 &amp; ". Проблем: " &amp; L7 &amp; ". Предложение: " &amp; M7 &amp; ". Етап: " &amp; N7 &amp; ". Бележки: " &amp; Y7)</x:f>
      </x:c>
      <x:c r="AC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 t="str">
        <x:f>IF(C8="","",IFERROR(Q8*R8/100,""))</x:f>
      </x:c>
      <x:c r="T8" s="55"/>
      <x:c r="U8" s="55"/>
      <x:c r="V8" s="55" t="str">
        <x:f>IF(U8="","",U8-TODAY())</x:f>
      </x:c>
      <x:c r="W8" s="55" t="str">
        <x:f>IF(AND(U8&lt;&gt;"",U8&lt;TODAY(),O8="Активен"),"ДА","")</x:f>
      </x:c>
      <x:c r="X8" s="55"/>
      <x:c r="Y8" s="55"/>
      <x:c r="Z8" s="55"/>
      <x:c r="AA8" s="55"/>
      <x:c r="AB8" s="55" t="str">
        <x:f>IF(C8="","", "Напиши " &amp; AA8 &amp; " за бизнес: " &amp; C8 &amp; ". Тип: " &amp; D8 &amp; ". Град: " &amp; E8 &amp; ". Проблем: " &amp; L8 &amp; ". Предложение: " &amp; M8 &amp; ". Етап: " &amp; N8 &amp; ". Бележки: " &amp; Y8)</x:f>
      </x:c>
      <x:c r="AC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 t="str">
        <x:f>IF(C9="","",IFERROR(Q9*R9/100,""))</x:f>
      </x:c>
      <x:c r="T9" s="55"/>
      <x:c r="U9" s="55"/>
      <x:c r="V9" s="55" t="str">
        <x:f>IF(U9="","",U9-TODAY())</x:f>
      </x:c>
      <x:c r="W9" s="55" t="str">
        <x:f>IF(AND(U9&lt;&gt;"",U9&lt;TODAY(),O9="Активен"),"ДА","")</x:f>
      </x:c>
      <x:c r="X9" s="55"/>
      <x:c r="Y9" s="55"/>
      <x:c r="Z9" s="55"/>
      <x:c r="AA9" s="55"/>
      <x:c r="AB9" s="55" t="str">
        <x:f>IF(C9="","", "Напиши " &amp; AA9 &amp; " за бизнес: " &amp; C9 &amp; ". Тип: " &amp; D9 &amp; ". Град: " &amp; E9 &amp; ". Проблем: " &amp; L9 &amp; ". Предложение: " &amp; M9 &amp; ". Етап: " &amp; N9 &amp; ". Бележки: " &amp; Y9)</x:f>
      </x:c>
      <x:c r="AC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 t="str">
        <x:f>IF(C10="","",IFERROR(Q10*R10/100,""))</x:f>
      </x:c>
      <x:c r="T10" s="55"/>
      <x:c r="U10" s="55"/>
      <x:c r="V10" s="55" t="str">
        <x:f>IF(U10="","",U10-TODAY())</x:f>
      </x:c>
      <x:c r="W10" s="55" t="str">
        <x:f>IF(AND(U10&lt;&gt;"",U10&lt;TODAY(),O10="Активен"),"ДА","")</x:f>
      </x:c>
      <x:c r="X10" s="55"/>
      <x:c r="Y10" s="55"/>
      <x:c r="Z10" s="55"/>
      <x:c r="AA10" s="55"/>
      <x:c r="AB10" s="55" t="str">
        <x:f>IF(C10="","", "Напиши " &amp; AA10 &amp; " за бизнес: " &amp; C10 &amp; ". Тип: " &amp; D10 &amp; ". Град: " &amp; E10 &amp; ". Проблем: " &amp; L10 &amp; ". Предложение: " &amp; M10 &amp; ". Етап: " &amp; N10 &amp; ". Бележки: " &amp; Y10)</x:f>
      </x:c>
      <x:c r="AC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 t="str">
        <x:f>IF(C11="","",IFERROR(Q11*R11/100,""))</x:f>
      </x:c>
      <x:c r="T11" s="55"/>
      <x:c r="U11" s="55"/>
      <x:c r="V11" s="55" t="str">
        <x:f>IF(U11="","",U11-TODAY())</x:f>
      </x:c>
      <x:c r="W11" s="55" t="str">
        <x:f>IF(AND(U11&lt;&gt;"",U11&lt;TODAY(),O11="Активен"),"ДА","")</x:f>
      </x:c>
      <x:c r="X11" s="55"/>
      <x:c r="Y11" s="55"/>
      <x:c r="Z11" s="55"/>
      <x:c r="AA11" s="55"/>
      <x:c r="AB11" s="55" t="str">
        <x:f>IF(C11="","", "Напиши " &amp; AA11 &amp; " за бизнес: " &amp; C11 &amp; ". Тип: " &amp; D11 &amp; ". Град: " &amp; E11 &amp; ". Проблем: " &amp; L11 &amp; ". Предложение: " &amp; M11 &amp; ". Етап: " &amp; N11 &amp; ". Бележки: " &amp; Y11)</x:f>
      </x:c>
      <x:c r="AC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 t="str">
        <x:f>IF(C12="","",IFERROR(Q12*R12/100,""))</x:f>
      </x:c>
      <x:c r="T12" s="55"/>
      <x:c r="U12" s="55"/>
      <x:c r="V12" s="55" t="str">
        <x:f>IF(U12="","",U12-TODAY())</x:f>
      </x:c>
      <x:c r="W12" s="55" t="str">
        <x:f>IF(AND(U12&lt;&gt;"",U12&lt;TODAY(),O12="Активен"),"ДА","")</x:f>
      </x:c>
      <x:c r="X12" s="55"/>
      <x:c r="Y12" s="55"/>
      <x:c r="Z12" s="55"/>
      <x:c r="AA12" s="55"/>
      <x:c r="AB12" s="55" t="str">
        <x:f>IF(C12="","", "Напиши " &amp; AA12 &amp; " за бизнес: " &amp; C12 &amp; ". Тип: " &amp; D12 &amp; ". Град: " &amp; E12 &amp; ". Проблем: " &amp; L12 &amp; ". Предложение: " &amp; M12 &amp; ". Етап: " &amp; N12 &amp; ". Бележки: " &amp; Y12)</x:f>
      </x:c>
      <x:c r="AC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 t="str">
        <x:f>IF(C13="","",IFERROR(Q13*R13/100,""))</x:f>
      </x:c>
      <x:c r="T13" s="55"/>
      <x:c r="U13" s="55"/>
      <x:c r="V13" s="55" t="str">
        <x:f>IF(U13="","",U13-TODAY())</x:f>
      </x:c>
      <x:c r="W13" s="55" t="str">
        <x:f>IF(AND(U13&lt;&gt;"",U13&lt;TODAY(),O13="Активен"),"ДА","")</x:f>
      </x:c>
      <x:c r="X13" s="55"/>
      <x:c r="Y13" s="55"/>
      <x:c r="Z13" s="55"/>
      <x:c r="AA13" s="55"/>
      <x:c r="AB13" s="55" t="str">
        <x:f>IF(C13="","", "Напиши " &amp; AA13 &amp; " за бизнес: " &amp; C13 &amp; ". Тип: " &amp; D13 &amp; ". Град: " &amp; E13 &amp; ". Проблем: " &amp; L13 &amp; ". Предложение: " &amp; M13 &amp; ". Етап: " &amp; N13 &amp; ". Бележки: " &amp; Y13)</x:f>
      </x:c>
      <x:c r="AC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 t="str">
        <x:f>IF(C14="","",IFERROR(Q14*R14/100,""))</x:f>
      </x:c>
      <x:c r="T14" s="55"/>
      <x:c r="U14" s="55"/>
      <x:c r="V14" s="55" t="str">
        <x:f>IF(U14="","",U14-TODAY())</x:f>
      </x:c>
      <x:c r="W14" s="55" t="str">
        <x:f>IF(AND(U14&lt;&gt;"",U14&lt;TODAY(),O14="Активен"),"ДА","")</x:f>
      </x:c>
      <x:c r="X14" s="55"/>
      <x:c r="Y14" s="55"/>
      <x:c r="Z14" s="55"/>
      <x:c r="AA14" s="55"/>
      <x:c r="AB14" s="55" t="str">
        <x:f>IF(C14="","", "Напиши " &amp; AA14 &amp; " за бизнес: " &amp; C14 &amp; ". Тип: " &amp; D14 &amp; ". Град: " &amp; E14 &amp; ". Проблем: " &amp; L14 &amp; ". Предложение: " &amp; M14 &amp; ". Етап: " &amp; N14 &amp; ". Бележки: " &amp; Y14)</x:f>
      </x:c>
      <x:c r="AC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 t="str">
        <x:f>IF(C15="","",IFERROR(Q15*R15/100,""))</x:f>
      </x:c>
      <x:c r="T15" s="55"/>
      <x:c r="U15" s="55"/>
      <x:c r="V15" s="55" t="str">
        <x:f>IF(U15="","",U15-TODAY())</x:f>
      </x:c>
      <x:c r="W15" s="55" t="str">
        <x:f>IF(AND(U15&lt;&gt;"",U15&lt;TODAY(),O15="Активен"),"ДА","")</x:f>
      </x:c>
      <x:c r="X15" s="55"/>
      <x:c r="Y15" s="55"/>
      <x:c r="Z15" s="55"/>
      <x:c r="AA15" s="55"/>
      <x:c r="AB15" s="55" t="str">
        <x:f>IF(C15="","", "Напиши " &amp; AA15 &amp; " за бизнес: " &amp; C15 &amp; ". Тип: " &amp; D15 &amp; ". Град: " &amp; E15 &amp; ". Проблем: " &amp; L15 &amp; ". Предложение: " &amp; M15 &amp; ". Етап: " &amp; N15 &amp; ". Бележки: " &amp; Y15)</x:f>
      </x:c>
      <x:c r="AC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 t="str">
        <x:f>IF(C16="","",IFERROR(Q16*R16/100,""))</x:f>
      </x:c>
      <x:c r="T16" s="55"/>
      <x:c r="U16" s="55"/>
      <x:c r="V16" s="55" t="str">
        <x:f>IF(U16="","",U16-TODAY())</x:f>
      </x:c>
      <x:c r="W16" s="55" t="str">
        <x:f>IF(AND(U16&lt;&gt;"",U16&lt;TODAY(),O16="Активен"),"ДА","")</x:f>
      </x:c>
      <x:c r="X16" s="55"/>
      <x:c r="Y16" s="55"/>
      <x:c r="Z16" s="55"/>
      <x:c r="AA16" s="55"/>
      <x:c r="AB16" s="55" t="str">
        <x:f>IF(C16="","", "Напиши " &amp; AA16 &amp; " за бизнес: " &amp; C16 &amp; ". Тип: " &amp; D16 &amp; ". Град: " &amp; E16 &amp; ". Проблем: " &amp; L16 &amp; ". Предложение: " &amp; M16 &amp; ". Етап: " &amp; N16 &amp; ". Бележки: " &amp; Y16)</x:f>
      </x:c>
      <x:c r="AC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 t="str">
        <x:f>IF(C17="","",IFERROR(Q17*R17/100,""))</x:f>
      </x:c>
      <x:c r="T17" s="55"/>
      <x:c r="U17" s="55"/>
      <x:c r="V17" s="55" t="str">
        <x:f>IF(U17="","",U17-TODAY())</x:f>
      </x:c>
      <x:c r="W17" s="55" t="str">
        <x:f>IF(AND(U17&lt;&gt;"",U17&lt;TODAY(),O17="Активен"),"ДА","")</x:f>
      </x:c>
      <x:c r="X17" s="55"/>
      <x:c r="Y17" s="55"/>
      <x:c r="Z17" s="55"/>
      <x:c r="AA17" s="55"/>
      <x:c r="AB17" s="55" t="str">
        <x:f>IF(C17="","", "Напиши " &amp; AA17 &amp; " за бизнес: " &amp; C17 &amp; ". Тип: " &amp; D17 &amp; ". Град: " &amp; E17 &amp; ". Проблем: " &amp; L17 &amp; ". Предложение: " &amp; M17 &amp; ". Етап: " &amp; N17 &amp; ". Бележки: " &amp; Y17)</x:f>
      </x:c>
      <x:c r="AC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 t="str">
        <x:f>IF(C18="","",IFERROR(Q18*R18/100,""))</x:f>
      </x:c>
      <x:c r="T18" s="55"/>
      <x:c r="U18" s="55"/>
      <x:c r="V18" s="55" t="str">
        <x:f>IF(U18="","",U18-TODAY())</x:f>
      </x:c>
      <x:c r="W18" s="55" t="str">
        <x:f>IF(AND(U18&lt;&gt;"",U18&lt;TODAY(),O18="Активен"),"ДА","")</x:f>
      </x:c>
      <x:c r="X18" s="55"/>
      <x:c r="Y18" s="55"/>
      <x:c r="Z18" s="55"/>
      <x:c r="AA18" s="55"/>
      <x:c r="AB18" s="55" t="str">
        <x:f>IF(C18="","", "Напиши " &amp; AA18 &amp; " за бизнес: " &amp; C18 &amp; ". Тип: " &amp; D18 &amp; ". Град: " &amp; E18 &amp; ". Проблем: " &amp; L18 &amp; ". Предложение: " &amp; M18 &amp; ". Етап: " &amp; N18 &amp; ". Бележки: " &amp; Y18)</x:f>
      </x:c>
      <x:c r="AC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 t="str">
        <x:f>IF(C19="","",IFERROR(Q19*R19/100,""))</x:f>
      </x:c>
      <x:c r="T19" s="55"/>
      <x:c r="U19" s="55"/>
      <x:c r="V19" s="55" t="str">
        <x:f>IF(U19="","",U19-TODAY())</x:f>
      </x:c>
      <x:c r="W19" s="55" t="str">
        <x:f>IF(AND(U19&lt;&gt;"",U19&lt;TODAY(),O19="Активен"),"ДА","")</x:f>
      </x:c>
      <x:c r="X19" s="55"/>
      <x:c r="Y19" s="55"/>
      <x:c r="Z19" s="55"/>
      <x:c r="AA19" s="55"/>
      <x:c r="AB19" s="55" t="str">
        <x:f>IF(C19="","", "Напиши " &amp; AA19 &amp; " за бизнес: " &amp; C19 &amp; ". Тип: " &amp; D19 &amp; ". Град: " &amp; E19 &amp; ". Проблем: " &amp; L19 &amp; ". Предложение: " &amp; M19 &amp; ". Етап: " &amp; N19 &amp; ". Бележки: " &amp; Y19)</x:f>
      </x:c>
      <x:c r="AC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 t="str">
        <x:f>IF(C20="","",IFERROR(Q20*R20/100,""))</x:f>
      </x:c>
      <x:c r="T20" s="55"/>
      <x:c r="U20" s="55"/>
      <x:c r="V20" s="55" t="str">
        <x:f>IF(U20="","",U20-TODAY())</x:f>
      </x:c>
      <x:c r="W20" s="55" t="str">
        <x:f>IF(AND(U20&lt;&gt;"",U20&lt;TODAY(),O20="Активен"),"ДА","")</x:f>
      </x:c>
      <x:c r="X20" s="55"/>
      <x:c r="Y20" s="55"/>
      <x:c r="Z20" s="55"/>
      <x:c r="AA20" s="55"/>
      <x:c r="AB20" s="55" t="str">
        <x:f>IF(C20="","", "Напиши " &amp; AA20 &amp; " за бизнес: " &amp; C20 &amp; ". Тип: " &amp; D20 &amp; ". Град: " &amp; E20 &amp; ". Проблем: " &amp; L20 &amp; ". Предложение: " &amp; M20 &amp; ". Етап: " &amp; N20 &amp; ". Бележки: " &amp; Y20)</x:f>
      </x:c>
      <x:c r="AC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 t="str">
        <x:f>IF(C21="","",IFERROR(Q21*R21/100,""))</x:f>
      </x:c>
      <x:c r="T21" s="55"/>
      <x:c r="U21" s="55"/>
      <x:c r="V21" s="55" t="str">
        <x:f>IF(U21="","",U21-TODAY())</x:f>
      </x:c>
      <x:c r="W21" s="55" t="str">
        <x:f>IF(AND(U21&lt;&gt;"",U21&lt;TODAY(),O21="Активен"),"ДА","")</x:f>
      </x:c>
      <x:c r="X21" s="55"/>
      <x:c r="Y21" s="55"/>
      <x:c r="Z21" s="55"/>
      <x:c r="AA21" s="55"/>
      <x:c r="AB21" s="55" t="str">
        <x:f>IF(C21="","", "Напиши " &amp; AA21 &amp; " за бизнес: " &amp; C21 &amp; ". Тип: " &amp; D21 &amp; ". Град: " &amp; E21 &amp; ". Проблем: " &amp; L21 &amp; ". Предложение: " &amp; M21 &amp; ". Етап: " &amp; N21 &amp; ". Бележки: " &amp; Y21)</x:f>
      </x:c>
      <x:c r="AC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 t="str">
        <x:f>IF(C22="","",IFERROR(Q22*R22/100,""))</x:f>
      </x:c>
      <x:c r="T22" s="55"/>
      <x:c r="U22" s="55"/>
      <x:c r="V22" s="55" t="str">
        <x:f>IF(U22="","",U22-TODAY())</x:f>
      </x:c>
      <x:c r="W22" s="55" t="str">
        <x:f>IF(AND(U22&lt;&gt;"",U22&lt;TODAY(),O22="Активен"),"ДА","")</x:f>
      </x:c>
      <x:c r="X22" s="55"/>
      <x:c r="Y22" s="55"/>
      <x:c r="Z22" s="55"/>
      <x:c r="AA22" s="55"/>
      <x:c r="AB22" s="55" t="str">
        <x:f>IF(C22="","", "Напиши " &amp; AA22 &amp; " за бизнес: " &amp; C22 &amp; ". Тип: " &amp; D22 &amp; ". Град: " &amp; E22 &amp; ". Проблем: " &amp; L22 &amp; ". Предложение: " &amp; M22 &amp; ". Етап: " &amp; N22 &amp; ". Бележки: " &amp; Y22)</x:f>
      </x:c>
      <x:c r="AC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 t="str">
        <x:f>IF(C23="","",IFERROR(Q23*R23/100,""))</x:f>
      </x:c>
      <x:c r="T23" s="55"/>
      <x:c r="U23" s="55"/>
      <x:c r="V23" s="55" t="str">
        <x:f>IF(U23="","",U23-TODAY())</x:f>
      </x:c>
      <x:c r="W23" s="55" t="str">
        <x:f>IF(AND(U23&lt;&gt;"",U23&lt;TODAY(),O23="Активен"),"ДА","")</x:f>
      </x:c>
      <x:c r="X23" s="55"/>
      <x:c r="Y23" s="55"/>
      <x:c r="Z23" s="55"/>
      <x:c r="AA23" s="55"/>
      <x:c r="AB23" s="55" t="str">
        <x:f>IF(C23="","", "Напиши " &amp; AA23 &amp; " за бизнес: " &amp; C23 &amp; ". Тип: " &amp; D23 &amp; ". Град: " &amp; E23 &amp; ". Проблем: " &amp; L23 &amp; ". Предложение: " &amp; M23 &amp; ". Етап: " &amp; N23 &amp; ". Бележки: " &amp; Y23)</x:f>
      </x:c>
      <x:c r="AC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 t="str">
        <x:f>IF(C24="","",IFERROR(Q24*R24/100,""))</x:f>
      </x:c>
      <x:c r="T24" s="55"/>
      <x:c r="U24" s="55"/>
      <x:c r="V24" s="55" t="str">
        <x:f>IF(U24="","",U24-TODAY())</x:f>
      </x:c>
      <x:c r="W24" s="55" t="str">
        <x:f>IF(AND(U24&lt;&gt;"",U24&lt;TODAY(),O24="Активен"),"ДА","")</x:f>
      </x:c>
      <x:c r="X24" s="55"/>
      <x:c r="Y24" s="55"/>
      <x:c r="Z24" s="55"/>
      <x:c r="AA24" s="55"/>
      <x:c r="AB24" s="55" t="str">
        <x:f>IF(C24="","", "Напиши " &amp; AA24 &amp; " за бизнес: " &amp; C24 &amp; ". Тип: " &amp; D24 &amp; ". Град: " &amp; E24 &amp; ". Проблем: " &amp; L24 &amp; ". Предложение: " &amp; M24 &amp; ". Етап: " &amp; N24 &amp; ". Бележки: " &amp; Y24)</x:f>
      </x:c>
      <x:c r="AC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 t="str">
        <x:f>IF(C25="","",IFERROR(Q25*R25/100,""))</x:f>
      </x:c>
      <x:c r="T25" s="55"/>
      <x:c r="U25" s="55"/>
      <x:c r="V25" s="55" t="str">
        <x:f>IF(U25="","",U25-TODAY())</x:f>
      </x:c>
      <x:c r="W25" s="55" t="str">
        <x:f>IF(AND(U25&lt;&gt;"",U25&lt;TODAY(),O25="Активен"),"ДА","")</x:f>
      </x:c>
      <x:c r="X25" s="55"/>
      <x:c r="Y25" s="55"/>
      <x:c r="Z25" s="55"/>
      <x:c r="AA25" s="55"/>
      <x:c r="AB25" s="55" t="str">
        <x:f>IF(C25="","", "Напиши " &amp; AA25 &amp; " за бизнес: " &amp; C25 &amp; ". Тип: " &amp; D25 &amp; ". Град: " &amp; E25 &amp; ". Проблем: " &amp; L25 &amp; ". Предложение: " &amp; M25 &amp; ". Етап: " &amp; N25 &amp; ". Бележки: " &amp; Y25)</x:f>
      </x:c>
      <x:c r="AC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 t="str">
        <x:f>IF(C26="","",IFERROR(Q26*R26/100,""))</x:f>
      </x:c>
      <x:c r="T26" s="55"/>
      <x:c r="U26" s="55"/>
      <x:c r="V26" s="55" t="str">
        <x:f>IF(U26="","",U26-TODAY())</x:f>
      </x:c>
      <x:c r="W26" s="55" t="str">
        <x:f>IF(AND(U26&lt;&gt;"",U26&lt;TODAY(),O26="Активен"),"ДА","")</x:f>
      </x:c>
      <x:c r="X26" s="55"/>
      <x:c r="Y26" s="55"/>
      <x:c r="Z26" s="55"/>
      <x:c r="AA26" s="55"/>
      <x:c r="AB26" s="55" t="str">
        <x:f>IF(C26="","", "Напиши " &amp; AA26 &amp; " за бизнес: " &amp; C26 &amp; ". Тип: " &amp; D26 &amp; ". Град: " &amp; E26 &amp; ". Проблем: " &amp; L26 &amp; ". Предложение: " &amp; M26 &amp; ". Етап: " &amp; N26 &amp; ". Бележки: " &amp; Y26)</x:f>
      </x:c>
      <x:c r="AC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 t="str">
        <x:f>IF(C27="","",IFERROR(Q27*R27/100,""))</x:f>
      </x:c>
      <x:c r="T27" s="55"/>
      <x:c r="U27" s="55"/>
      <x:c r="V27" s="55" t="str">
        <x:f>IF(U27="","",U27-TODAY())</x:f>
      </x:c>
      <x:c r="W27" s="55" t="str">
        <x:f>IF(AND(U27&lt;&gt;"",U27&lt;TODAY(),O27="Активен"),"ДА","")</x:f>
      </x:c>
      <x:c r="X27" s="55"/>
      <x:c r="Y27" s="55"/>
      <x:c r="Z27" s="55"/>
      <x:c r="AA27" s="55"/>
      <x:c r="AB27" s="55" t="str">
        <x:f>IF(C27="","", "Напиши " &amp; AA27 &amp; " за бизнес: " &amp; C27 &amp; ". Тип: " &amp; D27 &amp; ". Град: " &amp; E27 &amp; ". Проблем: " &amp; L27 &amp; ". Предложение: " &amp; M27 &amp; ". Етап: " &amp; N27 &amp; ". Бележки: " &amp; Y27)</x:f>
      </x:c>
      <x:c r="AC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 t="str">
        <x:f>IF(C28="","",IFERROR(Q28*R28/100,""))</x:f>
      </x:c>
      <x:c r="T28" s="55"/>
      <x:c r="U28" s="55"/>
      <x:c r="V28" s="55" t="str">
        <x:f>IF(U28="","",U28-TODAY())</x:f>
      </x:c>
      <x:c r="W28" s="55" t="str">
        <x:f>IF(AND(U28&lt;&gt;"",U28&lt;TODAY(),O28="Активен"),"ДА","")</x:f>
      </x:c>
      <x:c r="X28" s="55"/>
      <x:c r="Y28" s="55"/>
      <x:c r="Z28" s="55"/>
      <x:c r="AA28" s="55"/>
      <x:c r="AB28" s="55" t="str">
        <x:f>IF(C28="","", "Напиши " &amp; AA28 &amp; " за бизнес: " &amp; C28 &amp; ". Тип: " &amp; D28 &amp; ". Град: " &amp; E28 &amp; ". Проблем: " &amp; L28 &amp; ". Предложение: " &amp; M28 &amp; ". Етап: " &amp; N28 &amp; ". Бележки: " &amp; Y28)</x:f>
      </x:c>
      <x:c r="AC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 t="str">
        <x:f>IF(C29="","",IFERROR(Q29*R29/100,""))</x:f>
      </x:c>
      <x:c r="T29" s="55"/>
      <x:c r="U29" s="55"/>
      <x:c r="V29" s="55" t="str">
        <x:f>IF(U29="","",U29-TODAY())</x:f>
      </x:c>
      <x:c r="W29" s="55" t="str">
        <x:f>IF(AND(U29&lt;&gt;"",U29&lt;TODAY(),O29="Активен"),"ДА","")</x:f>
      </x:c>
      <x:c r="X29" s="55"/>
      <x:c r="Y29" s="55"/>
      <x:c r="Z29" s="55"/>
      <x:c r="AA29" s="55"/>
      <x:c r="AB29" s="55" t="str">
        <x:f>IF(C29="","", "Напиши " &amp; AA29 &amp; " за бизнес: " &amp; C29 &amp; ". Тип: " &amp; D29 &amp; ". Град: " &amp; E29 &amp; ". Проблем: " &amp; L29 &amp; ". Предложение: " &amp; M29 &amp; ". Етап: " &amp; N29 &amp; ". Бележки: " &amp; Y29)</x:f>
      </x:c>
      <x:c r="AC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 t="str">
        <x:f>IF(C30="","",IFERROR(Q30*R30/100,""))</x:f>
      </x:c>
      <x:c r="T30" s="55"/>
      <x:c r="U30" s="55"/>
      <x:c r="V30" s="55" t="str">
        <x:f>IF(U30="","",U30-TODAY())</x:f>
      </x:c>
      <x:c r="W30" s="55" t="str">
        <x:f>IF(AND(U30&lt;&gt;"",U30&lt;TODAY(),O30="Активен"),"ДА","")</x:f>
      </x:c>
      <x:c r="X30" s="55"/>
      <x:c r="Y30" s="55"/>
      <x:c r="Z30" s="55"/>
      <x:c r="AA30" s="55"/>
      <x:c r="AB30" s="55" t="str">
        <x:f>IF(C30="","", "Напиши " &amp; AA30 &amp; " за бизнес: " &amp; C30 &amp; ". Тип: " &amp; D30 &amp; ". Град: " &amp; E30 &amp; ". Проблем: " &amp; L30 &amp; ". Предложение: " &amp; M30 &amp; ". Етап: " &amp; N30 &amp; ". Бележки: " &amp; Y30)</x:f>
      </x:c>
      <x:c r="AC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 t="str">
        <x:f>IF(C31="","",IFERROR(Q31*R31/100,""))</x:f>
      </x:c>
      <x:c r="T31" s="55"/>
      <x:c r="U31" s="55"/>
      <x:c r="V31" s="55" t="str">
        <x:f>IF(U31="","",U31-TODAY())</x:f>
      </x:c>
      <x:c r="W31" s="55" t="str">
        <x:f>IF(AND(U31&lt;&gt;"",U31&lt;TODAY(),O31="Активен"),"ДА","")</x:f>
      </x:c>
      <x:c r="X31" s="55"/>
      <x:c r="Y31" s="55"/>
      <x:c r="Z31" s="55"/>
      <x:c r="AA31" s="55"/>
      <x:c r="AB31" s="55" t="str">
        <x:f>IF(C31="","", "Напиши " &amp; AA31 &amp; " за бизнес: " &amp; C31 &amp; ". Тип: " &amp; D31 &amp; ". Град: " &amp; E31 &amp; ". Проблем: " &amp; L31 &amp; ". Предложение: " &amp; M31 &amp; ". Етап: " &amp; N31 &amp; ". Бележки: " &amp; Y31)</x:f>
      </x:c>
      <x:c r="AC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 t="str">
        <x:f>IF(C32="","",IFERROR(Q32*R32/100,""))</x:f>
      </x:c>
      <x:c r="T32" s="55"/>
      <x:c r="U32" s="55"/>
      <x:c r="V32" s="55" t="str">
        <x:f>IF(U32="","",U32-TODAY())</x:f>
      </x:c>
      <x:c r="W32" s="55" t="str">
        <x:f>IF(AND(U32&lt;&gt;"",U32&lt;TODAY(),O32="Активен"),"ДА","")</x:f>
      </x:c>
      <x:c r="X32" s="55"/>
      <x:c r="Y32" s="55"/>
      <x:c r="Z32" s="55"/>
      <x:c r="AA32" s="55"/>
      <x:c r="AB32" s="55" t="str">
        <x:f>IF(C32="","", "Напиши " &amp; AA32 &amp; " за бизнес: " &amp; C32 &amp; ". Тип: " &amp; D32 &amp; ". Град: " &amp; E32 &amp; ". Проблем: " &amp; L32 &amp; ". Предложение: " &amp; M32 &amp; ". Етап: " &amp; N32 &amp; ". Бележки: " &amp; Y32)</x:f>
      </x:c>
      <x:c r="AC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 t="str">
        <x:f>IF(C33="","",IFERROR(Q33*R33/100,""))</x:f>
      </x:c>
      <x:c r="T33" s="55"/>
      <x:c r="U33" s="55"/>
      <x:c r="V33" s="55" t="str">
        <x:f>IF(U33="","",U33-TODAY())</x:f>
      </x:c>
      <x:c r="W33" s="55" t="str">
        <x:f>IF(AND(U33&lt;&gt;"",U33&lt;TODAY(),O33="Активен"),"ДА","")</x:f>
      </x:c>
      <x:c r="X33" s="55"/>
      <x:c r="Y33" s="55"/>
      <x:c r="Z33" s="55"/>
      <x:c r="AA33" s="55"/>
      <x:c r="AB33" s="55" t="str">
        <x:f>IF(C33="","", "Напиши " &amp; AA33 &amp; " за бизнес: " &amp; C33 &amp; ". Тип: " &amp; D33 &amp; ". Град: " &amp; E33 &amp; ". Проблем: " &amp; L33 &amp; ". Предложение: " &amp; M33 &amp; ". Етап: " &amp; N33 &amp; ". Бележки: " &amp; Y33)</x:f>
      </x:c>
      <x:c r="AC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 t="str">
        <x:f>IF(C34="","",IFERROR(Q34*R34/100,""))</x:f>
      </x:c>
      <x:c r="T34" s="55"/>
      <x:c r="U34" s="55"/>
      <x:c r="V34" s="55" t="str">
        <x:f>IF(U34="","",U34-TODAY())</x:f>
      </x:c>
      <x:c r="W34" s="55" t="str">
        <x:f>IF(AND(U34&lt;&gt;"",U34&lt;TODAY(),O34="Активен"),"ДА","")</x:f>
      </x:c>
      <x:c r="X34" s="55"/>
      <x:c r="Y34" s="55"/>
      <x:c r="Z34" s="55"/>
      <x:c r="AA34" s="55"/>
      <x:c r="AB34" s="55" t="str">
        <x:f>IF(C34="","", "Напиши " &amp; AA34 &amp; " за бизнес: " &amp; C34 &amp; ". Тип: " &amp; D34 &amp; ". Град: " &amp; E34 &amp; ". Проблем: " &amp; L34 &amp; ". Предложение: " &amp; M34 &amp; ". Етап: " &amp; N34 &amp; ". Бележки: " &amp; Y34)</x:f>
      </x:c>
      <x:c r="AC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 t="str">
        <x:f>IF(C35="","",IFERROR(Q35*R35/100,""))</x:f>
      </x:c>
      <x:c r="T35" s="55"/>
      <x:c r="U35" s="55"/>
      <x:c r="V35" s="55" t="str">
        <x:f>IF(U35="","",U35-TODAY())</x:f>
      </x:c>
      <x:c r="W35" s="55" t="str">
        <x:f>IF(AND(U35&lt;&gt;"",U35&lt;TODAY(),O35="Активен"),"ДА","")</x:f>
      </x:c>
      <x:c r="X35" s="55"/>
      <x:c r="Y35" s="55"/>
      <x:c r="Z35" s="55"/>
      <x:c r="AA35" s="55"/>
      <x:c r="AB35" s="55" t="str">
        <x:f>IF(C35="","", "Напиши " &amp; AA35 &amp; " за бизнес: " &amp; C35 &amp; ". Тип: " &amp; D35 &amp; ". Град: " &amp; E35 &amp; ". Проблем: " &amp; L35 &amp; ". Предложение: " &amp; M35 &amp; ". Етап: " &amp; N35 &amp; ". Бележки: " &amp; Y35)</x:f>
      </x:c>
      <x:c r="AC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 t="str">
        <x:f>IF(C36="","",IFERROR(Q36*R36/100,""))</x:f>
      </x:c>
      <x:c r="T36" s="55"/>
      <x:c r="U36" s="55"/>
      <x:c r="V36" s="55" t="str">
        <x:f>IF(U36="","",U36-TODAY())</x:f>
      </x:c>
      <x:c r="W36" s="55" t="str">
        <x:f>IF(AND(U36&lt;&gt;"",U36&lt;TODAY(),O36="Активен"),"ДА","")</x:f>
      </x:c>
      <x:c r="X36" s="55"/>
      <x:c r="Y36" s="55"/>
      <x:c r="Z36" s="55"/>
      <x:c r="AA36" s="55"/>
      <x:c r="AB36" s="55" t="str">
        <x:f>IF(C36="","", "Напиши " &amp; AA36 &amp; " за бизнес: " &amp; C36 &amp; ". Тип: " &amp; D36 &amp; ". Град: " &amp; E36 &amp; ". Проблем: " &amp; L36 &amp; ". Предложение: " &amp; M36 &amp; ". Етап: " &amp; N36 &amp; ". Бележки: " &amp; Y36)</x:f>
      </x:c>
      <x:c r="AC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 t="str">
        <x:f>IF(C37="","",IFERROR(Q37*R37/100,""))</x:f>
      </x:c>
      <x:c r="T37" s="55"/>
      <x:c r="U37" s="55"/>
      <x:c r="V37" s="55" t="str">
        <x:f>IF(U37="","",U37-TODAY())</x:f>
      </x:c>
      <x:c r="W37" s="55" t="str">
        <x:f>IF(AND(U37&lt;&gt;"",U37&lt;TODAY(),O37="Активен"),"ДА","")</x:f>
      </x:c>
      <x:c r="X37" s="55"/>
      <x:c r="Y37" s="55"/>
      <x:c r="Z37" s="55"/>
      <x:c r="AA37" s="55"/>
      <x:c r="AB37" s="55" t="str">
        <x:f>IF(C37="","", "Напиши " &amp; AA37 &amp; " за бизнес: " &amp; C37 &amp; ". Тип: " &amp; D37 &amp; ". Град: " &amp; E37 &amp; ". Проблем: " &amp; L37 &amp; ". Предложение: " &amp; M37 &amp; ". Етап: " &amp; N37 &amp; ". Бележки: " &amp; Y37)</x:f>
      </x:c>
      <x:c r="AC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 t="str">
        <x:f>IF(C38="","",IFERROR(Q38*R38/100,""))</x:f>
      </x:c>
      <x:c r="T38" s="55"/>
      <x:c r="U38" s="55"/>
      <x:c r="V38" s="55" t="str">
        <x:f>IF(U38="","",U38-TODAY())</x:f>
      </x:c>
      <x:c r="W38" s="55" t="str">
        <x:f>IF(AND(U38&lt;&gt;"",U38&lt;TODAY(),O38="Активен"),"ДА","")</x:f>
      </x:c>
      <x:c r="X38" s="55"/>
      <x:c r="Y38" s="55"/>
      <x:c r="Z38" s="55"/>
      <x:c r="AA38" s="55"/>
      <x:c r="AB38" s="55" t="str">
        <x:f>IF(C38="","", "Напиши " &amp; AA38 &amp; " за бизнес: " &amp; C38 &amp; ". Тип: " &amp; D38 &amp; ". Град: " &amp; E38 &amp; ". Проблем: " &amp; L38 &amp; ". Предложение: " &amp; M38 &amp; ". Етап: " &amp; N38 &amp; ". Бележки: " &amp; Y38)</x:f>
      </x:c>
      <x:c r="AC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 t="str">
        <x:f>IF(C39="","",IFERROR(Q39*R39/100,""))</x:f>
      </x:c>
      <x:c r="T39" s="55"/>
      <x:c r="U39" s="55"/>
      <x:c r="V39" s="55" t="str">
        <x:f>IF(U39="","",U39-TODAY())</x:f>
      </x:c>
      <x:c r="W39" s="55" t="str">
        <x:f>IF(AND(U39&lt;&gt;"",U39&lt;TODAY(),O39="Активен"),"ДА","")</x:f>
      </x:c>
      <x:c r="X39" s="55"/>
      <x:c r="Y39" s="55"/>
      <x:c r="Z39" s="55"/>
      <x:c r="AA39" s="55"/>
      <x:c r="AB39" s="55" t="str">
        <x:f>IF(C39="","", "Напиши " &amp; AA39 &amp; " за бизнес: " &amp; C39 &amp; ". Тип: " &amp; D39 &amp; ". Град: " &amp; E39 &amp; ". Проблем: " &amp; L39 &amp; ". Предложение: " &amp; M39 &amp; ". Етап: " &amp; N39 &amp; ". Бележки: " &amp; Y39)</x:f>
      </x:c>
      <x:c r="AC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 t="str">
        <x:f>IF(C40="","",IFERROR(Q40*R40/100,""))</x:f>
      </x:c>
      <x:c r="T40" s="55"/>
      <x:c r="U40" s="55"/>
      <x:c r="V40" s="55" t="str">
        <x:f>IF(U40="","",U40-TODAY())</x:f>
      </x:c>
      <x:c r="W40" s="55" t="str">
        <x:f>IF(AND(U40&lt;&gt;"",U40&lt;TODAY(),O40="Активен"),"ДА","")</x:f>
      </x:c>
      <x:c r="X40" s="55"/>
      <x:c r="Y40" s="55"/>
      <x:c r="Z40" s="55"/>
      <x:c r="AA40" s="55"/>
      <x:c r="AB40" s="55" t="str">
        <x:f>IF(C40="","", "Напиши " &amp; AA40 &amp; " за бизнес: " &amp; C40 &amp; ". Тип: " &amp; D40 &amp; ". Град: " &amp; E40 &amp; ". Проблем: " &amp; L40 &amp; ". Предложение: " &amp; M40 &amp; ". Етап: " &amp; N40 &amp; ". Бележки: " &amp; Y40)</x:f>
      </x:c>
      <x:c r="AC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 t="str">
        <x:f>IF(C41="","",IFERROR(Q41*R41/100,""))</x:f>
      </x:c>
      <x:c r="T41" s="55"/>
      <x:c r="U41" s="55"/>
      <x:c r="V41" s="55" t="str">
        <x:f>IF(U41="","",U41-TODAY())</x:f>
      </x:c>
      <x:c r="W41" s="55" t="str">
        <x:f>IF(AND(U41&lt;&gt;"",U41&lt;TODAY(),O41="Активен"),"ДА","")</x:f>
      </x:c>
      <x:c r="X41" s="55"/>
      <x:c r="Y41" s="55"/>
      <x:c r="Z41" s="55"/>
      <x:c r="AA41" s="55"/>
      <x:c r="AB41" s="55" t="str">
        <x:f>IF(C41="","", "Напиши " &amp; AA41 &amp; " за бизнес: " &amp; C41 &amp; ". Тип: " &amp; D41 &amp; ". Град: " &amp; E41 &amp; ". Проблем: " &amp; L41 &amp; ". Предложение: " &amp; M41 &amp; ". Етап: " &amp; N41 &amp; ". Бележки: " &amp; Y41)</x:f>
      </x:c>
      <x:c r="AC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 t="str">
        <x:f>IF(C42="","",IFERROR(Q42*R42/100,""))</x:f>
      </x:c>
      <x:c r="T42" s="55"/>
      <x:c r="U42" s="55"/>
      <x:c r="V42" s="55" t="str">
        <x:f>IF(U42="","",U42-TODAY())</x:f>
      </x:c>
      <x:c r="W42" s="55" t="str">
        <x:f>IF(AND(U42&lt;&gt;"",U42&lt;TODAY(),O42="Активен"),"ДА","")</x:f>
      </x:c>
      <x:c r="X42" s="55"/>
      <x:c r="Y42" s="55"/>
      <x:c r="Z42" s="55"/>
      <x:c r="AA42" s="55"/>
      <x:c r="AB42" s="55" t="str">
        <x:f>IF(C42="","", "Напиши " &amp; AA42 &amp; " за бизнес: " &amp; C42 &amp; ". Тип: " &amp; D42 &amp; ". Град: " &amp; E42 &amp; ". Проблем: " &amp; L42 &amp; ". Предложение: " &amp; M42 &amp; ". Етап: " &amp; N42 &amp; ". Бележки: " &amp; Y42)</x:f>
      </x:c>
      <x:c r="AC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 t="str">
        <x:f>IF(C43="","",IFERROR(Q43*R43/100,""))</x:f>
      </x:c>
      <x:c r="T43" s="55"/>
      <x:c r="U43" s="55"/>
      <x:c r="V43" s="55" t="str">
        <x:f>IF(U43="","",U43-TODAY())</x:f>
      </x:c>
      <x:c r="W43" s="55" t="str">
        <x:f>IF(AND(U43&lt;&gt;"",U43&lt;TODAY(),O43="Активен"),"ДА","")</x:f>
      </x:c>
      <x:c r="X43" s="55"/>
      <x:c r="Y43" s="55"/>
      <x:c r="Z43" s="55"/>
      <x:c r="AA43" s="55"/>
      <x:c r="AB43" s="55" t="str">
        <x:f>IF(C43="","", "Напиши " &amp; AA43 &amp; " за бизнес: " &amp; C43 &amp; ". Тип: " &amp; D43 &amp; ". Град: " &amp; E43 &amp; ". Проблем: " &amp; L43 &amp; ". Предложение: " &amp; M43 &amp; ". Етап: " &amp; N43 &amp; ". Бележки: " &amp; Y43)</x:f>
      </x:c>
      <x:c r="AC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 t="str">
        <x:f>IF(C44="","",IFERROR(Q44*R44/100,""))</x:f>
      </x:c>
      <x:c r="T44" s="55"/>
      <x:c r="U44" s="55"/>
      <x:c r="V44" s="55" t="str">
        <x:f>IF(U44="","",U44-TODAY())</x:f>
      </x:c>
      <x:c r="W44" s="55" t="str">
        <x:f>IF(AND(U44&lt;&gt;"",U44&lt;TODAY(),O44="Активен"),"ДА","")</x:f>
      </x:c>
      <x:c r="X44" s="55"/>
      <x:c r="Y44" s="55"/>
      <x:c r="Z44" s="55"/>
      <x:c r="AA44" s="55"/>
      <x:c r="AB44" s="55" t="str">
        <x:f>IF(C44="","", "Напиши " &amp; AA44 &amp; " за бизнес: " &amp; C44 &amp; ". Тип: " &amp; D44 &amp; ". Град: " &amp; E44 &amp; ". Проблем: " &amp; L44 &amp; ". Предложение: " &amp; M44 &amp; ". Етап: " &amp; N44 &amp; ". Бележки: " &amp; Y44)</x:f>
      </x:c>
      <x:c r="AC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 t="str">
        <x:f>IF(C45="","",IFERROR(Q45*R45/100,""))</x:f>
      </x:c>
      <x:c r="T45" s="55"/>
      <x:c r="U45" s="55"/>
      <x:c r="V45" s="55" t="str">
        <x:f>IF(U45="","",U45-TODAY())</x:f>
      </x:c>
      <x:c r="W45" s="55" t="str">
        <x:f>IF(AND(U45&lt;&gt;"",U45&lt;TODAY(),O45="Активен"),"ДА","")</x:f>
      </x:c>
      <x:c r="X45" s="55"/>
      <x:c r="Y45" s="55"/>
      <x:c r="Z45" s="55"/>
      <x:c r="AA45" s="55"/>
      <x:c r="AB45" s="55" t="str">
        <x:f>IF(C45="","", "Напиши " &amp; AA45 &amp; " за бизнес: " &amp; C45 &amp; ". Тип: " &amp; D45 &amp; ". Град: " &amp; E45 &amp; ". Проблем: " &amp; L45 &amp; ". Предложение: " &amp; M45 &amp; ". Етап: " &amp; N45 &amp; ". Бележки: " &amp; Y45)</x:f>
      </x:c>
      <x:c r="AC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 t="str">
        <x:f>IF(C46="","",IFERROR(Q46*R46/100,""))</x:f>
      </x:c>
      <x:c r="T46" s="55"/>
      <x:c r="U46" s="55"/>
      <x:c r="V46" s="55" t="str">
        <x:f>IF(U46="","",U46-TODAY())</x:f>
      </x:c>
      <x:c r="W46" s="55" t="str">
        <x:f>IF(AND(U46&lt;&gt;"",U46&lt;TODAY(),O46="Активен"),"ДА","")</x:f>
      </x:c>
      <x:c r="X46" s="55"/>
      <x:c r="Y46" s="55"/>
      <x:c r="Z46" s="55"/>
      <x:c r="AA46" s="55"/>
      <x:c r="AB46" s="55" t="str">
        <x:f>IF(C46="","", "Напиши " &amp; AA46 &amp; " за бизнес: " &amp; C46 &amp; ". Тип: " &amp; D46 &amp; ". Град: " &amp; E46 &amp; ". Проблем: " &amp; L46 &amp; ". Предложение: " &amp; M46 &amp; ". Етап: " &amp; N46 &amp; ". Бележки: " &amp; Y46)</x:f>
      </x:c>
      <x:c r="AC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 t="str">
        <x:f>IF(C47="","",IFERROR(Q47*R47/100,""))</x:f>
      </x:c>
      <x:c r="T47" s="55"/>
      <x:c r="U47" s="55"/>
      <x:c r="V47" s="55" t="str">
        <x:f>IF(U47="","",U47-TODAY())</x:f>
      </x:c>
      <x:c r="W47" s="55" t="str">
        <x:f>IF(AND(U47&lt;&gt;"",U47&lt;TODAY(),O47="Активен"),"ДА","")</x:f>
      </x:c>
      <x:c r="X47" s="55"/>
      <x:c r="Y47" s="55"/>
      <x:c r="Z47" s="55"/>
      <x:c r="AA47" s="55"/>
      <x:c r="AB47" s="55" t="str">
        <x:f>IF(C47="","", "Напиши " &amp; AA47 &amp; " за бизнес: " &amp; C47 &amp; ". Тип: " &amp; D47 &amp; ". Град: " &amp; E47 &amp; ". Проблем: " &amp; L47 &amp; ". Предложение: " &amp; M47 &amp; ". Етап: " &amp; N47 &amp; ". Бележки: " &amp; Y47)</x:f>
      </x:c>
      <x:c r="AC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 t="str">
        <x:f>IF(C48="","",IFERROR(Q48*R48/100,""))</x:f>
      </x:c>
      <x:c r="T48" s="55"/>
      <x:c r="U48" s="55"/>
      <x:c r="V48" s="55" t="str">
        <x:f>IF(U48="","",U48-TODAY())</x:f>
      </x:c>
      <x:c r="W48" s="55" t="str">
        <x:f>IF(AND(U48&lt;&gt;"",U48&lt;TODAY(),O48="Активен"),"ДА","")</x:f>
      </x:c>
      <x:c r="X48" s="55"/>
      <x:c r="Y48" s="55"/>
      <x:c r="Z48" s="55"/>
      <x:c r="AA48" s="55"/>
      <x:c r="AB48" s="55" t="str">
        <x:f>IF(C48="","", "Напиши " &amp; AA48 &amp; " за бизнес: " &amp; C48 &amp; ". Тип: " &amp; D48 &amp; ". Град: " &amp; E48 &amp; ". Проблем: " &amp; L48 &amp; ". Предложение: " &amp; M48 &amp; ". Етап: " &amp; N48 &amp; ". Бележки: " &amp; Y48)</x:f>
      </x:c>
      <x:c r="AC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 t="str">
        <x:f>IF(C49="","",IFERROR(Q49*R49/100,""))</x:f>
      </x:c>
      <x:c r="T49" s="55"/>
      <x:c r="U49" s="55"/>
      <x:c r="V49" s="55" t="str">
        <x:f>IF(U49="","",U49-TODAY())</x:f>
      </x:c>
      <x:c r="W49" s="55" t="str">
        <x:f>IF(AND(U49&lt;&gt;"",U49&lt;TODAY(),O49="Активен"),"ДА","")</x:f>
      </x:c>
      <x:c r="X49" s="55"/>
      <x:c r="Y49" s="55"/>
      <x:c r="Z49" s="55"/>
      <x:c r="AA49" s="55"/>
      <x:c r="AB49" s="55" t="str">
        <x:f>IF(C49="","", "Напиши " &amp; AA49 &amp; " за бизнес: " &amp; C49 &amp; ". Тип: " &amp; D49 &amp; ". Град: " &amp; E49 &amp; ". Проблем: " &amp; L49 &amp; ". Предложение: " &amp; M49 &amp; ". Етап: " &amp; N49 &amp; ". Бележки: " &amp; Y49)</x:f>
      </x:c>
      <x:c r="AC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 t="str">
        <x:f>IF(C50="","",IFERROR(Q50*R50/100,""))</x:f>
      </x:c>
      <x:c r="T50" s="55"/>
      <x:c r="U50" s="55"/>
      <x:c r="V50" s="55" t="str">
        <x:f>IF(U50="","",U50-TODAY())</x:f>
      </x:c>
      <x:c r="W50" s="55" t="str">
        <x:f>IF(AND(U50&lt;&gt;"",U50&lt;TODAY(),O50="Активен"),"ДА","")</x:f>
      </x:c>
      <x:c r="X50" s="55"/>
      <x:c r="Y50" s="55"/>
      <x:c r="Z50" s="55"/>
      <x:c r="AA50" s="55"/>
      <x:c r="AB50" s="55" t="str">
        <x:f>IF(C50="","", "Напиши " &amp; AA50 &amp; " за бизнес: " &amp; C50 &amp; ". Тип: " &amp; D50 &amp; ". Град: " &amp; E50 &amp; ". Проблем: " &amp; L50 &amp; ". Предложение: " &amp; M50 &amp; ". Етап: " &amp; N50 &amp; ". Бележки: " &amp; Y50)</x:f>
      </x:c>
      <x:c r="AC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 t="str">
        <x:f>IF(C51="","",IFERROR(Q51*R51/100,""))</x:f>
      </x:c>
      <x:c r="T51" s="55"/>
      <x:c r="U51" s="55"/>
      <x:c r="V51" s="55" t="str">
        <x:f>IF(U51="","",U51-TODAY())</x:f>
      </x:c>
      <x:c r="W51" s="55" t="str">
        <x:f>IF(AND(U51&lt;&gt;"",U51&lt;TODAY(),O51="Активен"),"ДА","")</x:f>
      </x:c>
      <x:c r="X51" s="55"/>
      <x:c r="Y51" s="55"/>
      <x:c r="Z51" s="55"/>
      <x:c r="AA51" s="55"/>
      <x:c r="AB51" s="55" t="str">
        <x:f>IF(C51="","", "Напиши " &amp; AA51 &amp; " за бизнес: " &amp; C51 &amp; ". Тип: " &amp; D51 &amp; ". Град: " &amp; E51 &amp; ". Проблем: " &amp; L51 &amp; ". Предложение: " &amp; M51 &amp; ". Етап: " &amp; N51 &amp; ". Бележки: " &amp; Y51)</x:f>
      </x:c>
      <x:c r="AC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 t="str">
        <x:f>IF(C52="","",IFERROR(Q52*R52/100,""))</x:f>
      </x:c>
      <x:c r="T52" s="55"/>
      <x:c r="U52" s="55"/>
      <x:c r="V52" s="55" t="str">
        <x:f>IF(U52="","",U52-TODAY())</x:f>
      </x:c>
      <x:c r="W52" s="55" t="str">
        <x:f>IF(AND(U52&lt;&gt;"",U52&lt;TODAY(),O52="Активен"),"ДА","")</x:f>
      </x:c>
      <x:c r="X52" s="55"/>
      <x:c r="Y52" s="55"/>
      <x:c r="Z52" s="55"/>
      <x:c r="AA52" s="55"/>
      <x:c r="AB52" s="55" t="str">
        <x:f>IF(C52="","", "Напиши " &amp; AA52 &amp; " за бизнес: " &amp; C52 &amp; ". Тип: " &amp; D52 &amp; ". Град: " &amp; E52 &amp; ". Проблем: " &amp; L52 &amp; ". Предложение: " &amp; M52 &amp; ". Етап: " &amp; N52 &amp; ". Бележки: " &amp; Y52)</x:f>
      </x:c>
      <x:c r="AC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 t="str">
        <x:f>IF(C53="","",IFERROR(Q53*R53/100,""))</x:f>
      </x:c>
      <x:c r="T53" s="55"/>
      <x:c r="U53" s="55"/>
      <x:c r="V53" s="55" t="str">
        <x:f>IF(U53="","",U53-TODAY())</x:f>
      </x:c>
      <x:c r="W53" s="55" t="str">
        <x:f>IF(AND(U53&lt;&gt;"",U53&lt;TODAY(),O53="Активен"),"ДА","")</x:f>
      </x:c>
      <x:c r="X53" s="55"/>
      <x:c r="Y53" s="55"/>
      <x:c r="Z53" s="55"/>
      <x:c r="AA53" s="55"/>
      <x:c r="AB53" s="55" t="str">
        <x:f>IF(C53="","", "Напиши " &amp; AA53 &amp; " за бизнес: " &amp; C53 &amp; ". Тип: " &amp; D53 &amp; ". Град: " &amp; E53 &amp; ". Проблем: " &amp; L53 &amp; ". Предложение: " &amp; M53 &amp; ". Етап: " &amp; N53 &amp; ". Бележки: " &amp; Y53)</x:f>
      </x:c>
      <x:c r="AC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 t="str">
        <x:f>IF(C54="","",IFERROR(Q54*R54/100,""))</x:f>
      </x:c>
      <x:c r="T54" s="55"/>
      <x:c r="U54" s="55"/>
      <x:c r="V54" s="55" t="str">
        <x:f>IF(U54="","",U54-TODAY())</x:f>
      </x:c>
      <x:c r="W54" s="55" t="str">
        <x:f>IF(AND(U54&lt;&gt;"",U54&lt;TODAY(),O54="Активен"),"ДА","")</x:f>
      </x:c>
      <x:c r="X54" s="55"/>
      <x:c r="Y54" s="55"/>
      <x:c r="Z54" s="55"/>
      <x:c r="AA54" s="55"/>
      <x:c r="AB54" s="55" t="str">
        <x:f>IF(C54="","", "Напиши " &amp; AA54 &amp; " за бизнес: " &amp; C54 &amp; ". Тип: " &amp; D54 &amp; ". Град: " &amp; E54 &amp; ". Проблем: " &amp; L54 &amp; ". Предложение: " &amp; M54 &amp; ". Етап: " &amp; N54 &amp; ". Бележки: " &amp; Y54)</x:f>
      </x:c>
      <x:c r="AC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 t="str">
        <x:f>IF(C55="","",IFERROR(Q55*R55/100,""))</x:f>
      </x:c>
      <x:c r="T55" s="55"/>
      <x:c r="U55" s="55"/>
      <x:c r="V55" s="55" t="str">
        <x:f>IF(U55="","",U55-TODAY())</x:f>
      </x:c>
      <x:c r="W55" s="55" t="str">
        <x:f>IF(AND(U55&lt;&gt;"",U55&lt;TODAY(),O55="Активен"),"ДА","")</x:f>
      </x:c>
      <x:c r="X55" s="55"/>
      <x:c r="Y55" s="55"/>
      <x:c r="Z55" s="55"/>
      <x:c r="AA55" s="55"/>
      <x:c r="AB55" s="55" t="str">
        <x:f>IF(C55="","", "Напиши " &amp; AA55 &amp; " за бизнес: " &amp; C55 &amp; ". Тип: " &amp; D55 &amp; ". Град: " &amp; E55 &amp; ". Проблем: " &amp; L55 &amp; ". Предложение: " &amp; M55 &amp; ". Етап: " &amp; N55 &amp; ". Бележки: " &amp; Y55)</x:f>
      </x:c>
      <x:c r="AC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 t="str">
        <x:f>IF(C56="","",IFERROR(Q56*R56/100,""))</x:f>
      </x:c>
      <x:c r="T56" s="55"/>
      <x:c r="U56" s="55"/>
      <x:c r="V56" s="55" t="str">
        <x:f>IF(U56="","",U56-TODAY())</x:f>
      </x:c>
      <x:c r="W56" s="55" t="str">
        <x:f>IF(AND(U56&lt;&gt;"",U56&lt;TODAY(),O56="Активен"),"ДА","")</x:f>
      </x:c>
      <x:c r="X56" s="55"/>
      <x:c r="Y56" s="55"/>
      <x:c r="Z56" s="55"/>
      <x:c r="AA56" s="55"/>
      <x:c r="AB56" s="55" t="str">
        <x:f>IF(C56="","", "Напиши " &amp; AA56 &amp; " за бизнес: " &amp; C56 &amp; ". Тип: " &amp; D56 &amp; ". Град: " &amp; E56 &amp; ". Проблем: " &amp; L56 &amp; ". Предложение: " &amp; M56 &amp; ". Етап: " &amp; N56 &amp; ". Бележки: " &amp; Y56)</x:f>
      </x:c>
      <x:c r="AC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 t="str">
        <x:f>IF(C57="","",IFERROR(Q57*R57/100,""))</x:f>
      </x:c>
      <x:c r="T57" s="55"/>
      <x:c r="U57" s="55"/>
      <x:c r="V57" s="55" t="str">
        <x:f>IF(U57="","",U57-TODAY())</x:f>
      </x:c>
      <x:c r="W57" s="55" t="str">
        <x:f>IF(AND(U57&lt;&gt;"",U57&lt;TODAY(),O57="Активен"),"ДА","")</x:f>
      </x:c>
      <x:c r="X57" s="55"/>
      <x:c r="Y57" s="55"/>
      <x:c r="Z57" s="55"/>
      <x:c r="AA57" s="55"/>
      <x:c r="AB57" s="55" t="str">
        <x:f>IF(C57="","", "Напиши " &amp; AA57 &amp; " за бизнес: " &amp; C57 &amp; ". Тип: " &amp; D57 &amp; ". Град: " &amp; E57 &amp; ". Проблем: " &amp; L57 &amp; ". Предложение: " &amp; M57 &amp; ". Етап: " &amp; N57 &amp; ". Бележки: " &amp; Y57)</x:f>
      </x:c>
      <x:c r="AC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 t="str">
        <x:f>IF(C58="","",IFERROR(Q58*R58/100,""))</x:f>
      </x:c>
      <x:c r="T58" s="55"/>
      <x:c r="U58" s="55"/>
      <x:c r="V58" s="55" t="str">
        <x:f>IF(U58="","",U58-TODAY())</x:f>
      </x:c>
      <x:c r="W58" s="55" t="str">
        <x:f>IF(AND(U58&lt;&gt;"",U58&lt;TODAY(),O58="Активен"),"ДА","")</x:f>
      </x:c>
      <x:c r="X58" s="55"/>
      <x:c r="Y58" s="55"/>
      <x:c r="Z58" s="55"/>
      <x:c r="AA58" s="55"/>
      <x:c r="AB58" s="55" t="str">
        <x:f>IF(C58="","", "Напиши " &amp; AA58 &amp; " за бизнес: " &amp; C58 &amp; ". Тип: " &amp; D58 &amp; ". Град: " &amp; E58 &amp; ". Проблем: " &amp; L58 &amp; ". Предложение: " &amp; M58 &amp; ". Етап: " &amp; N58 &amp; ". Бележки: " &amp; Y58)</x:f>
      </x:c>
      <x:c r="AC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 t="str">
        <x:f>IF(C59="","",IFERROR(Q59*R59/100,""))</x:f>
      </x:c>
      <x:c r="T59" s="55"/>
      <x:c r="U59" s="55"/>
      <x:c r="V59" s="55" t="str">
        <x:f>IF(U59="","",U59-TODAY())</x:f>
      </x:c>
      <x:c r="W59" s="55" t="str">
        <x:f>IF(AND(U59&lt;&gt;"",U59&lt;TODAY(),O59="Активен"),"ДА","")</x:f>
      </x:c>
      <x:c r="X59" s="55"/>
      <x:c r="Y59" s="55"/>
      <x:c r="Z59" s="55"/>
      <x:c r="AA59" s="55"/>
      <x:c r="AB59" s="55" t="str">
        <x:f>IF(C59="","", "Напиши " &amp; AA59 &amp; " за бизнес: " &amp; C59 &amp; ". Тип: " &amp; D59 &amp; ". Град: " &amp; E59 &amp; ". Проблем: " &amp; L59 &amp; ". Предложение: " &amp; M59 &amp; ". Етап: " &amp; N59 &amp; ". Бележки: " &amp; Y59)</x:f>
      </x:c>
      <x:c r="AC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 t="str">
        <x:f>IF(C60="","",IFERROR(Q60*R60/100,""))</x:f>
      </x:c>
      <x:c r="T60" s="55"/>
      <x:c r="U60" s="55"/>
      <x:c r="V60" s="55" t="str">
        <x:f>IF(U60="","",U60-TODAY())</x:f>
      </x:c>
      <x:c r="W60" s="55" t="str">
        <x:f>IF(AND(U60&lt;&gt;"",U60&lt;TODAY(),O60="Активен"),"ДА","")</x:f>
      </x:c>
      <x:c r="X60" s="55"/>
      <x:c r="Y60" s="55"/>
      <x:c r="Z60" s="55"/>
      <x:c r="AA60" s="55"/>
      <x:c r="AB60" s="55" t="str">
        <x:f>IF(C60="","", "Напиши " &amp; AA60 &amp; " за бизнес: " &amp; C60 &amp; ". Тип: " &amp; D60 &amp; ". Град: " &amp; E60 &amp; ". Проблем: " &amp; L60 &amp; ". Предложение: " &amp; M60 &amp; ". Етап: " &amp; N60 &amp; ". Бележки: " &amp; Y60)</x:f>
      </x:c>
      <x:c r="AC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 t="str">
        <x:f>IF(C61="","",IFERROR(Q61*R61/100,""))</x:f>
      </x:c>
      <x:c r="T61" s="55"/>
      <x:c r="U61" s="55"/>
      <x:c r="V61" s="55" t="str">
        <x:f>IF(U61="","",U61-TODAY())</x:f>
      </x:c>
      <x:c r="W61" s="55" t="str">
        <x:f>IF(AND(U61&lt;&gt;"",U61&lt;TODAY(),O61="Активен"),"ДА","")</x:f>
      </x:c>
      <x:c r="X61" s="55"/>
      <x:c r="Y61" s="55"/>
      <x:c r="Z61" s="55"/>
      <x:c r="AA61" s="55"/>
      <x:c r="AB61" s="55" t="str">
        <x:f>IF(C61="","", "Напиши " &amp; AA61 &amp; " за бизнес: " &amp; C61 &amp; ". Тип: " &amp; D61 &amp; ". Град: " &amp; E61 &amp; ". Проблем: " &amp; L61 &amp; ". Предложение: " &amp; M61 &amp; ". Етап: " &amp; N61 &amp; ". Бележки: " &amp; Y61)</x:f>
      </x:c>
      <x:c r="AC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 t="str">
        <x:f>IF(C62="","",IFERROR(Q62*R62/100,""))</x:f>
      </x:c>
      <x:c r="T62" s="55"/>
      <x:c r="U62" s="55"/>
      <x:c r="V62" s="55" t="str">
        <x:f>IF(U62="","",U62-TODAY())</x:f>
      </x:c>
      <x:c r="W62" s="55" t="str">
        <x:f>IF(AND(U62&lt;&gt;"",U62&lt;TODAY(),O62="Активен"),"ДА","")</x:f>
      </x:c>
      <x:c r="X62" s="55"/>
      <x:c r="Y62" s="55"/>
      <x:c r="Z62" s="55"/>
      <x:c r="AA62" s="55"/>
      <x:c r="AB62" s="55" t="str">
        <x:f>IF(C62="","", "Напиши " &amp; AA62 &amp; " за бизнес: " &amp; C62 &amp; ". Тип: " &amp; D62 &amp; ". Град: " &amp; E62 &amp; ". Проблем: " &amp; L62 &amp; ". Предложение: " &amp; M62 &amp; ". Етап: " &amp; N62 &amp; ". Бележки: " &amp; Y62)</x:f>
      </x:c>
      <x:c r="AC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 t="str">
        <x:f>IF(C63="","",IFERROR(Q63*R63/100,""))</x:f>
      </x:c>
      <x:c r="T63" s="55"/>
      <x:c r="U63" s="55"/>
      <x:c r="V63" s="55" t="str">
        <x:f>IF(U63="","",U63-TODAY())</x:f>
      </x:c>
      <x:c r="W63" s="55" t="str">
        <x:f>IF(AND(U63&lt;&gt;"",U63&lt;TODAY(),O63="Активен"),"ДА","")</x:f>
      </x:c>
      <x:c r="X63" s="55"/>
      <x:c r="Y63" s="55"/>
      <x:c r="Z63" s="55"/>
      <x:c r="AA63" s="55"/>
      <x:c r="AB63" s="55" t="str">
        <x:f>IF(C63="","", "Напиши " &amp; AA63 &amp; " за бизнес: " &amp; C63 &amp; ". Тип: " &amp; D63 &amp; ". Град: " &amp; E63 &amp; ". Проблем: " &amp; L63 &amp; ". Предложение: " &amp; M63 &amp; ". Етап: " &amp; N63 &amp; ". Бележки: " &amp; Y63)</x:f>
      </x:c>
      <x:c r="AC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 t="str">
        <x:f>IF(C64="","",IFERROR(Q64*R64/100,""))</x:f>
      </x:c>
      <x:c r="T64" s="55"/>
      <x:c r="U64" s="55"/>
      <x:c r="V64" s="55" t="str">
        <x:f>IF(U64="","",U64-TODAY())</x:f>
      </x:c>
      <x:c r="W64" s="55" t="str">
        <x:f>IF(AND(U64&lt;&gt;"",U64&lt;TODAY(),O64="Активен"),"ДА","")</x:f>
      </x:c>
      <x:c r="X64" s="55"/>
      <x:c r="Y64" s="55"/>
      <x:c r="Z64" s="55"/>
      <x:c r="AA64" s="55"/>
      <x:c r="AB64" s="55" t="str">
        <x:f>IF(C64="","", "Напиши " &amp; AA64 &amp; " за бизнес: " &amp; C64 &amp; ". Тип: " &amp; D64 &amp; ". Град: " &amp; E64 &amp; ". Проблем: " &amp; L64 &amp; ". Предложение: " &amp; M64 &amp; ". Етап: " &amp; N64 &amp; ". Бележки: " &amp; Y64)</x:f>
      </x:c>
      <x:c r="AC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 t="str">
        <x:f>IF(C65="","",IFERROR(Q65*R65/100,""))</x:f>
      </x:c>
      <x:c r="T65" s="55"/>
      <x:c r="U65" s="55"/>
      <x:c r="V65" s="55" t="str">
        <x:f>IF(U65="","",U65-TODAY())</x:f>
      </x:c>
      <x:c r="W65" s="55" t="str">
        <x:f>IF(AND(U65&lt;&gt;"",U65&lt;TODAY(),O65="Активен"),"ДА","")</x:f>
      </x:c>
      <x:c r="X65" s="55"/>
      <x:c r="Y65" s="55"/>
      <x:c r="Z65" s="55"/>
      <x:c r="AA65" s="55"/>
      <x:c r="AB65" s="55" t="str">
        <x:f>IF(C65="","", "Напиши " &amp; AA65 &amp; " за бизнес: " &amp; C65 &amp; ". Тип: " &amp; D65 &amp; ". Град: " &amp; E65 &amp; ". Проблем: " &amp; L65 &amp; ". Предложение: " &amp; M65 &amp; ". Етап: " &amp; N65 &amp; ". Бележки: " &amp; Y65)</x:f>
      </x:c>
      <x:c r="AC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 t="str">
        <x:f>IF(C66="","",IFERROR(Q66*R66/100,""))</x:f>
      </x:c>
      <x:c r="T66" s="55"/>
      <x:c r="U66" s="55"/>
      <x:c r="V66" s="55" t="str">
        <x:f>IF(U66="","",U66-TODAY())</x:f>
      </x:c>
      <x:c r="W66" s="55" t="str">
        <x:f>IF(AND(U66&lt;&gt;"",U66&lt;TODAY(),O66="Активен"),"ДА","")</x:f>
      </x:c>
      <x:c r="X66" s="55"/>
      <x:c r="Y66" s="55"/>
      <x:c r="Z66" s="55"/>
      <x:c r="AA66" s="55"/>
      <x:c r="AB66" s="55" t="str">
        <x:f>IF(C66="","", "Напиши " &amp; AA66 &amp; " за бизнес: " &amp; C66 &amp; ". Тип: " &amp; D66 &amp; ". Град: " &amp; E66 &amp; ". Проблем: " &amp; L66 &amp; ". Предложение: " &amp; M66 &amp; ". Етап: " &amp; N66 &amp; ". Бележки: " &amp; Y66)</x:f>
      </x:c>
      <x:c r="AC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 t="str">
        <x:f>IF(C67="","",IFERROR(Q67*R67/100,""))</x:f>
      </x:c>
      <x:c r="T67" s="55"/>
      <x:c r="U67" s="55"/>
      <x:c r="V67" s="55" t="str">
        <x:f>IF(U67="","",U67-TODAY())</x:f>
      </x:c>
      <x:c r="W67" s="55" t="str">
        <x:f>IF(AND(U67&lt;&gt;"",U67&lt;TODAY(),O67="Активен"),"ДА","")</x:f>
      </x:c>
      <x:c r="X67" s="55"/>
      <x:c r="Y67" s="55"/>
      <x:c r="Z67" s="55"/>
      <x:c r="AA67" s="55"/>
      <x:c r="AB67" s="55" t="str">
        <x:f>IF(C67="","", "Напиши " &amp; AA67 &amp; " за бизнес: " &amp; C67 &amp; ". Тип: " &amp; D67 &amp; ". Град: " &amp; E67 &amp; ". Проблем: " &amp; L67 &amp; ". Предложение: " &amp; M67 &amp; ". Етап: " &amp; N67 &amp; ". Бележки: " &amp; Y67)</x:f>
      </x:c>
      <x:c r="AC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 t="str">
        <x:f>IF(C68="","",IFERROR(Q68*R68/100,""))</x:f>
      </x:c>
      <x:c r="T68" s="55"/>
      <x:c r="U68" s="55"/>
      <x:c r="V68" s="55" t="str">
        <x:f>IF(U68="","",U68-TODAY())</x:f>
      </x:c>
      <x:c r="W68" s="55" t="str">
        <x:f>IF(AND(U68&lt;&gt;"",U68&lt;TODAY(),O68="Активен"),"ДА","")</x:f>
      </x:c>
      <x:c r="X68" s="55"/>
      <x:c r="Y68" s="55"/>
      <x:c r="Z68" s="55"/>
      <x:c r="AA68" s="55"/>
      <x:c r="AB68" s="55" t="str">
        <x:f>IF(C68="","", "Напиши " &amp; AA68 &amp; " за бизнес: " &amp; C68 &amp; ". Тип: " &amp; D68 &amp; ". Град: " &amp; E68 &amp; ". Проблем: " &amp; L68 &amp; ". Предложение: " &amp; M68 &amp; ". Етап: " &amp; N68 &amp; ". Бележки: " &amp; Y68)</x:f>
      </x:c>
      <x:c r="AC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 t="str">
        <x:f>IF(C69="","",IFERROR(Q69*R69/100,""))</x:f>
      </x:c>
      <x:c r="T69" s="55"/>
      <x:c r="U69" s="55"/>
      <x:c r="V69" s="55" t="str">
        <x:f>IF(U69="","",U69-TODAY())</x:f>
      </x:c>
      <x:c r="W69" s="55" t="str">
        <x:f>IF(AND(U69&lt;&gt;"",U69&lt;TODAY(),O69="Активен"),"ДА","")</x:f>
      </x:c>
      <x:c r="X69" s="55"/>
      <x:c r="Y69" s="55"/>
      <x:c r="Z69" s="55"/>
      <x:c r="AA69" s="55"/>
      <x:c r="AB69" s="55" t="str">
        <x:f>IF(C69="","", "Напиши " &amp; AA69 &amp; " за бизнес: " &amp; C69 &amp; ". Тип: " &amp; D69 &amp; ". Град: " &amp; E69 &amp; ". Проблем: " &amp; L69 &amp; ". Предложение: " &amp; M69 &amp; ". Етап: " &amp; N69 &amp; ". Бележки: " &amp; Y69)</x:f>
      </x:c>
      <x:c r="AC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 t="str">
        <x:f>IF(C70="","",IFERROR(Q70*R70/100,""))</x:f>
      </x:c>
      <x:c r="T70" s="55"/>
      <x:c r="U70" s="55"/>
      <x:c r="V70" s="55" t="str">
        <x:f>IF(U70="","",U70-TODAY())</x:f>
      </x:c>
      <x:c r="W70" s="55" t="str">
        <x:f>IF(AND(U70&lt;&gt;"",U70&lt;TODAY(),O70="Активен"),"ДА","")</x:f>
      </x:c>
      <x:c r="X70" s="55"/>
      <x:c r="Y70" s="55"/>
      <x:c r="Z70" s="55"/>
      <x:c r="AA70" s="55"/>
      <x:c r="AB70" s="55" t="str">
        <x:f>IF(C70="","", "Напиши " &amp; AA70 &amp; " за бизнес: " &amp; C70 &amp; ". Тип: " &amp; D70 &amp; ". Град: " &amp; E70 &amp; ". Проблем: " &amp; L70 &amp; ". Предложение: " &amp; M70 &amp; ". Етап: " &amp; N70 &amp; ". Бележки: " &amp; Y70)</x:f>
      </x:c>
      <x:c r="AC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 t="str">
        <x:f>IF(C71="","",IFERROR(Q71*R71/100,""))</x:f>
      </x:c>
      <x:c r="T71" s="55"/>
      <x:c r="U71" s="55"/>
      <x:c r="V71" s="55" t="str">
        <x:f>IF(U71="","",U71-TODAY())</x:f>
      </x:c>
      <x:c r="W71" s="55" t="str">
        <x:f>IF(AND(U71&lt;&gt;"",U71&lt;TODAY(),O71="Активен"),"ДА","")</x:f>
      </x:c>
      <x:c r="X71" s="55"/>
      <x:c r="Y71" s="55"/>
      <x:c r="Z71" s="55"/>
      <x:c r="AA71" s="55"/>
      <x:c r="AB71" s="55" t="str">
        <x:f>IF(C71="","", "Напиши " &amp; AA71 &amp; " за бизнес: " &amp; C71 &amp; ". Тип: " &amp; D71 &amp; ". Град: " &amp; E71 &amp; ". Проблем: " &amp; L71 &amp; ". Предложение: " &amp; M71 &amp; ". Етап: " &amp; N71 &amp; ". Бележки: " &amp; Y71)</x:f>
      </x:c>
      <x:c r="AC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 t="str">
        <x:f>IF(C72="","",IFERROR(Q72*R72/100,""))</x:f>
      </x:c>
      <x:c r="T72" s="55"/>
      <x:c r="U72" s="55"/>
      <x:c r="V72" s="55" t="str">
        <x:f>IF(U72="","",U72-TODAY())</x:f>
      </x:c>
      <x:c r="W72" s="55" t="str">
        <x:f>IF(AND(U72&lt;&gt;"",U72&lt;TODAY(),O72="Активен"),"ДА","")</x:f>
      </x:c>
      <x:c r="X72" s="55"/>
      <x:c r="Y72" s="55"/>
      <x:c r="Z72" s="55"/>
      <x:c r="AA72" s="55"/>
      <x:c r="AB72" s="55" t="str">
        <x:f>IF(C72="","", "Напиши " &amp; AA72 &amp; " за бизнес: " &amp; C72 &amp; ". Тип: " &amp; D72 &amp; ". Град: " &amp; E72 &amp; ". Проблем: " &amp; L72 &amp; ". Предложение: " &amp; M72 &amp; ". Етап: " &amp; N72 &amp; ". Бележки: " &amp; Y72)</x:f>
      </x:c>
      <x:c r="AC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 t="str">
        <x:f>IF(C73="","",IFERROR(Q73*R73/100,""))</x:f>
      </x:c>
      <x:c r="T73" s="55"/>
      <x:c r="U73" s="55"/>
      <x:c r="V73" s="55" t="str">
        <x:f>IF(U73="","",U73-TODAY())</x:f>
      </x:c>
      <x:c r="W73" s="55" t="str">
        <x:f>IF(AND(U73&lt;&gt;"",U73&lt;TODAY(),O73="Активен"),"ДА","")</x:f>
      </x:c>
      <x:c r="X73" s="55"/>
      <x:c r="Y73" s="55"/>
      <x:c r="Z73" s="55"/>
      <x:c r="AA73" s="55"/>
      <x:c r="AB73" s="55" t="str">
        <x:f>IF(C73="","", "Напиши " &amp; AA73 &amp; " за бизнес: " &amp; C73 &amp; ". Тип: " &amp; D73 &amp; ". Град: " &amp; E73 &amp; ". Проблем: " &amp; L73 &amp; ". Предложение: " &amp; M73 &amp; ". Етап: " &amp; N73 &amp; ". Бележки: " &amp; Y73)</x:f>
      </x:c>
      <x:c r="AC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 t="str">
        <x:f>IF(C74="","",IFERROR(Q74*R74/100,""))</x:f>
      </x:c>
      <x:c r="T74" s="55"/>
      <x:c r="U74" s="55"/>
      <x:c r="V74" s="55" t="str">
        <x:f>IF(U74="","",U74-TODAY())</x:f>
      </x:c>
      <x:c r="W74" s="55" t="str">
        <x:f>IF(AND(U74&lt;&gt;"",U74&lt;TODAY(),O74="Активен"),"ДА","")</x:f>
      </x:c>
      <x:c r="X74" s="55"/>
      <x:c r="Y74" s="55"/>
      <x:c r="Z74" s="55"/>
      <x:c r="AA74" s="55"/>
      <x:c r="AB74" s="55" t="str">
        <x:f>IF(C74="","", "Напиши " &amp; AA74 &amp; " за бизнес: " &amp; C74 &amp; ". Тип: " &amp; D74 &amp; ". Град: " &amp; E74 &amp; ". Проблем: " &amp; L74 &amp; ". Предложение: " &amp; M74 &amp; ". Етап: " &amp; N74 &amp; ". Бележки: " &amp; Y74)</x:f>
      </x:c>
      <x:c r="AC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 t="str">
        <x:f>IF(C75="","",IFERROR(Q75*R75/100,""))</x:f>
      </x:c>
      <x:c r="T75" s="55"/>
      <x:c r="U75" s="55"/>
      <x:c r="V75" s="55" t="str">
        <x:f>IF(U75="","",U75-TODAY())</x:f>
      </x:c>
      <x:c r="W75" s="55" t="str">
        <x:f>IF(AND(U75&lt;&gt;"",U75&lt;TODAY(),O75="Активен"),"ДА","")</x:f>
      </x:c>
      <x:c r="X75" s="55"/>
      <x:c r="Y75" s="55"/>
      <x:c r="Z75" s="55"/>
      <x:c r="AA75" s="55"/>
      <x:c r="AB75" s="55" t="str">
        <x:f>IF(C75="","", "Напиши " &amp; AA75 &amp; " за бизнес: " &amp; C75 &amp; ". Тип: " &amp; D75 &amp; ". Град: " &amp; E75 &amp; ". Проблем: " &amp; L75 &amp; ". Предложение: " &amp; M75 &amp; ". Етап: " &amp; N75 &amp; ". Бележки: " &amp; Y75)</x:f>
      </x:c>
      <x:c r="AC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 t="str">
        <x:f>IF(C76="","",IFERROR(Q76*R76/100,""))</x:f>
      </x:c>
      <x:c r="T76" s="55"/>
      <x:c r="U76" s="55"/>
      <x:c r="V76" s="55" t="str">
        <x:f>IF(U76="","",U76-TODAY())</x:f>
      </x:c>
      <x:c r="W76" s="55" t="str">
        <x:f>IF(AND(U76&lt;&gt;"",U76&lt;TODAY(),O76="Активен"),"ДА","")</x:f>
      </x:c>
      <x:c r="X76" s="55"/>
      <x:c r="Y76" s="55"/>
      <x:c r="Z76" s="55"/>
      <x:c r="AA76" s="55"/>
      <x:c r="AB76" s="55" t="str">
        <x:f>IF(C76="","", "Напиши " &amp; AA76 &amp; " за бизнес: " &amp; C76 &amp; ". Тип: " &amp; D76 &amp; ". Град: " &amp; E76 &amp; ". Проблем: " &amp; L76 &amp; ". Предложение: " &amp; M76 &amp; ". Етап: " &amp; N76 &amp; ". Бележки: " &amp; Y76)</x:f>
      </x:c>
      <x:c r="AC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 t="str">
        <x:f>IF(C77="","",IFERROR(Q77*R77/100,""))</x:f>
      </x:c>
      <x:c r="T77" s="55"/>
      <x:c r="U77" s="55"/>
      <x:c r="V77" s="55" t="str">
        <x:f>IF(U77="","",U77-TODAY())</x:f>
      </x:c>
      <x:c r="W77" s="55" t="str">
        <x:f>IF(AND(U77&lt;&gt;"",U77&lt;TODAY(),O77="Активен"),"ДА","")</x:f>
      </x:c>
      <x:c r="X77" s="55"/>
      <x:c r="Y77" s="55"/>
      <x:c r="Z77" s="55"/>
      <x:c r="AA77" s="55"/>
      <x:c r="AB77" s="55" t="str">
        <x:f>IF(C77="","", "Напиши " &amp; AA77 &amp; " за бизнес: " &amp; C77 &amp; ". Тип: " &amp; D77 &amp; ". Град: " &amp; E77 &amp; ". Проблем: " &amp; L77 &amp; ". Предложение: " &amp; M77 &amp; ". Етап: " &amp; N77 &amp; ". Бележки: " &amp; Y77)</x:f>
      </x:c>
      <x:c r="AC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 t="str">
        <x:f>IF(C78="","",IFERROR(Q78*R78/100,""))</x:f>
      </x:c>
      <x:c r="T78" s="55"/>
      <x:c r="U78" s="55"/>
      <x:c r="V78" s="55" t="str">
        <x:f>IF(U78="","",U78-TODAY())</x:f>
      </x:c>
      <x:c r="W78" s="55" t="str">
        <x:f>IF(AND(U78&lt;&gt;"",U78&lt;TODAY(),O78="Активен"),"ДА","")</x:f>
      </x:c>
      <x:c r="X78" s="55"/>
      <x:c r="Y78" s="55"/>
      <x:c r="Z78" s="55"/>
      <x:c r="AA78" s="55"/>
      <x:c r="AB78" s="55" t="str">
        <x:f>IF(C78="","", "Напиши " &amp; AA78 &amp; " за бизнес: " &amp; C78 &amp; ". Тип: " &amp; D78 &amp; ". Град: " &amp; E78 &amp; ". Проблем: " &amp; L78 &amp; ". Предложение: " &amp; M78 &amp; ". Етап: " &amp; N78 &amp; ". Бележки: " &amp; Y78)</x:f>
      </x:c>
      <x:c r="AC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 t="str">
        <x:f>IF(C79="","",IFERROR(Q79*R79/100,""))</x:f>
      </x:c>
      <x:c r="T79" s="55"/>
      <x:c r="U79" s="55"/>
      <x:c r="V79" s="55" t="str">
        <x:f>IF(U79="","",U79-TODAY())</x:f>
      </x:c>
      <x:c r="W79" s="55" t="str">
        <x:f>IF(AND(U79&lt;&gt;"",U79&lt;TODAY(),O79="Активен"),"ДА","")</x:f>
      </x:c>
      <x:c r="X79" s="55"/>
      <x:c r="Y79" s="55"/>
      <x:c r="Z79" s="55"/>
      <x:c r="AA79" s="55"/>
      <x:c r="AB79" s="55" t="str">
        <x:f>IF(C79="","", "Напиши " &amp; AA79 &amp; " за бизнес: " &amp; C79 &amp; ". Тип: " &amp; D79 &amp; ". Град: " &amp; E79 &amp; ". Проблем: " &amp; L79 &amp; ". Предложение: " &amp; M79 &amp; ". Етап: " &amp; N79 &amp; ". Бележки: " &amp; Y79)</x:f>
      </x:c>
      <x:c r="AC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 t="str">
        <x:f>IF(C80="","",IFERROR(Q80*R80/100,""))</x:f>
      </x:c>
      <x:c r="T80" s="55"/>
      <x:c r="U80" s="55"/>
      <x:c r="V80" s="55" t="str">
        <x:f>IF(U80="","",U80-TODAY())</x:f>
      </x:c>
      <x:c r="W80" s="55" t="str">
        <x:f>IF(AND(U80&lt;&gt;"",U80&lt;TODAY(),O80="Активен"),"ДА","")</x:f>
      </x:c>
      <x:c r="X80" s="55"/>
      <x:c r="Y80" s="55"/>
      <x:c r="Z80" s="55"/>
      <x:c r="AA80" s="55"/>
      <x:c r="AB80" s="55" t="str">
        <x:f>IF(C80="","", "Напиши " &amp; AA80 &amp; " за бизнес: " &amp; C80 &amp; ". Тип: " &amp; D80 &amp; ". Град: " &amp; E80 &amp; ". Проблем: " &amp; L80 &amp; ". Предложение: " &amp; M80 &amp; ". Етап: " &amp; N80 &amp; ". Бележки: " &amp; Y80)</x:f>
      </x:c>
      <x:c r="AC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 t="str">
        <x:f>IF(C81="","",IFERROR(Q81*R81/100,""))</x:f>
      </x:c>
      <x:c r="T81" s="55"/>
      <x:c r="U81" s="55"/>
      <x:c r="V81" s="55" t="str">
        <x:f>IF(U81="","",U81-TODAY())</x:f>
      </x:c>
      <x:c r="W81" s="55" t="str">
        <x:f>IF(AND(U81&lt;&gt;"",U81&lt;TODAY(),O81="Активен"),"ДА","")</x:f>
      </x:c>
      <x:c r="X81" s="55"/>
      <x:c r="Y81" s="55"/>
      <x:c r="Z81" s="55"/>
      <x:c r="AA81" s="55"/>
      <x:c r="AB81" s="55" t="str">
        <x:f>IF(C81="","", "Напиши " &amp; AA81 &amp; " за бизнес: " &amp; C81 &amp; ". Тип: " &amp; D81 &amp; ". Град: " &amp; E81 &amp; ". Проблем: " &amp; L81 &amp; ". Предложение: " &amp; M81 &amp; ". Етап: " &amp; N81 &amp; ". Бележки: " &amp; Y81)</x:f>
      </x:c>
      <x:c r="AC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 t="str">
        <x:f>IF(C82="","",IFERROR(Q82*R82/100,""))</x:f>
      </x:c>
      <x:c r="T82" s="55"/>
      <x:c r="U82" s="55"/>
      <x:c r="V82" s="55" t="str">
        <x:f>IF(U82="","",U82-TODAY())</x:f>
      </x:c>
      <x:c r="W82" s="55" t="str">
        <x:f>IF(AND(U82&lt;&gt;"",U82&lt;TODAY(),O82="Активен"),"ДА","")</x:f>
      </x:c>
      <x:c r="X82" s="55"/>
      <x:c r="Y82" s="55"/>
      <x:c r="Z82" s="55"/>
      <x:c r="AA82" s="55"/>
      <x:c r="AB82" s="55" t="str">
        <x:f>IF(C82="","", "Напиши " &amp; AA82 &amp; " за бизнес: " &amp; C82 &amp; ". Тип: " &amp; D82 &amp; ". Град: " &amp; E82 &amp; ". Проблем: " &amp; L82 &amp; ". Предложение: " &amp; M82 &amp; ". Етап: " &amp; N82 &amp; ". Бележки: " &amp; Y82)</x:f>
      </x:c>
      <x:c r="AC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 t="str">
        <x:f>IF(C83="","",IFERROR(Q83*R83/100,""))</x:f>
      </x:c>
      <x:c r="T83" s="55"/>
      <x:c r="U83" s="55"/>
      <x:c r="V83" s="55" t="str">
        <x:f>IF(U83="","",U83-TODAY())</x:f>
      </x:c>
      <x:c r="W83" s="55" t="str">
        <x:f>IF(AND(U83&lt;&gt;"",U83&lt;TODAY(),O83="Активен"),"ДА","")</x:f>
      </x:c>
      <x:c r="X83" s="55"/>
      <x:c r="Y83" s="55"/>
      <x:c r="Z83" s="55"/>
      <x:c r="AA83" s="55"/>
      <x:c r="AB83" s="55" t="str">
        <x:f>IF(C83="","", "Напиши " &amp; AA83 &amp; " за бизнес: " &amp; C83 &amp; ". Тип: " &amp; D83 &amp; ". Град: " &amp; E83 &amp; ". Проблем: " &amp; L83 &amp; ". Предложение: " &amp; M83 &amp; ". Етап: " &amp; N83 &amp; ". Бележки: " &amp; Y83)</x:f>
      </x:c>
      <x:c r="AC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 t="str">
        <x:f>IF(C84="","",IFERROR(Q84*R84/100,""))</x:f>
      </x:c>
      <x:c r="T84" s="55"/>
      <x:c r="U84" s="55"/>
      <x:c r="V84" s="55" t="str">
        <x:f>IF(U84="","",U84-TODAY())</x:f>
      </x:c>
      <x:c r="W84" s="55" t="str">
        <x:f>IF(AND(U84&lt;&gt;"",U84&lt;TODAY(),O84="Активен"),"ДА","")</x:f>
      </x:c>
      <x:c r="X84" s="55"/>
      <x:c r="Y84" s="55"/>
      <x:c r="Z84" s="55"/>
      <x:c r="AA84" s="55"/>
      <x:c r="AB84" s="55" t="str">
        <x:f>IF(C84="","", "Напиши " &amp; AA84 &amp; " за бизнес: " &amp; C84 &amp; ". Тип: " &amp; D84 &amp; ". Град: " &amp; E84 &amp; ". Проблем: " &amp; L84 &amp; ". Предложение: " &amp; M84 &amp; ". Етап: " &amp; N84 &amp; ". Бележки: " &amp; Y84)</x:f>
      </x:c>
      <x:c r="AC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 t="str">
        <x:f>IF(C85="","",IFERROR(Q85*R85/100,""))</x:f>
      </x:c>
      <x:c r="T85" s="55"/>
      <x:c r="U85" s="55"/>
      <x:c r="V85" s="55" t="str">
        <x:f>IF(U85="","",U85-TODAY())</x:f>
      </x:c>
      <x:c r="W85" s="55" t="str">
        <x:f>IF(AND(U85&lt;&gt;"",U85&lt;TODAY(),O85="Активен"),"ДА","")</x:f>
      </x:c>
      <x:c r="X85" s="55"/>
      <x:c r="Y85" s="55"/>
      <x:c r="Z85" s="55"/>
      <x:c r="AA85" s="55"/>
      <x:c r="AB85" s="55" t="str">
        <x:f>IF(C85="","", "Напиши " &amp; AA85 &amp; " за бизнес: " &amp; C85 &amp; ". Тип: " &amp; D85 &amp; ". Град: " &amp; E85 &amp; ". Проблем: " &amp; L85 &amp; ". Предложение: " &amp; M85 &amp; ". Етап: " &amp; N85 &amp; ". Бележки: " &amp; Y85)</x:f>
      </x:c>
      <x:c r="AC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 t="str">
        <x:f>IF(C86="","",IFERROR(Q86*R86/100,""))</x:f>
      </x:c>
      <x:c r="T86" s="55"/>
      <x:c r="U86" s="55"/>
      <x:c r="V86" s="55" t="str">
        <x:f>IF(U86="","",U86-TODAY())</x:f>
      </x:c>
      <x:c r="W86" s="55" t="str">
        <x:f>IF(AND(U86&lt;&gt;"",U86&lt;TODAY(),O86="Активен"),"ДА","")</x:f>
      </x:c>
      <x:c r="X86" s="55"/>
      <x:c r="Y86" s="55"/>
      <x:c r="Z86" s="55"/>
      <x:c r="AA86" s="55"/>
      <x:c r="AB86" s="55" t="str">
        <x:f>IF(C86="","", "Напиши " &amp; AA86 &amp; " за бизнес: " &amp; C86 &amp; ". Тип: " &amp; D86 &amp; ". Град: " &amp; E86 &amp; ". Проблем: " &amp; L86 &amp; ". Предложение: " &amp; M86 &amp; ". Етап: " &amp; N86 &amp; ". Бележки: " &amp; Y86)</x:f>
      </x:c>
      <x:c r="AC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 t="str">
        <x:f>IF(C87="","",IFERROR(Q87*R87/100,""))</x:f>
      </x:c>
      <x:c r="T87" s="55"/>
      <x:c r="U87" s="55"/>
      <x:c r="V87" s="55" t="str">
        <x:f>IF(U87="","",U87-TODAY())</x:f>
      </x:c>
      <x:c r="W87" s="55" t="str">
        <x:f>IF(AND(U87&lt;&gt;"",U87&lt;TODAY(),O87="Активен"),"ДА","")</x:f>
      </x:c>
      <x:c r="X87" s="55"/>
      <x:c r="Y87" s="55"/>
      <x:c r="Z87" s="55"/>
      <x:c r="AA87" s="55"/>
      <x:c r="AB87" s="55" t="str">
        <x:f>IF(C87="","", "Напиши " &amp; AA87 &amp; " за бизнес: " &amp; C87 &amp; ". Тип: " &amp; D87 &amp; ". Град: " &amp; E87 &amp; ". Проблем: " &amp; L87 &amp; ". Предложение: " &amp; M87 &amp; ". Етап: " &amp; N87 &amp; ". Бележки: " &amp; Y87)</x:f>
      </x:c>
      <x:c r="AC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 t="str">
        <x:f>IF(C88="","",IFERROR(Q88*R88/100,""))</x:f>
      </x:c>
      <x:c r="T88" s="55"/>
      <x:c r="U88" s="55"/>
      <x:c r="V88" s="55" t="str">
        <x:f>IF(U88="","",U88-TODAY())</x:f>
      </x:c>
      <x:c r="W88" s="55" t="str">
        <x:f>IF(AND(U88&lt;&gt;"",U88&lt;TODAY(),O88="Активен"),"ДА","")</x:f>
      </x:c>
      <x:c r="X88" s="55"/>
      <x:c r="Y88" s="55"/>
      <x:c r="Z88" s="55"/>
      <x:c r="AA88" s="55"/>
      <x:c r="AB88" s="55" t="str">
        <x:f>IF(C88="","", "Напиши " &amp; AA88 &amp; " за бизнес: " &amp; C88 &amp; ". Тип: " &amp; D88 &amp; ". Град: " &amp; E88 &amp; ". Проблем: " &amp; L88 &amp; ". Предложение: " &amp; M88 &amp; ". Етап: " &amp; N88 &amp; ". Бележки: " &amp; Y88)</x:f>
      </x:c>
      <x:c r="AC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 t="str">
        <x:f>IF(C89="","",IFERROR(Q89*R89/100,""))</x:f>
      </x:c>
      <x:c r="T89" s="55"/>
      <x:c r="U89" s="55"/>
      <x:c r="V89" s="55" t="str">
        <x:f>IF(U89="","",U89-TODAY())</x:f>
      </x:c>
      <x:c r="W89" s="55" t="str">
        <x:f>IF(AND(U89&lt;&gt;"",U89&lt;TODAY(),O89="Активен"),"ДА","")</x:f>
      </x:c>
      <x:c r="X89" s="55"/>
      <x:c r="Y89" s="55"/>
      <x:c r="Z89" s="55"/>
      <x:c r="AA89" s="55"/>
      <x:c r="AB89" s="55" t="str">
        <x:f>IF(C89="","", "Напиши " &amp; AA89 &amp; " за бизнес: " &amp; C89 &amp; ". Тип: " &amp; D89 &amp; ". Град: " &amp; E89 &amp; ". Проблем: " &amp; L89 &amp; ". Предложение: " &amp; M89 &amp; ". Етап: " &amp; N89 &amp; ". Бележки: " &amp; Y89)</x:f>
      </x:c>
      <x:c r="AC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 t="str">
        <x:f>IF(C90="","",IFERROR(Q90*R90/100,""))</x:f>
      </x:c>
      <x:c r="T90" s="55"/>
      <x:c r="U90" s="55"/>
      <x:c r="V90" s="55" t="str">
        <x:f>IF(U90="","",U90-TODAY())</x:f>
      </x:c>
      <x:c r="W90" s="55" t="str">
        <x:f>IF(AND(U90&lt;&gt;"",U90&lt;TODAY(),O90="Активен"),"ДА","")</x:f>
      </x:c>
      <x:c r="X90" s="55"/>
      <x:c r="Y90" s="55"/>
      <x:c r="Z90" s="55"/>
      <x:c r="AA90" s="55"/>
      <x:c r="AB90" s="55" t="str">
        <x:f>IF(C90="","", "Напиши " &amp; AA90 &amp; " за бизнес: " &amp; C90 &amp; ". Тип: " &amp; D90 &amp; ". Град: " &amp; E90 &amp; ". Проблем: " &amp; L90 &amp; ". Предложение: " &amp; M90 &amp; ". Етап: " &amp; N90 &amp; ". Бележки: " &amp; Y90)</x:f>
      </x:c>
      <x:c r="AC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 t="str">
        <x:f>IF(C91="","",IFERROR(Q91*R91/100,""))</x:f>
      </x:c>
      <x:c r="T91" s="55"/>
      <x:c r="U91" s="55"/>
      <x:c r="V91" s="55" t="str">
        <x:f>IF(U91="","",U91-TODAY())</x:f>
      </x:c>
      <x:c r="W91" s="55" t="str">
        <x:f>IF(AND(U91&lt;&gt;"",U91&lt;TODAY(),O91="Активен"),"ДА","")</x:f>
      </x:c>
      <x:c r="X91" s="55"/>
      <x:c r="Y91" s="55"/>
      <x:c r="Z91" s="55"/>
      <x:c r="AA91" s="55"/>
      <x:c r="AB91" s="55" t="str">
        <x:f>IF(C91="","", "Напиши " &amp; AA91 &amp; " за бизнес: " &amp; C91 &amp; ". Тип: " &amp; D91 &amp; ". Град: " &amp; E91 &amp; ". Проблем: " &amp; L91 &amp; ". Предложение: " &amp; M91 &amp; ". Етап: " &amp; N91 &amp; ". Бележки: " &amp; Y91)</x:f>
      </x:c>
      <x:c r="AC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 t="str">
        <x:f>IF(C92="","",IFERROR(Q92*R92/100,""))</x:f>
      </x:c>
      <x:c r="T92" s="55"/>
      <x:c r="U92" s="55"/>
      <x:c r="V92" s="55" t="str">
        <x:f>IF(U92="","",U92-TODAY())</x:f>
      </x:c>
      <x:c r="W92" s="55" t="str">
        <x:f>IF(AND(U92&lt;&gt;"",U92&lt;TODAY(),O92="Активен"),"ДА","")</x:f>
      </x:c>
      <x:c r="X92" s="55"/>
      <x:c r="Y92" s="55"/>
      <x:c r="Z92" s="55"/>
      <x:c r="AA92" s="55"/>
      <x:c r="AB92" s="55" t="str">
        <x:f>IF(C92="","", "Напиши " &amp; AA92 &amp; " за бизнес: " &amp; C92 &amp; ". Тип: " &amp; D92 &amp; ". Град: " &amp; E92 &amp; ". Проблем: " &amp; L92 &amp; ". Предложение: " &amp; M92 &amp; ". Етап: " &amp; N92 &amp; ". Бележки: " &amp; Y92)</x:f>
      </x:c>
      <x:c r="AC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 t="str">
        <x:f>IF(C93="","",IFERROR(Q93*R93/100,""))</x:f>
      </x:c>
      <x:c r="T93" s="55"/>
      <x:c r="U93" s="55"/>
      <x:c r="V93" s="55" t="str">
        <x:f>IF(U93="","",U93-TODAY())</x:f>
      </x:c>
      <x:c r="W93" s="55" t="str">
        <x:f>IF(AND(U93&lt;&gt;"",U93&lt;TODAY(),O93="Активен"),"ДА","")</x:f>
      </x:c>
      <x:c r="X93" s="55"/>
      <x:c r="Y93" s="55"/>
      <x:c r="Z93" s="55"/>
      <x:c r="AA93" s="55"/>
      <x:c r="AB93" s="55" t="str">
        <x:f>IF(C93="","", "Напиши " &amp; AA93 &amp; " за бизнес: " &amp; C93 &amp; ". Тип: " &amp; D93 &amp; ". Град: " &amp; E93 &amp; ". Проблем: " &amp; L93 &amp; ". Предложение: " &amp; M93 &amp; ". Етап: " &amp; N93 &amp; ". Бележки: " &amp; Y93)</x:f>
      </x:c>
      <x:c r="AC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 t="str">
        <x:f>IF(C94="","",IFERROR(Q94*R94/100,""))</x:f>
      </x:c>
      <x:c r="T94" s="55"/>
      <x:c r="U94" s="55"/>
      <x:c r="V94" s="55" t="str">
        <x:f>IF(U94="","",U94-TODAY())</x:f>
      </x:c>
      <x:c r="W94" s="55" t="str">
        <x:f>IF(AND(U94&lt;&gt;"",U94&lt;TODAY(),O94="Активен"),"ДА","")</x:f>
      </x:c>
      <x:c r="X94" s="55"/>
      <x:c r="Y94" s="55"/>
      <x:c r="Z94" s="55"/>
      <x:c r="AA94" s="55"/>
      <x:c r="AB94" s="55" t="str">
        <x:f>IF(C94="","", "Напиши " &amp; AA94 &amp; " за бизнес: " &amp; C94 &amp; ". Тип: " &amp; D94 &amp; ". Град: " &amp; E94 &amp; ". Проблем: " &amp; L94 &amp; ". Предложение: " &amp; M94 &amp; ". Етап: " &amp; N94 &amp; ". Бележки: " &amp; Y94)</x:f>
      </x:c>
      <x:c r="AC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 t="str">
        <x:f>IF(C95="","",IFERROR(Q95*R95/100,""))</x:f>
      </x:c>
      <x:c r="T95" s="55"/>
      <x:c r="U95" s="55"/>
      <x:c r="V95" s="55" t="str">
        <x:f>IF(U95="","",U95-TODAY())</x:f>
      </x:c>
      <x:c r="W95" s="55" t="str">
        <x:f>IF(AND(U95&lt;&gt;"",U95&lt;TODAY(),O95="Активен"),"ДА","")</x:f>
      </x:c>
      <x:c r="X95" s="55"/>
      <x:c r="Y95" s="55"/>
      <x:c r="Z95" s="55"/>
      <x:c r="AA95" s="55"/>
      <x:c r="AB95" s="55" t="str">
        <x:f>IF(C95="","", "Напиши " &amp; AA95 &amp; " за бизнес: " &amp; C95 &amp; ". Тип: " &amp; D95 &amp; ". Град: " &amp; E95 &amp; ". Проблем: " &amp; L95 &amp; ". Предложение: " &amp; M95 &amp; ". Етап: " &amp; N95 &amp; ". Бележки: " &amp; Y95)</x:f>
      </x:c>
      <x:c r="AC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 t="str">
        <x:f>IF(C96="","",IFERROR(Q96*R96/100,""))</x:f>
      </x:c>
      <x:c r="T96" s="55"/>
      <x:c r="U96" s="55"/>
      <x:c r="V96" s="55" t="str">
        <x:f>IF(U96="","",U96-TODAY())</x:f>
      </x:c>
      <x:c r="W96" s="55" t="str">
        <x:f>IF(AND(U96&lt;&gt;"",U96&lt;TODAY(),O96="Активен"),"ДА","")</x:f>
      </x:c>
      <x:c r="X96" s="55"/>
      <x:c r="Y96" s="55"/>
      <x:c r="Z96" s="55"/>
      <x:c r="AA96" s="55"/>
      <x:c r="AB96" s="55" t="str">
        <x:f>IF(C96="","", "Напиши " &amp; AA96 &amp; " за бизнес: " &amp; C96 &amp; ". Тип: " &amp; D96 &amp; ". Град: " &amp; E96 &amp; ". Проблем: " &amp; L96 &amp; ". Предложение: " &amp; M96 &amp; ". Етап: " &amp; N96 &amp; ". Бележки: " &amp; Y96)</x:f>
      </x:c>
      <x:c r="AC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 t="str">
        <x:f>IF(C97="","",IFERROR(Q97*R97/100,""))</x:f>
      </x:c>
      <x:c r="T97" s="55"/>
      <x:c r="U97" s="55"/>
      <x:c r="V97" s="55" t="str">
        <x:f>IF(U97="","",U97-TODAY())</x:f>
      </x:c>
      <x:c r="W97" s="55" t="str">
        <x:f>IF(AND(U97&lt;&gt;"",U97&lt;TODAY(),O97="Активен"),"ДА","")</x:f>
      </x:c>
      <x:c r="X97" s="55"/>
      <x:c r="Y97" s="55"/>
      <x:c r="Z97" s="55"/>
      <x:c r="AA97" s="55"/>
      <x:c r="AB97" s="55" t="str">
        <x:f>IF(C97="","", "Напиши " &amp; AA97 &amp; " за бизнес: " &amp; C97 &amp; ". Тип: " &amp; D97 &amp; ". Град: " &amp; E97 &amp; ". Проблем: " &amp; L97 &amp; ". Предложение: " &amp; M97 &amp; ". Етап: " &amp; N97 &amp; ". Бележки: " &amp; Y97)</x:f>
      </x:c>
      <x:c r="AC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 t="str">
        <x:f>IF(C98="","",IFERROR(Q98*R98/100,""))</x:f>
      </x:c>
      <x:c r="T98" s="55"/>
      <x:c r="U98" s="55"/>
      <x:c r="V98" s="55" t="str">
        <x:f>IF(U98="","",U98-TODAY())</x:f>
      </x:c>
      <x:c r="W98" s="55" t="str">
        <x:f>IF(AND(U98&lt;&gt;"",U98&lt;TODAY(),O98="Активен"),"ДА","")</x:f>
      </x:c>
      <x:c r="X98" s="55"/>
      <x:c r="Y98" s="55"/>
      <x:c r="Z98" s="55"/>
      <x:c r="AA98" s="55"/>
      <x:c r="AB98" s="55" t="str">
        <x:f>IF(C98="","", "Напиши " &amp; AA98 &amp; " за бизнес: " &amp; C98 &amp; ". Тип: " &amp; D98 &amp; ". Град: " &amp; E98 &amp; ". Проблем: " &amp; L98 &amp; ". Предложение: " &amp; M98 &amp; ". Етап: " &amp; N98 &amp; ". Бележки: " &amp; Y98)</x:f>
      </x:c>
      <x:c r="AC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 t="str">
        <x:f>IF(C99="","",IFERROR(Q99*R99/100,""))</x:f>
      </x:c>
      <x:c r="T99" s="55"/>
      <x:c r="U99" s="55"/>
      <x:c r="V99" s="55" t="str">
        <x:f>IF(U99="","",U99-TODAY())</x:f>
      </x:c>
      <x:c r="W99" s="55" t="str">
        <x:f>IF(AND(U99&lt;&gt;"",U99&lt;TODAY(),O99="Активен"),"ДА","")</x:f>
      </x:c>
      <x:c r="X99" s="55"/>
      <x:c r="Y99" s="55"/>
      <x:c r="Z99" s="55"/>
      <x:c r="AA99" s="55"/>
      <x:c r="AB99" s="55" t="str">
        <x:f>IF(C99="","", "Напиши " &amp; AA99 &amp; " за бизнес: " &amp; C99 &amp; ". Тип: " &amp; D99 &amp; ". Град: " &amp; E99 &amp; ". Проблем: " &amp; L99 &amp; ". Предложение: " &amp; M99 &amp; ". Етап: " &amp; N99 &amp; ". Бележки: " &amp; Y99)</x:f>
      </x:c>
      <x:c r="AC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 t="str">
        <x:f>IF(C100="","",IFERROR(Q100*R100/100,""))</x:f>
      </x:c>
      <x:c r="T100" s="55"/>
      <x:c r="U100" s="55"/>
      <x:c r="V100" s="55" t="str">
        <x:f>IF(U100="","",U100-TODAY())</x:f>
      </x:c>
      <x:c r="W100" s="55" t="str">
        <x:f>IF(AND(U100&lt;&gt;"",U100&lt;TODAY(),O100="Активен"),"ДА","")</x:f>
      </x:c>
      <x:c r="X100" s="55"/>
      <x:c r="Y100" s="55"/>
      <x:c r="Z100" s="55"/>
      <x:c r="AA100" s="55"/>
      <x:c r="AB100" s="55" t="str">
        <x:f>IF(C100="","", "Напиши " &amp; AA100 &amp; " за бизнес: " &amp; C100 &amp; ". Тип: " &amp; D100 &amp; ". Град: " &amp; E100 &amp; ". Проблем: " &amp; L100 &amp; ". Предложение: " &amp; M100 &amp; ". Етап: " &amp; N100 &amp; ". Бележки: " &amp; Y100)</x:f>
      </x:c>
      <x:c r="AC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 t="str">
        <x:f>IF(C101="","",IFERROR(Q101*R101/100,""))</x:f>
      </x:c>
      <x:c r="T101" s="55"/>
      <x:c r="U101" s="55"/>
      <x:c r="V101" s="55" t="str">
        <x:f>IF(U101="","",U101-TODAY())</x:f>
      </x:c>
      <x:c r="W101" s="55" t="str">
        <x:f>IF(AND(U101&lt;&gt;"",U101&lt;TODAY(),O101="Активен"),"ДА","")</x:f>
      </x:c>
      <x:c r="X101" s="55"/>
      <x:c r="Y101" s="55"/>
      <x:c r="Z101" s="55"/>
      <x:c r="AA101" s="55"/>
      <x:c r="AB101" s="55" t="str">
        <x:f>IF(C101="","", "Напиши " &amp; AA101 &amp; " за бизнес: " &amp; C101 &amp; ". Тип: " &amp; D101 &amp; ". Град: " &amp; E101 &amp; ". Проблем: " &amp; L101 &amp; ". Предложение: " &amp; M101 &amp; ". Етап: " &amp; N101 &amp; ". Бележки: " &amp; Y101)</x:f>
      </x:c>
      <x:c r="AC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 t="str">
        <x:f>IF(C102="","",IFERROR(Q102*R102/100,""))</x:f>
      </x:c>
      <x:c r="T102" s="55"/>
      <x:c r="U102" s="55"/>
      <x:c r="V102" s="55" t="str">
        <x:f>IF(U102="","",U102-TODAY())</x:f>
      </x:c>
      <x:c r="W102" s="55" t="str">
        <x:f>IF(AND(U102&lt;&gt;"",U102&lt;TODAY(),O102="Активен"),"ДА","")</x:f>
      </x:c>
      <x:c r="X102" s="55"/>
      <x:c r="Y102" s="55"/>
      <x:c r="Z102" s="55"/>
      <x:c r="AA102" s="55"/>
      <x:c r="AB102" s="55" t="str">
        <x:f>IF(C102="","", "Напиши " &amp; AA102 &amp; " за бизнес: " &amp; C102 &amp; ". Тип: " &amp; D102 &amp; ". Град: " &amp; E102 &amp; ". Проблем: " &amp; L102 &amp; ". Предложение: " &amp; M102 &amp; ". Етап: " &amp; N102 &amp; ". Бележки: " &amp; Y102)</x:f>
      </x:c>
      <x:c r="AC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 t="str">
        <x:f>IF(C103="","",IFERROR(Q103*R103/100,""))</x:f>
      </x:c>
      <x:c r="T103" s="55"/>
      <x:c r="U103" s="55"/>
      <x:c r="V103" s="55" t="str">
        <x:f>IF(U103="","",U103-TODAY())</x:f>
      </x:c>
      <x:c r="W103" s="55" t="str">
        <x:f>IF(AND(U103&lt;&gt;"",U103&lt;TODAY(),O103="Активен"),"ДА","")</x:f>
      </x:c>
      <x:c r="X103" s="55"/>
      <x:c r="Y103" s="55"/>
      <x:c r="Z103" s="55"/>
      <x:c r="AA103" s="55"/>
      <x:c r="AB103" s="55" t="str">
        <x:f>IF(C103="","", "Напиши " &amp; AA103 &amp; " за бизнес: " &amp; C103 &amp; ". Тип: " &amp; D103 &amp; ". Град: " &amp; E103 &amp; ". Проблем: " &amp; L103 &amp; ". Предложение: " &amp; M103 &amp; ". Етап: " &amp; N103 &amp; ". Бележки: " &amp; Y103)</x:f>
      </x:c>
      <x:c r="AC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 t="str">
        <x:f>IF(C104="","",IFERROR(Q104*R104/100,""))</x:f>
      </x:c>
      <x:c r="T104" s="55"/>
      <x:c r="U104" s="55"/>
      <x:c r="V104" s="55" t="str">
        <x:f>IF(U104="","",U104-TODAY())</x:f>
      </x:c>
      <x:c r="W104" s="55" t="str">
        <x:f>IF(AND(U104&lt;&gt;"",U104&lt;TODAY(),O104="Активен"),"ДА","")</x:f>
      </x:c>
      <x:c r="X104" s="55"/>
      <x:c r="Y104" s="55"/>
      <x:c r="Z104" s="55"/>
      <x:c r="AA104" s="55"/>
      <x:c r="AB104" s="55" t="str">
        <x:f>IF(C104="","", "Напиши " &amp; AA104 &amp; " за бизнес: " &amp; C104 &amp; ". Тип: " &amp; D104 &amp; ". Град: " &amp; E104 &amp; ". Проблем: " &amp; L104 &amp; ". Предложение: " &amp; M104 &amp; ". Етап: " &amp; N104 &amp; ". Бележки: " &amp; Y104)</x:f>
      </x:c>
      <x:c r="AC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 t="str">
        <x:f>IF(C105="","",IFERROR(Q105*R105/100,""))</x:f>
      </x:c>
      <x:c r="T105" s="55"/>
      <x:c r="U105" s="55"/>
      <x:c r="V105" s="55" t="str">
        <x:f>IF(U105="","",U105-TODAY())</x:f>
      </x:c>
      <x:c r="W105" s="55" t="str">
        <x:f>IF(AND(U105&lt;&gt;"",U105&lt;TODAY(),O105="Активен"),"ДА","")</x:f>
      </x:c>
      <x:c r="X105" s="55"/>
      <x:c r="Y105" s="55"/>
      <x:c r="Z105" s="55"/>
      <x:c r="AA105" s="55"/>
      <x:c r="AB105" s="55" t="str">
        <x:f>IF(C105="","", "Напиши " &amp; AA105 &amp; " за бизнес: " &amp; C105 &amp; ". Тип: " &amp; D105 &amp; ". Град: " &amp; E105 &amp; ". Проблем: " &amp; L105 &amp; ". Предложение: " &amp; M105 &amp; ". Етап: " &amp; N105 &amp; ". Бележки: " &amp; Y105)</x:f>
      </x:c>
      <x:c r="AC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 t="str">
        <x:f>IF(C106="","",IFERROR(Q106*R106/100,""))</x:f>
      </x:c>
      <x:c r="T106" s="55"/>
      <x:c r="U106" s="55"/>
      <x:c r="V106" s="55" t="str">
        <x:f>IF(U106="","",U106-TODAY())</x:f>
      </x:c>
      <x:c r="W106" s="55" t="str">
        <x:f>IF(AND(U106&lt;&gt;"",U106&lt;TODAY(),O106="Активен"),"ДА","")</x:f>
      </x:c>
      <x:c r="X106" s="55"/>
      <x:c r="Y106" s="55"/>
      <x:c r="Z106" s="55"/>
      <x:c r="AA106" s="55"/>
      <x:c r="AB106" s="55" t="str">
        <x:f>IF(C106="","", "Напиши " &amp; AA106 &amp; " за бизнес: " &amp; C106 &amp; ". Тип: " &amp; D106 &amp; ". Град: " &amp; E106 &amp; ". Проблем: " &amp; L106 &amp; ". Предложение: " &amp; M106 &amp; ". Етап: " &amp; N106 &amp; ". Бележки: " &amp; Y106)</x:f>
      </x:c>
      <x:c r="AC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 t="str">
        <x:f>IF(C107="","",IFERROR(Q107*R107/100,""))</x:f>
      </x:c>
      <x:c r="T107" s="55"/>
      <x:c r="U107" s="55"/>
      <x:c r="V107" s="55" t="str">
        <x:f>IF(U107="","",U107-TODAY())</x:f>
      </x:c>
      <x:c r="W107" s="55" t="str">
        <x:f>IF(AND(U107&lt;&gt;"",U107&lt;TODAY(),O107="Активен"),"ДА","")</x:f>
      </x:c>
      <x:c r="X107" s="55"/>
      <x:c r="Y107" s="55"/>
      <x:c r="Z107" s="55"/>
      <x:c r="AA107" s="55"/>
      <x:c r="AB107" s="55" t="str">
        <x:f>IF(C107="","", "Напиши " &amp; AA107 &amp; " за бизнес: " &amp; C107 &amp; ". Тип: " &amp; D107 &amp; ". Град: " &amp; E107 &amp; ". Проблем: " &amp; L107 &amp; ". Предложение: " &amp; M107 &amp; ". Етап: " &amp; N107 &amp; ". Бележки: " &amp; Y107)</x:f>
      </x:c>
      <x:c r="AC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 t="str">
        <x:f>IF(C108="","",IFERROR(Q108*R108/100,""))</x:f>
      </x:c>
      <x:c r="T108" s="55"/>
      <x:c r="U108" s="55"/>
      <x:c r="V108" s="55" t="str">
        <x:f>IF(U108="","",U108-TODAY())</x:f>
      </x:c>
      <x:c r="W108" s="55" t="str">
        <x:f>IF(AND(U108&lt;&gt;"",U108&lt;TODAY(),O108="Активен"),"ДА","")</x:f>
      </x:c>
      <x:c r="X108" s="55"/>
      <x:c r="Y108" s="55"/>
      <x:c r="Z108" s="55"/>
      <x:c r="AA108" s="55"/>
      <x:c r="AB108" s="55" t="str">
        <x:f>IF(C108="","", "Напиши " &amp; AA108 &amp; " за бизнес: " &amp; C108 &amp; ". Тип: " &amp; D108 &amp; ". Град: " &amp; E108 &amp; ". Проблем: " &amp; L108 &amp; ". Предложение: " &amp; M108 &amp; ". Етап: " &amp; N108 &amp; ". Бележки: " &amp; Y108)</x:f>
      </x:c>
      <x:c r="AC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 t="str">
        <x:f>IF(C109="","",IFERROR(Q109*R109/100,""))</x:f>
      </x:c>
      <x:c r="T109" s="55"/>
      <x:c r="U109" s="55"/>
      <x:c r="V109" s="55" t="str">
        <x:f>IF(U109="","",U109-TODAY())</x:f>
      </x:c>
      <x:c r="W109" s="55" t="str">
        <x:f>IF(AND(U109&lt;&gt;"",U109&lt;TODAY(),O109="Активен"),"ДА","")</x:f>
      </x:c>
      <x:c r="X109" s="55"/>
      <x:c r="Y109" s="55"/>
      <x:c r="Z109" s="55"/>
      <x:c r="AA109" s="55"/>
      <x:c r="AB109" s="55" t="str">
        <x:f>IF(C109="","", "Напиши " &amp; AA109 &amp; " за бизнес: " &amp; C109 &amp; ". Тип: " &amp; D109 &amp; ". Град: " &amp; E109 &amp; ". Проблем: " &amp; L109 &amp; ". Предложение: " &amp; M109 &amp; ". Етап: " &amp; N109 &amp; ". Бележки: " &amp; Y109)</x:f>
      </x:c>
      <x:c r="AC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 t="str">
        <x:f>IF(C110="","",IFERROR(Q110*R110/100,""))</x:f>
      </x:c>
      <x:c r="T110" s="55"/>
      <x:c r="U110" s="55"/>
      <x:c r="V110" s="55" t="str">
        <x:f>IF(U110="","",U110-TODAY())</x:f>
      </x:c>
      <x:c r="W110" s="55" t="str">
        <x:f>IF(AND(U110&lt;&gt;"",U110&lt;TODAY(),O110="Активен"),"ДА","")</x:f>
      </x:c>
      <x:c r="X110" s="55"/>
      <x:c r="Y110" s="55"/>
      <x:c r="Z110" s="55"/>
      <x:c r="AA110" s="55"/>
      <x:c r="AB110" s="55" t="str">
        <x:f>IF(C110="","", "Напиши " &amp; AA110 &amp; " за бизнес: " &amp; C110 &amp; ". Тип: " &amp; D110 &amp; ". Град: " &amp; E110 &amp; ". Проблем: " &amp; L110 &amp; ". Предложение: " &amp; M110 &amp; ". Етап: " &amp; N110 &amp; ". Бележки: " &amp; Y110)</x:f>
      </x:c>
      <x:c r="AC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 t="str">
        <x:f>IF(C111="","",IFERROR(Q111*R111/100,""))</x:f>
      </x:c>
      <x:c r="T111" s="55"/>
      <x:c r="U111" s="55"/>
      <x:c r="V111" s="55" t="str">
        <x:f>IF(U111="","",U111-TODAY())</x:f>
      </x:c>
      <x:c r="W111" s="55" t="str">
        <x:f>IF(AND(U111&lt;&gt;"",U111&lt;TODAY(),O111="Активен"),"ДА","")</x:f>
      </x:c>
      <x:c r="X111" s="55"/>
      <x:c r="Y111" s="55"/>
      <x:c r="Z111" s="55"/>
      <x:c r="AA111" s="55"/>
      <x:c r="AB111" s="55" t="str">
        <x:f>IF(C111="","", "Напиши " &amp; AA111 &amp; " за бизнес: " &amp; C111 &amp; ". Тип: " &amp; D111 &amp; ". Град: " &amp; E111 &amp; ". Проблем: " &amp; L111 &amp; ". Предложение: " &amp; M111 &amp; ". Етап: " &amp; N111 &amp; ". Бележки: " &amp; Y111)</x:f>
      </x:c>
      <x:c r="AC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 t="str">
        <x:f>IF(C112="","",IFERROR(Q112*R112/100,""))</x:f>
      </x:c>
      <x:c r="T112" s="55"/>
      <x:c r="U112" s="55"/>
      <x:c r="V112" s="55" t="str">
        <x:f>IF(U112="","",U112-TODAY())</x:f>
      </x:c>
      <x:c r="W112" s="55" t="str">
        <x:f>IF(AND(U112&lt;&gt;"",U112&lt;TODAY(),O112="Активен"),"ДА","")</x:f>
      </x:c>
      <x:c r="X112" s="55"/>
      <x:c r="Y112" s="55"/>
      <x:c r="Z112" s="55"/>
      <x:c r="AA112" s="55"/>
      <x:c r="AB112" s="55" t="str">
        <x:f>IF(C112="","", "Напиши " &amp; AA112 &amp; " за бизнес: " &amp; C112 &amp; ". Тип: " &amp; D112 &amp; ". Град: " &amp; E112 &amp; ". Проблем: " &amp; L112 &amp; ". Предложение: " &amp; M112 &amp; ". Етап: " &amp; N112 &amp; ". Бележки: " &amp; Y112)</x:f>
      </x:c>
      <x:c r="AC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 t="str">
        <x:f>IF(C113="","",IFERROR(Q113*R113/100,""))</x:f>
      </x:c>
      <x:c r="T113" s="55"/>
      <x:c r="U113" s="55"/>
      <x:c r="V113" s="55" t="str">
        <x:f>IF(U113="","",U113-TODAY())</x:f>
      </x:c>
      <x:c r="W113" s="55" t="str">
        <x:f>IF(AND(U113&lt;&gt;"",U113&lt;TODAY(),O113="Активен"),"ДА","")</x:f>
      </x:c>
      <x:c r="X113" s="55"/>
      <x:c r="Y113" s="55"/>
      <x:c r="Z113" s="55"/>
      <x:c r="AA113" s="55"/>
      <x:c r="AB113" s="55" t="str">
        <x:f>IF(C113="","", "Напиши " &amp; AA113 &amp; " за бизнес: " &amp; C113 &amp; ". Тип: " &amp; D113 &amp; ". Град: " &amp; E113 &amp; ". Проблем: " &amp; L113 &amp; ". Предложение: " &amp; M113 &amp; ". Етап: " &amp; N113 &amp; ". Бележки: " &amp; Y113)</x:f>
      </x:c>
      <x:c r="AC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 t="str">
        <x:f>IF(C114="","",IFERROR(Q114*R114/100,""))</x:f>
      </x:c>
      <x:c r="T114" s="55"/>
      <x:c r="U114" s="55"/>
      <x:c r="V114" s="55" t="str">
        <x:f>IF(U114="","",U114-TODAY())</x:f>
      </x:c>
      <x:c r="W114" s="55" t="str">
        <x:f>IF(AND(U114&lt;&gt;"",U114&lt;TODAY(),O114="Активен"),"ДА","")</x:f>
      </x:c>
      <x:c r="X114" s="55"/>
      <x:c r="Y114" s="55"/>
      <x:c r="Z114" s="55"/>
      <x:c r="AA114" s="55"/>
      <x:c r="AB114" s="55" t="str">
        <x:f>IF(C114="","", "Напиши " &amp; AA114 &amp; " за бизнес: " &amp; C114 &amp; ". Тип: " &amp; D114 &amp; ". Град: " &amp; E114 &amp; ". Проблем: " &amp; L114 &amp; ". Предложение: " &amp; M114 &amp; ". Етап: " &amp; N114 &amp; ". Бележки: " &amp; Y114)</x:f>
      </x:c>
      <x:c r="AC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 t="str">
        <x:f>IF(C115="","",IFERROR(Q115*R115/100,""))</x:f>
      </x:c>
      <x:c r="T115" s="55"/>
      <x:c r="U115" s="55"/>
      <x:c r="V115" s="55" t="str">
        <x:f>IF(U115="","",U115-TODAY())</x:f>
      </x:c>
      <x:c r="W115" s="55" t="str">
        <x:f>IF(AND(U115&lt;&gt;"",U115&lt;TODAY(),O115="Активен"),"ДА","")</x:f>
      </x:c>
      <x:c r="X115" s="55"/>
      <x:c r="Y115" s="55"/>
      <x:c r="Z115" s="55"/>
      <x:c r="AA115" s="55"/>
      <x:c r="AB115" s="55" t="str">
        <x:f>IF(C115="","", "Напиши " &amp; AA115 &amp; " за бизнес: " &amp; C115 &amp; ". Тип: " &amp; D115 &amp; ". Град: " &amp; E115 &amp; ". Проблем: " &amp; L115 &amp; ". Предложение: " &amp; M115 &amp; ". Етап: " &amp; N115 &amp; ". Бележки: " &amp; Y115)</x:f>
      </x:c>
      <x:c r="AC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 t="str">
        <x:f>IF(C116="","",IFERROR(Q116*R116/100,""))</x:f>
      </x:c>
      <x:c r="T116" s="55"/>
      <x:c r="U116" s="55"/>
      <x:c r="V116" s="55" t="str">
        <x:f>IF(U116="","",U116-TODAY())</x:f>
      </x:c>
      <x:c r="W116" s="55" t="str">
        <x:f>IF(AND(U116&lt;&gt;"",U116&lt;TODAY(),O116="Активен"),"ДА","")</x:f>
      </x:c>
      <x:c r="X116" s="55"/>
      <x:c r="Y116" s="55"/>
      <x:c r="Z116" s="55"/>
      <x:c r="AA116" s="55"/>
      <x:c r="AB116" s="55" t="str">
        <x:f>IF(C116="","", "Напиши " &amp; AA116 &amp; " за бизнес: " &amp; C116 &amp; ". Тип: " &amp; D116 &amp; ". Град: " &amp; E116 &amp; ". Проблем: " &amp; L116 &amp; ". Предложение: " &amp; M116 &amp; ". Етап: " &amp; N116 &amp; ". Бележки: " &amp; Y116)</x:f>
      </x:c>
      <x:c r="AC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 t="str">
        <x:f>IF(C117="","",IFERROR(Q117*R117/100,""))</x:f>
      </x:c>
      <x:c r="T117" s="55"/>
      <x:c r="U117" s="55"/>
      <x:c r="V117" s="55" t="str">
        <x:f>IF(U117="","",U117-TODAY())</x:f>
      </x:c>
      <x:c r="W117" s="55" t="str">
        <x:f>IF(AND(U117&lt;&gt;"",U117&lt;TODAY(),O117="Активен"),"ДА","")</x:f>
      </x:c>
      <x:c r="X117" s="55"/>
      <x:c r="Y117" s="55"/>
      <x:c r="Z117" s="55"/>
      <x:c r="AA117" s="55"/>
      <x:c r="AB117" s="55" t="str">
        <x:f>IF(C117="","", "Напиши " &amp; AA117 &amp; " за бизнес: " &amp; C117 &amp; ". Тип: " &amp; D117 &amp; ". Град: " &amp; E117 &amp; ". Проблем: " &amp; L117 &amp; ". Предложение: " &amp; M117 &amp; ". Етап: " &amp; N117 &amp; ". Бележки: " &amp; Y117)</x:f>
      </x:c>
      <x:c r="AC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 t="str">
        <x:f>IF(C118="","",IFERROR(Q118*R118/100,""))</x:f>
      </x:c>
      <x:c r="T118" s="55"/>
      <x:c r="U118" s="55"/>
      <x:c r="V118" s="55" t="str">
        <x:f>IF(U118="","",U118-TODAY())</x:f>
      </x:c>
      <x:c r="W118" s="55" t="str">
        <x:f>IF(AND(U118&lt;&gt;"",U118&lt;TODAY(),O118="Активен"),"ДА","")</x:f>
      </x:c>
      <x:c r="X118" s="55"/>
      <x:c r="Y118" s="55"/>
      <x:c r="Z118" s="55"/>
      <x:c r="AA118" s="55"/>
      <x:c r="AB118" s="55" t="str">
        <x:f>IF(C118="","", "Напиши " &amp; AA118 &amp; " за бизнес: " &amp; C118 &amp; ". Тип: " &amp; D118 &amp; ". Град: " &amp; E118 &amp; ". Проблем: " &amp; L118 &amp; ". Предложение: " &amp; M118 &amp; ". Етап: " &amp; N118 &amp; ". Бележки: " &amp; Y118)</x:f>
      </x:c>
      <x:c r="AC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 t="str">
        <x:f>IF(C119="","",IFERROR(Q119*R119/100,""))</x:f>
      </x:c>
      <x:c r="T119" s="55"/>
      <x:c r="U119" s="55"/>
      <x:c r="V119" s="55" t="str">
        <x:f>IF(U119="","",U119-TODAY())</x:f>
      </x:c>
      <x:c r="W119" s="55" t="str">
        <x:f>IF(AND(U119&lt;&gt;"",U119&lt;TODAY(),O119="Активен"),"ДА","")</x:f>
      </x:c>
      <x:c r="X119" s="55"/>
      <x:c r="Y119" s="55"/>
      <x:c r="Z119" s="55"/>
      <x:c r="AA119" s="55"/>
      <x:c r="AB119" s="55" t="str">
        <x:f>IF(C119="","", "Напиши " &amp; AA119 &amp; " за бизнес: " &amp; C119 &amp; ". Тип: " &amp; D119 &amp; ". Град: " &amp; E119 &amp; ". Проблем: " &amp; L119 &amp; ". Предложение: " &amp; M119 &amp; ". Етап: " &amp; N119 &amp; ". Бележки: " &amp; Y119)</x:f>
      </x:c>
      <x:c r="AC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 t="str">
        <x:f>IF(C120="","",IFERROR(Q120*R120/100,""))</x:f>
      </x:c>
      <x:c r="T120" s="55"/>
      <x:c r="U120" s="55"/>
      <x:c r="V120" s="55" t="str">
        <x:f>IF(U120="","",U120-TODAY())</x:f>
      </x:c>
      <x:c r="W120" s="55" t="str">
        <x:f>IF(AND(U120&lt;&gt;"",U120&lt;TODAY(),O120="Активен"),"ДА","")</x:f>
      </x:c>
      <x:c r="X120" s="55"/>
      <x:c r="Y120" s="55"/>
      <x:c r="Z120" s="55"/>
      <x:c r="AA120" s="55"/>
      <x:c r="AB120" s="55" t="str">
        <x:f>IF(C120="","", "Напиши " &amp; AA120 &amp; " за бизнес: " &amp; C120 &amp; ". Тип: " &amp; D120 &amp; ". Град: " &amp; E120 &amp; ". Проблем: " &amp; L120 &amp; ". Предложение: " &amp; M120 &amp; ". Етап: " &amp; N120 &amp; ". Бележки: " &amp; Y120)</x:f>
      </x:c>
      <x:c r="AC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 t="str">
        <x:f>IF(C121="","",IFERROR(Q121*R121/100,""))</x:f>
      </x:c>
      <x:c r="T121" s="55"/>
      <x:c r="U121" s="55"/>
      <x:c r="V121" s="55" t="str">
        <x:f>IF(U121="","",U121-TODAY())</x:f>
      </x:c>
      <x:c r="W121" s="55" t="str">
        <x:f>IF(AND(U121&lt;&gt;"",U121&lt;TODAY(),O121="Активен"),"ДА","")</x:f>
      </x:c>
      <x:c r="X121" s="55"/>
      <x:c r="Y121" s="55"/>
      <x:c r="Z121" s="55"/>
      <x:c r="AA121" s="55"/>
      <x:c r="AB121" s="55" t="str">
        <x:f>IF(C121="","", "Напиши " &amp; AA121 &amp; " за бизнес: " &amp; C121 &amp; ". Тип: " &amp; D121 &amp; ". Град: " &amp; E121 &amp; ". Проблем: " &amp; L121 &amp; ". Предложение: " &amp; M121 &amp; ". Етап: " &amp; N121 &amp; ". Бележки: " &amp; Y121)</x:f>
      </x:c>
      <x:c r="AC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 t="str">
        <x:f>IF(C122="","",IFERROR(Q122*R122/100,""))</x:f>
      </x:c>
      <x:c r="T122" s="55"/>
      <x:c r="U122" s="55"/>
      <x:c r="V122" s="55" t="str">
        <x:f>IF(U122="","",U122-TODAY())</x:f>
      </x:c>
      <x:c r="W122" s="55" t="str">
        <x:f>IF(AND(U122&lt;&gt;"",U122&lt;TODAY(),O122="Активен"),"ДА","")</x:f>
      </x:c>
      <x:c r="X122" s="55"/>
      <x:c r="Y122" s="55"/>
      <x:c r="Z122" s="55"/>
      <x:c r="AA122" s="55"/>
      <x:c r="AB122" s="55" t="str">
        <x:f>IF(C122="","", "Напиши " &amp; AA122 &amp; " за бизнес: " &amp; C122 &amp; ". Тип: " &amp; D122 &amp; ". Град: " &amp; E122 &amp; ". Проблем: " &amp; L122 &amp; ". Предложение: " &amp; M122 &amp; ". Етап: " &amp; N122 &amp; ". Бележки: " &amp; Y122)</x:f>
      </x:c>
      <x:c r="AC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 t="str">
        <x:f>IF(C123="","",IFERROR(Q123*R123/100,""))</x:f>
      </x:c>
      <x:c r="T123" s="55"/>
      <x:c r="U123" s="55"/>
      <x:c r="V123" s="55" t="str">
        <x:f>IF(U123="","",U123-TODAY())</x:f>
      </x:c>
      <x:c r="W123" s="55" t="str">
        <x:f>IF(AND(U123&lt;&gt;"",U123&lt;TODAY(),O123="Активен"),"ДА","")</x:f>
      </x:c>
      <x:c r="X123" s="55"/>
      <x:c r="Y123" s="55"/>
      <x:c r="Z123" s="55"/>
      <x:c r="AA123" s="55"/>
      <x:c r="AB123" s="55" t="str">
        <x:f>IF(C123="","", "Напиши " &amp; AA123 &amp; " за бизнес: " &amp; C123 &amp; ". Тип: " &amp; D123 &amp; ". Град: " &amp; E123 &amp; ". Проблем: " &amp; L123 &amp; ". Предложение: " &amp; M123 &amp; ". Етап: " &amp; N123 &amp; ". Бележки: " &amp; Y123)</x:f>
      </x:c>
      <x:c r="AC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 t="str">
        <x:f>IF(C124="","",IFERROR(Q124*R124/100,""))</x:f>
      </x:c>
      <x:c r="T124" s="55"/>
      <x:c r="U124" s="55"/>
      <x:c r="V124" s="55" t="str">
        <x:f>IF(U124="","",U124-TODAY())</x:f>
      </x:c>
      <x:c r="W124" s="55" t="str">
        <x:f>IF(AND(U124&lt;&gt;"",U124&lt;TODAY(),O124="Активен"),"ДА","")</x:f>
      </x:c>
      <x:c r="X124" s="55"/>
      <x:c r="Y124" s="55"/>
      <x:c r="Z124" s="55"/>
      <x:c r="AA124" s="55"/>
      <x:c r="AB124" s="55" t="str">
        <x:f>IF(C124="","", "Напиши " &amp; AA124 &amp; " за бизнес: " &amp; C124 &amp; ". Тип: " &amp; D124 &amp; ". Град: " &amp; E124 &amp; ". Проблем: " &amp; L124 &amp; ". Предложение: " &amp; M124 &amp; ". Етап: " &amp; N124 &amp; ". Бележки: " &amp; Y124)</x:f>
      </x:c>
      <x:c r="AC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 t="str">
        <x:f>IF(C125="","",IFERROR(Q125*R125/100,""))</x:f>
      </x:c>
      <x:c r="T125" s="55"/>
      <x:c r="U125" s="55"/>
      <x:c r="V125" s="55" t="str">
        <x:f>IF(U125="","",U125-TODAY())</x:f>
      </x:c>
      <x:c r="W125" s="55" t="str">
        <x:f>IF(AND(U125&lt;&gt;"",U125&lt;TODAY(),O125="Активен"),"ДА","")</x:f>
      </x:c>
      <x:c r="X125" s="55"/>
      <x:c r="Y125" s="55"/>
      <x:c r="Z125" s="55"/>
      <x:c r="AA125" s="55"/>
      <x:c r="AB125" s="55" t="str">
        <x:f>IF(C125="","", "Напиши " &amp; AA125 &amp; " за бизнес: " &amp; C125 &amp; ". Тип: " &amp; D125 &amp; ". Град: " &amp; E125 &amp; ". Проблем: " &amp; L125 &amp; ". Предложение: " &amp; M125 &amp; ". Етап: " &amp; N125 &amp; ". Бележки: " &amp; Y125)</x:f>
      </x:c>
      <x:c r="AC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 t="str">
        <x:f>IF(C126="","",IFERROR(Q126*R126/100,""))</x:f>
      </x:c>
      <x:c r="T126" s="55"/>
      <x:c r="U126" s="55"/>
      <x:c r="V126" s="55" t="str">
        <x:f>IF(U126="","",U126-TODAY())</x:f>
      </x:c>
      <x:c r="W126" s="55" t="str">
        <x:f>IF(AND(U126&lt;&gt;"",U126&lt;TODAY(),O126="Активен"),"ДА","")</x:f>
      </x:c>
      <x:c r="X126" s="55"/>
      <x:c r="Y126" s="55"/>
      <x:c r="Z126" s="55"/>
      <x:c r="AA126" s="55"/>
      <x:c r="AB126" s="55" t="str">
        <x:f>IF(C126="","", "Напиши " &amp; AA126 &amp; " за бизнес: " &amp; C126 &amp; ". Тип: " &amp; D126 &amp; ". Град: " &amp; E126 &amp; ". Проблем: " &amp; L126 &amp; ". Предложение: " &amp; M126 &amp; ". Етап: " &amp; N126 &amp; ". Бележки: " &amp; Y126)</x:f>
      </x:c>
      <x:c r="AC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 t="str">
        <x:f>IF(C127="","",IFERROR(Q127*R127/100,""))</x:f>
      </x:c>
      <x:c r="T127" s="55"/>
      <x:c r="U127" s="55"/>
      <x:c r="V127" s="55" t="str">
        <x:f>IF(U127="","",U127-TODAY())</x:f>
      </x:c>
      <x:c r="W127" s="55" t="str">
        <x:f>IF(AND(U127&lt;&gt;"",U127&lt;TODAY(),O127="Активен"),"ДА","")</x:f>
      </x:c>
      <x:c r="X127" s="55"/>
      <x:c r="Y127" s="55"/>
      <x:c r="Z127" s="55"/>
      <x:c r="AA127" s="55"/>
      <x:c r="AB127" s="55" t="str">
        <x:f>IF(C127="","", "Напиши " &amp; AA127 &amp; " за бизнес: " &amp; C127 &amp; ". Тип: " &amp; D127 &amp; ". Град: " &amp; E127 &amp; ". Проблем: " &amp; L127 &amp; ". Предложение: " &amp; M127 &amp; ". Етап: " &amp; N127 &amp; ". Бележки: " &amp; Y127)</x:f>
      </x:c>
      <x:c r="AC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 t="str">
        <x:f>IF(C128="","",IFERROR(Q128*R128/100,""))</x:f>
      </x:c>
      <x:c r="T128" s="55"/>
      <x:c r="U128" s="55"/>
      <x:c r="V128" s="55" t="str">
        <x:f>IF(U128="","",U128-TODAY())</x:f>
      </x:c>
      <x:c r="W128" s="55" t="str">
        <x:f>IF(AND(U128&lt;&gt;"",U128&lt;TODAY(),O128="Активен"),"ДА","")</x:f>
      </x:c>
      <x:c r="X128" s="55"/>
      <x:c r="Y128" s="55"/>
      <x:c r="Z128" s="55"/>
      <x:c r="AA128" s="55"/>
      <x:c r="AB128" s="55" t="str">
        <x:f>IF(C128="","", "Напиши " &amp; AA128 &amp; " за бизнес: " &amp; C128 &amp; ". Тип: " &amp; D128 &amp; ". Град: " &amp; E128 &amp; ". Проблем: " &amp; L128 &amp; ". Предложение: " &amp; M128 &amp; ". Етап: " &amp; N128 &amp; ". Бележки: " &amp; Y128)</x:f>
      </x:c>
      <x:c r="AC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 t="str">
        <x:f>IF(C129="","",IFERROR(Q129*R129/100,""))</x:f>
      </x:c>
      <x:c r="T129" s="55"/>
      <x:c r="U129" s="55"/>
      <x:c r="V129" s="55" t="str">
        <x:f>IF(U129="","",U129-TODAY())</x:f>
      </x:c>
      <x:c r="W129" s="55" t="str">
        <x:f>IF(AND(U129&lt;&gt;"",U129&lt;TODAY(),O129="Активен"),"ДА","")</x:f>
      </x:c>
      <x:c r="X129" s="55"/>
      <x:c r="Y129" s="55"/>
      <x:c r="Z129" s="55"/>
      <x:c r="AA129" s="55"/>
      <x:c r="AB129" s="55" t="str">
        <x:f>IF(C129="","", "Напиши " &amp; AA129 &amp; " за бизнес: " &amp; C129 &amp; ". Тип: " &amp; D129 &amp; ". Град: " &amp; E129 &amp; ". Проблем: " &amp; L129 &amp; ". Предложение: " &amp; M129 &amp; ". Етап: " &amp; N129 &amp; ". Бележки: " &amp; Y129)</x:f>
      </x:c>
      <x:c r="AC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 t="str">
        <x:f>IF(C130="","",IFERROR(Q130*R130/100,""))</x:f>
      </x:c>
      <x:c r="T130" s="55"/>
      <x:c r="U130" s="55"/>
      <x:c r="V130" s="55" t="str">
        <x:f>IF(U130="","",U130-TODAY())</x:f>
      </x:c>
      <x:c r="W130" s="55" t="str">
        <x:f>IF(AND(U130&lt;&gt;"",U130&lt;TODAY(),O130="Активен"),"ДА","")</x:f>
      </x:c>
      <x:c r="X130" s="55"/>
      <x:c r="Y130" s="55"/>
      <x:c r="Z130" s="55"/>
      <x:c r="AA130" s="55"/>
      <x:c r="AB130" s="55" t="str">
        <x:f>IF(C130="","", "Напиши " &amp; AA130 &amp; " за бизнес: " &amp; C130 &amp; ". Тип: " &amp; D130 &amp; ". Град: " &amp; E130 &amp; ". Проблем: " &amp; L130 &amp; ". Предложение: " &amp; M130 &amp; ". Етап: " &amp; N130 &amp; ". Бележки: " &amp; Y130)</x:f>
      </x:c>
      <x:c r="AC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 t="str">
        <x:f>IF(C131="","",IFERROR(Q131*R131/100,""))</x:f>
      </x:c>
      <x:c r="T131" s="55"/>
      <x:c r="U131" s="55"/>
      <x:c r="V131" s="55" t="str">
        <x:f>IF(U131="","",U131-TODAY())</x:f>
      </x:c>
      <x:c r="W131" s="55" t="str">
        <x:f>IF(AND(U131&lt;&gt;"",U131&lt;TODAY(),O131="Активен"),"ДА","")</x:f>
      </x:c>
      <x:c r="X131" s="55"/>
      <x:c r="Y131" s="55"/>
      <x:c r="Z131" s="55"/>
      <x:c r="AA131" s="55"/>
      <x:c r="AB131" s="55" t="str">
        <x:f>IF(C131="","", "Напиши " &amp; AA131 &amp; " за бизнес: " &amp; C131 &amp; ". Тип: " &amp; D131 &amp; ". Град: " &amp; E131 &amp; ". Проблем: " &amp; L131 &amp; ". Предложение: " &amp; M131 &amp; ". Етап: " &amp; N131 &amp; ". Бележки: " &amp; Y131)</x:f>
      </x:c>
      <x:c r="AC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 t="str">
        <x:f>IF(C132="","",IFERROR(Q132*R132/100,""))</x:f>
      </x:c>
      <x:c r="T132" s="55"/>
      <x:c r="U132" s="55"/>
      <x:c r="V132" s="55" t="str">
        <x:f>IF(U132="","",U132-TODAY())</x:f>
      </x:c>
      <x:c r="W132" s="55" t="str">
        <x:f>IF(AND(U132&lt;&gt;"",U132&lt;TODAY(),O132="Активен"),"ДА","")</x:f>
      </x:c>
      <x:c r="X132" s="55"/>
      <x:c r="Y132" s="55"/>
      <x:c r="Z132" s="55"/>
      <x:c r="AA132" s="55"/>
      <x:c r="AB132" s="55" t="str">
        <x:f>IF(C132="","", "Напиши " &amp; AA132 &amp; " за бизнес: " &amp; C132 &amp; ". Тип: " &amp; D132 &amp; ". Град: " &amp; E132 &amp; ". Проблем: " &amp; L132 &amp; ". Предложение: " &amp; M132 &amp; ". Етап: " &amp; N132 &amp; ". Бележки: " &amp; Y132)</x:f>
      </x:c>
      <x:c r="AC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 t="str">
        <x:f>IF(C133="","",IFERROR(Q133*R133/100,""))</x:f>
      </x:c>
      <x:c r="T133" s="55"/>
      <x:c r="U133" s="55"/>
      <x:c r="V133" s="55" t="str">
        <x:f>IF(U133="","",U133-TODAY())</x:f>
      </x:c>
      <x:c r="W133" s="55" t="str">
        <x:f>IF(AND(U133&lt;&gt;"",U133&lt;TODAY(),O133="Активен"),"ДА","")</x:f>
      </x:c>
      <x:c r="X133" s="55"/>
      <x:c r="Y133" s="55"/>
      <x:c r="Z133" s="55"/>
      <x:c r="AA133" s="55"/>
      <x:c r="AB133" s="55" t="str">
        <x:f>IF(C133="","", "Напиши " &amp; AA133 &amp; " за бизнес: " &amp; C133 &amp; ". Тип: " &amp; D133 &amp; ". Град: " &amp; E133 &amp; ". Проблем: " &amp; L133 &amp; ". Предложение: " &amp; M133 &amp; ". Етап: " &amp; N133 &amp; ". Бележки: " &amp; Y133)</x:f>
      </x:c>
      <x:c r="AC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 t="str">
        <x:f>IF(C134="","",IFERROR(Q134*R134/100,""))</x:f>
      </x:c>
      <x:c r="T134" s="55"/>
      <x:c r="U134" s="55"/>
      <x:c r="V134" s="55" t="str">
        <x:f>IF(U134="","",U134-TODAY())</x:f>
      </x:c>
      <x:c r="W134" s="55" t="str">
        <x:f>IF(AND(U134&lt;&gt;"",U134&lt;TODAY(),O134="Активен"),"ДА","")</x:f>
      </x:c>
      <x:c r="X134" s="55"/>
      <x:c r="Y134" s="55"/>
      <x:c r="Z134" s="55"/>
      <x:c r="AA134" s="55"/>
      <x:c r="AB134" s="55" t="str">
        <x:f>IF(C134="","", "Напиши " &amp; AA134 &amp; " за бизнес: " &amp; C134 &amp; ". Тип: " &amp; D134 &amp; ". Град: " &amp; E134 &amp; ". Проблем: " &amp; L134 &amp; ". Предложение: " &amp; M134 &amp; ". Етап: " &amp; N134 &amp; ". Бележки: " &amp; Y134)</x:f>
      </x:c>
      <x:c r="AC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 t="str">
        <x:f>IF(C135="","",IFERROR(Q135*R135/100,""))</x:f>
      </x:c>
      <x:c r="T135" s="55"/>
      <x:c r="U135" s="55"/>
      <x:c r="V135" s="55" t="str">
        <x:f>IF(U135="","",U135-TODAY())</x:f>
      </x:c>
      <x:c r="W135" s="55" t="str">
        <x:f>IF(AND(U135&lt;&gt;"",U135&lt;TODAY(),O135="Активен"),"ДА","")</x:f>
      </x:c>
      <x:c r="X135" s="55"/>
      <x:c r="Y135" s="55"/>
      <x:c r="Z135" s="55"/>
      <x:c r="AA135" s="55"/>
      <x:c r="AB135" s="55" t="str">
        <x:f>IF(C135="","", "Напиши " &amp; AA135 &amp; " за бизнес: " &amp; C135 &amp; ". Тип: " &amp; D135 &amp; ". Град: " &amp; E135 &amp; ". Проблем: " &amp; L135 &amp; ". Предложение: " &amp; M135 &amp; ". Етап: " &amp; N135 &amp; ". Бележки: " &amp; Y135)</x:f>
      </x:c>
      <x:c r="AC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 t="str">
        <x:f>IF(C136="","",IFERROR(Q136*R136/100,""))</x:f>
      </x:c>
      <x:c r="T136" s="55"/>
      <x:c r="U136" s="55"/>
      <x:c r="V136" s="55" t="str">
        <x:f>IF(U136="","",U136-TODAY())</x:f>
      </x:c>
      <x:c r="W136" s="55" t="str">
        <x:f>IF(AND(U136&lt;&gt;"",U136&lt;TODAY(),O136="Активен"),"ДА","")</x:f>
      </x:c>
      <x:c r="X136" s="55"/>
      <x:c r="Y136" s="55"/>
      <x:c r="Z136" s="55"/>
      <x:c r="AA136" s="55"/>
      <x:c r="AB136" s="55" t="str">
        <x:f>IF(C136="","", "Напиши " &amp; AA136 &amp; " за бизнес: " &amp; C136 &amp; ". Тип: " &amp; D136 &amp; ". Град: " &amp; E136 &amp; ". Проблем: " &amp; L136 &amp; ". Предложение: " &amp; M136 &amp; ". Етап: " &amp; N136 &amp; ". Бележки: " &amp; Y136)</x:f>
      </x:c>
      <x:c r="AC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 t="str">
        <x:f>IF(C137="","",IFERROR(Q137*R137/100,""))</x:f>
      </x:c>
      <x:c r="T137" s="55"/>
      <x:c r="U137" s="55"/>
      <x:c r="V137" s="55" t="str">
        <x:f>IF(U137="","",U137-TODAY())</x:f>
      </x:c>
      <x:c r="W137" s="55" t="str">
        <x:f>IF(AND(U137&lt;&gt;"",U137&lt;TODAY(),O137="Активен"),"ДА","")</x:f>
      </x:c>
      <x:c r="X137" s="55"/>
      <x:c r="Y137" s="55"/>
      <x:c r="Z137" s="55"/>
      <x:c r="AA137" s="55"/>
      <x:c r="AB137" s="55" t="str">
        <x:f>IF(C137="","", "Напиши " &amp; AA137 &amp; " за бизнес: " &amp; C137 &amp; ". Тип: " &amp; D137 &amp; ". Град: " &amp; E137 &amp; ". Проблем: " &amp; L137 &amp; ". Предложение: " &amp; M137 &amp; ". Етап: " &amp; N137 &amp; ". Бележки: " &amp; Y137)</x:f>
      </x:c>
      <x:c r="AC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 t="str">
        <x:f>IF(C138="","",IFERROR(Q138*R138/100,""))</x:f>
      </x:c>
      <x:c r="T138" s="55"/>
      <x:c r="U138" s="55"/>
      <x:c r="V138" s="55" t="str">
        <x:f>IF(U138="","",U138-TODAY())</x:f>
      </x:c>
      <x:c r="W138" s="55" t="str">
        <x:f>IF(AND(U138&lt;&gt;"",U138&lt;TODAY(),O138="Активен"),"ДА","")</x:f>
      </x:c>
      <x:c r="X138" s="55"/>
      <x:c r="Y138" s="55"/>
      <x:c r="Z138" s="55"/>
      <x:c r="AA138" s="55"/>
      <x:c r="AB138" s="55" t="str">
        <x:f>IF(C138="","", "Напиши " &amp; AA138 &amp; " за бизнес: " &amp; C138 &amp; ". Тип: " &amp; D138 &amp; ". Град: " &amp; E138 &amp; ". Проблем: " &amp; L138 &amp; ". Предложение: " &amp; M138 &amp; ". Етап: " &amp; N138 &amp; ". Бележки: " &amp; Y138)</x:f>
      </x:c>
      <x:c r="AC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 t="str">
        <x:f>IF(C139="","",IFERROR(Q139*R139/100,""))</x:f>
      </x:c>
      <x:c r="T139" s="55"/>
      <x:c r="U139" s="55"/>
      <x:c r="V139" s="55" t="str">
        <x:f>IF(U139="","",U139-TODAY())</x:f>
      </x:c>
      <x:c r="W139" s="55" t="str">
        <x:f>IF(AND(U139&lt;&gt;"",U139&lt;TODAY(),O139="Активен"),"ДА","")</x:f>
      </x:c>
      <x:c r="X139" s="55"/>
      <x:c r="Y139" s="55"/>
      <x:c r="Z139" s="55"/>
      <x:c r="AA139" s="55"/>
      <x:c r="AB139" s="55" t="str">
        <x:f>IF(C139="","", "Напиши " &amp; AA139 &amp; " за бизнес: " &amp; C139 &amp; ". Тип: " &amp; D139 &amp; ". Град: " &amp; E139 &amp; ". Проблем: " &amp; L139 &amp; ". Предложение: " &amp; M139 &amp; ". Етап: " &amp; N139 &amp; ". Бележки: " &amp; Y139)</x:f>
      </x:c>
      <x:c r="AC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 t="str">
        <x:f>IF(C140="","",IFERROR(Q140*R140/100,""))</x:f>
      </x:c>
      <x:c r="T140" s="55"/>
      <x:c r="U140" s="55"/>
      <x:c r="V140" s="55" t="str">
        <x:f>IF(U140="","",U140-TODAY())</x:f>
      </x:c>
      <x:c r="W140" s="55" t="str">
        <x:f>IF(AND(U140&lt;&gt;"",U140&lt;TODAY(),O140="Активен"),"ДА","")</x:f>
      </x:c>
      <x:c r="X140" s="55"/>
      <x:c r="Y140" s="55"/>
      <x:c r="Z140" s="55"/>
      <x:c r="AA140" s="55"/>
      <x:c r="AB140" s="55" t="str">
        <x:f>IF(C140="","", "Напиши " &amp; AA140 &amp; " за бизнес: " &amp; C140 &amp; ". Тип: " &amp; D140 &amp; ". Град: " &amp; E140 &amp; ". Проблем: " &amp; L140 &amp; ". Предложение: " &amp; M140 &amp; ". Етап: " &amp; N140 &amp; ". Бележки: " &amp; Y140)</x:f>
      </x:c>
      <x:c r="AC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 t="str">
        <x:f>IF(C141="","",IFERROR(Q141*R141/100,""))</x:f>
      </x:c>
      <x:c r="T141" s="55"/>
      <x:c r="U141" s="55"/>
      <x:c r="V141" s="55" t="str">
        <x:f>IF(U141="","",U141-TODAY())</x:f>
      </x:c>
      <x:c r="W141" s="55" t="str">
        <x:f>IF(AND(U141&lt;&gt;"",U141&lt;TODAY(),O141="Активен"),"ДА","")</x:f>
      </x:c>
      <x:c r="X141" s="55"/>
      <x:c r="Y141" s="55"/>
      <x:c r="Z141" s="55"/>
      <x:c r="AA141" s="55"/>
      <x:c r="AB141" s="55" t="str">
        <x:f>IF(C141="","", "Напиши " &amp; AA141 &amp; " за бизнес: " &amp; C141 &amp; ". Тип: " &amp; D141 &amp; ". Град: " &amp; E141 &amp; ". Проблем: " &amp; L141 &amp; ". Предложение: " &amp; M141 &amp; ". Етап: " &amp; N141 &amp; ". Бележки: " &amp; Y141)</x:f>
      </x:c>
      <x:c r="AC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 t="str">
        <x:f>IF(C142="","",IFERROR(Q142*R142/100,""))</x:f>
      </x:c>
      <x:c r="T142" s="55"/>
      <x:c r="U142" s="55"/>
      <x:c r="V142" s="55" t="str">
        <x:f>IF(U142="","",U142-TODAY())</x:f>
      </x:c>
      <x:c r="W142" s="55" t="str">
        <x:f>IF(AND(U142&lt;&gt;"",U142&lt;TODAY(),O142="Активен"),"ДА","")</x:f>
      </x:c>
      <x:c r="X142" s="55"/>
      <x:c r="Y142" s="55"/>
      <x:c r="Z142" s="55"/>
      <x:c r="AA142" s="55"/>
      <x:c r="AB142" s="55" t="str">
        <x:f>IF(C142="","", "Напиши " &amp; AA142 &amp; " за бизнес: " &amp; C142 &amp; ". Тип: " &amp; D142 &amp; ". Град: " &amp; E142 &amp; ". Проблем: " &amp; L142 &amp; ". Предложение: " &amp; M142 &amp; ". Етап: " &amp; N142 &amp; ". Бележки: " &amp; Y142)</x:f>
      </x:c>
      <x:c r="AC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 t="str">
        <x:f>IF(C143="","",IFERROR(Q143*R143/100,""))</x:f>
      </x:c>
      <x:c r="T143" s="55"/>
      <x:c r="U143" s="55"/>
      <x:c r="V143" s="55" t="str">
        <x:f>IF(U143="","",U143-TODAY())</x:f>
      </x:c>
      <x:c r="W143" s="55" t="str">
        <x:f>IF(AND(U143&lt;&gt;"",U143&lt;TODAY(),O143="Активен"),"ДА","")</x:f>
      </x:c>
      <x:c r="X143" s="55"/>
      <x:c r="Y143" s="55"/>
      <x:c r="Z143" s="55"/>
      <x:c r="AA143" s="55"/>
      <x:c r="AB143" s="55" t="str">
        <x:f>IF(C143="","", "Напиши " &amp; AA143 &amp; " за бизнес: " &amp; C143 &amp; ". Тип: " &amp; D143 &amp; ". Град: " &amp; E143 &amp; ". Проблем: " &amp; L143 &amp; ". Предложение: " &amp; M143 &amp; ". Етап: " &amp; N143 &amp; ". Бележки: " &amp; Y143)</x:f>
      </x:c>
      <x:c r="AC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 t="str">
        <x:f>IF(C144="","",IFERROR(Q144*R144/100,""))</x:f>
      </x:c>
      <x:c r="T144" s="55"/>
      <x:c r="U144" s="55"/>
      <x:c r="V144" s="55" t="str">
        <x:f>IF(U144="","",U144-TODAY())</x:f>
      </x:c>
      <x:c r="W144" s="55" t="str">
        <x:f>IF(AND(U144&lt;&gt;"",U144&lt;TODAY(),O144="Активен"),"ДА","")</x:f>
      </x:c>
      <x:c r="X144" s="55"/>
      <x:c r="Y144" s="55"/>
      <x:c r="Z144" s="55"/>
      <x:c r="AA144" s="55"/>
      <x:c r="AB144" s="55" t="str">
        <x:f>IF(C144="","", "Напиши " &amp; AA144 &amp; " за бизнес: " &amp; C144 &amp; ". Тип: " &amp; D144 &amp; ". Град: " &amp; E144 &amp; ". Проблем: " &amp; L144 &amp; ". Предложение: " &amp; M144 &amp; ". Етап: " &amp; N144 &amp; ". Бележки: " &amp; Y144)</x:f>
      </x:c>
      <x:c r="AC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 t="str">
        <x:f>IF(C145="","",IFERROR(Q145*R145/100,""))</x:f>
      </x:c>
      <x:c r="T145" s="55"/>
      <x:c r="U145" s="55"/>
      <x:c r="V145" s="55" t="str">
        <x:f>IF(U145="","",U145-TODAY())</x:f>
      </x:c>
      <x:c r="W145" s="55" t="str">
        <x:f>IF(AND(U145&lt;&gt;"",U145&lt;TODAY(),O145="Активен"),"ДА","")</x:f>
      </x:c>
      <x:c r="X145" s="55"/>
      <x:c r="Y145" s="55"/>
      <x:c r="Z145" s="55"/>
      <x:c r="AA145" s="55"/>
      <x:c r="AB145" s="55" t="str">
        <x:f>IF(C145="","", "Напиши " &amp; AA145 &amp; " за бизнес: " &amp; C145 &amp; ". Тип: " &amp; D145 &amp; ". Град: " &amp; E145 &amp; ". Проблем: " &amp; L145 &amp; ". Предложение: " &amp; M145 &amp; ". Етап: " &amp; N145 &amp; ". Бележки: " &amp; Y145)</x:f>
      </x:c>
      <x:c r="AC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 t="str">
        <x:f>IF(C146="","",IFERROR(Q146*R146/100,""))</x:f>
      </x:c>
      <x:c r="T146" s="55"/>
      <x:c r="U146" s="55"/>
      <x:c r="V146" s="55" t="str">
        <x:f>IF(U146="","",U146-TODAY())</x:f>
      </x:c>
      <x:c r="W146" s="55" t="str">
        <x:f>IF(AND(U146&lt;&gt;"",U146&lt;TODAY(),O146="Активен"),"ДА","")</x:f>
      </x:c>
      <x:c r="X146" s="55"/>
      <x:c r="Y146" s="55"/>
      <x:c r="Z146" s="55"/>
      <x:c r="AA146" s="55"/>
      <x:c r="AB146" s="55" t="str">
        <x:f>IF(C146="","", "Напиши " &amp; AA146 &amp; " за бизнес: " &amp; C146 &amp; ". Тип: " &amp; D146 &amp; ". Град: " &amp; E146 &amp; ". Проблем: " &amp; L146 &amp; ". Предложение: " &amp; M146 &amp; ". Етап: " &amp; N146 &amp; ". Бележки: " &amp; Y146)</x:f>
      </x:c>
      <x:c r="AC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 t="str">
        <x:f>IF(C147="","",IFERROR(Q147*R147/100,""))</x:f>
      </x:c>
      <x:c r="T147" s="55"/>
      <x:c r="U147" s="55"/>
      <x:c r="V147" s="55" t="str">
        <x:f>IF(U147="","",U147-TODAY())</x:f>
      </x:c>
      <x:c r="W147" s="55" t="str">
        <x:f>IF(AND(U147&lt;&gt;"",U147&lt;TODAY(),O147="Активен"),"ДА","")</x:f>
      </x:c>
      <x:c r="X147" s="55"/>
      <x:c r="Y147" s="55"/>
      <x:c r="Z147" s="55"/>
      <x:c r="AA147" s="55"/>
      <x:c r="AB147" s="55" t="str">
        <x:f>IF(C147="","", "Напиши " &amp; AA147 &amp; " за бизнес: " &amp; C147 &amp; ". Тип: " &amp; D147 &amp; ". Град: " &amp; E147 &amp; ". Проблем: " &amp; L147 &amp; ". Предложение: " &amp; M147 &amp; ". Етап: " &amp; N147 &amp; ". Бележки: " &amp; Y147)</x:f>
      </x:c>
      <x:c r="AC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 t="str">
        <x:f>IF(C148="","",IFERROR(Q148*R148/100,""))</x:f>
      </x:c>
      <x:c r="T148" s="55"/>
      <x:c r="U148" s="55"/>
      <x:c r="V148" s="55" t="str">
        <x:f>IF(U148="","",U148-TODAY())</x:f>
      </x:c>
      <x:c r="W148" s="55" t="str">
        <x:f>IF(AND(U148&lt;&gt;"",U148&lt;TODAY(),O148="Активен"),"ДА","")</x:f>
      </x:c>
      <x:c r="X148" s="55"/>
      <x:c r="Y148" s="55"/>
      <x:c r="Z148" s="55"/>
      <x:c r="AA148" s="55"/>
      <x:c r="AB148" s="55" t="str">
        <x:f>IF(C148="","", "Напиши " &amp; AA148 &amp; " за бизнес: " &amp; C148 &amp; ". Тип: " &amp; D148 &amp; ". Град: " &amp; E148 &amp; ". Проблем: " &amp; L148 &amp; ". Предложение: " &amp; M148 &amp; ". Етап: " &amp; N148 &amp; ". Бележки: " &amp; Y148)</x:f>
      </x:c>
      <x:c r="AC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 t="str">
        <x:f>IF(C149="","",IFERROR(Q149*R149/100,""))</x:f>
      </x:c>
      <x:c r="T149" s="55"/>
      <x:c r="U149" s="55"/>
      <x:c r="V149" s="55" t="str">
        <x:f>IF(U149="","",U149-TODAY())</x:f>
      </x:c>
      <x:c r="W149" s="55" t="str">
        <x:f>IF(AND(U149&lt;&gt;"",U149&lt;TODAY(),O149="Активен"),"ДА","")</x:f>
      </x:c>
      <x:c r="X149" s="55"/>
      <x:c r="Y149" s="55"/>
      <x:c r="Z149" s="55"/>
      <x:c r="AA149" s="55"/>
      <x:c r="AB149" s="55" t="str">
        <x:f>IF(C149="","", "Напиши " &amp; AA149 &amp; " за бизнес: " &amp; C149 &amp; ". Тип: " &amp; D149 &amp; ". Град: " &amp; E149 &amp; ". Проблем: " &amp; L149 &amp; ". Предложение: " &amp; M149 &amp; ". Етап: " &amp; N149 &amp; ". Бележки: " &amp; Y149)</x:f>
      </x:c>
      <x:c r="AC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 t="str">
        <x:f>IF(C150="","",IFERROR(Q150*R150/100,""))</x:f>
      </x:c>
      <x:c r="T150" s="55"/>
      <x:c r="U150" s="55"/>
      <x:c r="V150" s="55" t="str">
        <x:f>IF(U150="","",U150-TODAY())</x:f>
      </x:c>
      <x:c r="W150" s="55" t="str">
        <x:f>IF(AND(U150&lt;&gt;"",U150&lt;TODAY(),O150="Активен"),"ДА","")</x:f>
      </x:c>
      <x:c r="X150" s="55"/>
      <x:c r="Y150" s="55"/>
      <x:c r="Z150" s="55"/>
      <x:c r="AA150" s="55"/>
      <x:c r="AB150" s="55" t="str">
        <x:f>IF(C150="","", "Напиши " &amp; AA150 &amp; " за бизнес: " &amp; C150 &amp; ". Тип: " &amp; D150 &amp; ". Град: " &amp; E150 &amp; ". Проблем: " &amp; L150 &amp; ". Предложение: " &amp; M150 &amp; ". Етап: " &amp; N150 &amp; ". Бележки: " &amp; Y150)</x:f>
      </x:c>
      <x:c r="AC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 t="str">
        <x:f>IF(C151="","",IFERROR(Q151*R151/100,""))</x:f>
      </x:c>
      <x:c r="T151" s="55"/>
      <x:c r="U151" s="55"/>
      <x:c r="V151" s="55" t="str">
        <x:f>IF(U151="","",U151-TODAY())</x:f>
      </x:c>
      <x:c r="W151" s="55" t="str">
        <x:f>IF(AND(U151&lt;&gt;"",U151&lt;TODAY(),O151="Активен"),"ДА","")</x:f>
      </x:c>
      <x:c r="X151" s="55"/>
      <x:c r="Y151" s="55"/>
      <x:c r="Z151" s="55"/>
      <x:c r="AA151" s="55"/>
      <x:c r="AB151" s="55" t="str">
        <x:f>IF(C151="","", "Напиши " &amp; AA151 &amp; " за бизнес: " &amp; C151 &amp; ". Тип: " &amp; D151 &amp; ". Град: " &amp; E151 &amp; ". Проблем: " &amp; L151 &amp; ". Предложение: " &amp; M151 &amp; ". Етап: " &amp; N151 &amp; ". Бележки: " &amp; Y151)</x:f>
      </x:c>
      <x:c r="AC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 t="str">
        <x:f>IF(C152="","",IFERROR(Q152*R152/100,""))</x:f>
      </x:c>
      <x:c r="T152" s="55"/>
      <x:c r="U152" s="55"/>
      <x:c r="V152" s="55" t="str">
        <x:f>IF(U152="","",U152-TODAY())</x:f>
      </x:c>
      <x:c r="W152" s="55" t="str">
        <x:f>IF(AND(U152&lt;&gt;"",U152&lt;TODAY(),O152="Активен"),"ДА","")</x:f>
      </x:c>
      <x:c r="X152" s="55"/>
      <x:c r="Y152" s="55"/>
      <x:c r="Z152" s="55"/>
      <x:c r="AA152" s="55"/>
      <x:c r="AB152" s="55" t="str">
        <x:f>IF(C152="","", "Напиши " &amp; AA152 &amp; " за бизнес: " &amp; C152 &amp; ". Тип: " &amp; D152 &amp; ". Град: " &amp; E152 &amp; ". Проблем: " &amp; L152 &amp; ". Предложение: " &amp; M152 &amp; ". Етап: " &amp; N152 &amp; ". Бележки: " &amp; Y152)</x:f>
      </x:c>
      <x:c r="AC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 t="str">
        <x:f>IF(C153="","",IFERROR(Q153*R153/100,""))</x:f>
      </x:c>
      <x:c r="T153" s="55"/>
      <x:c r="U153" s="55"/>
      <x:c r="V153" s="55" t="str">
        <x:f>IF(U153="","",U153-TODAY())</x:f>
      </x:c>
      <x:c r="W153" s="55" t="str">
        <x:f>IF(AND(U153&lt;&gt;"",U153&lt;TODAY(),O153="Активен"),"ДА","")</x:f>
      </x:c>
      <x:c r="X153" s="55"/>
      <x:c r="Y153" s="55"/>
      <x:c r="Z153" s="55"/>
      <x:c r="AA153" s="55"/>
      <x:c r="AB153" s="55" t="str">
        <x:f>IF(C153="","", "Напиши " &amp; AA153 &amp; " за бизнес: " &amp; C153 &amp; ". Тип: " &amp; D153 &amp; ". Град: " &amp; E153 &amp; ". Проблем: " &amp; L153 &amp; ". Предложение: " &amp; M153 &amp; ". Етап: " &amp; N153 &amp; ". Бележки: " &amp; Y153)</x:f>
      </x:c>
      <x:c r="AC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 t="str">
        <x:f>IF(C154="","",IFERROR(Q154*R154/100,""))</x:f>
      </x:c>
      <x:c r="T154" s="55"/>
      <x:c r="U154" s="55"/>
      <x:c r="V154" s="55" t="str">
        <x:f>IF(U154="","",U154-TODAY())</x:f>
      </x:c>
      <x:c r="W154" s="55" t="str">
        <x:f>IF(AND(U154&lt;&gt;"",U154&lt;TODAY(),O154="Активен"),"ДА","")</x:f>
      </x:c>
      <x:c r="X154" s="55"/>
      <x:c r="Y154" s="55"/>
      <x:c r="Z154" s="55"/>
      <x:c r="AA154" s="55"/>
      <x:c r="AB154" s="55" t="str">
        <x:f>IF(C154="","", "Напиши " &amp; AA154 &amp; " за бизнес: " &amp; C154 &amp; ". Тип: " &amp; D154 &amp; ". Град: " &amp; E154 &amp; ". Проблем: " &amp; L154 &amp; ". Предложение: " &amp; M154 &amp; ". Етап: " &amp; N154 &amp; ". Бележки: " &amp; Y154)</x:f>
      </x:c>
      <x:c r="AC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 t="str">
        <x:f>IF(C155="","",IFERROR(Q155*R155/100,""))</x:f>
      </x:c>
      <x:c r="T155" s="55"/>
      <x:c r="U155" s="55"/>
      <x:c r="V155" s="55" t="str">
        <x:f>IF(U155="","",U155-TODAY())</x:f>
      </x:c>
      <x:c r="W155" s="55" t="str">
        <x:f>IF(AND(U155&lt;&gt;"",U155&lt;TODAY(),O155="Активен"),"ДА","")</x:f>
      </x:c>
      <x:c r="X155" s="55"/>
      <x:c r="Y155" s="55"/>
      <x:c r="Z155" s="55"/>
      <x:c r="AA155" s="55"/>
      <x:c r="AB155" s="55" t="str">
        <x:f>IF(C155="","", "Напиши " &amp; AA155 &amp; " за бизнес: " &amp; C155 &amp; ". Тип: " &amp; D155 &amp; ". Град: " &amp; E155 &amp; ". Проблем: " &amp; L155 &amp; ". Предложение: " &amp; M155 &amp; ". Етап: " &amp; N155 &amp; ". Бележки: " &amp; Y155)</x:f>
      </x:c>
      <x:c r="AC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 t="str">
        <x:f>IF(C156="","",IFERROR(Q156*R156/100,""))</x:f>
      </x:c>
      <x:c r="T156" s="55"/>
      <x:c r="U156" s="55"/>
      <x:c r="V156" s="55" t="str">
        <x:f>IF(U156="","",U156-TODAY())</x:f>
      </x:c>
      <x:c r="W156" s="55" t="str">
        <x:f>IF(AND(U156&lt;&gt;"",U156&lt;TODAY(),O156="Активен"),"ДА","")</x:f>
      </x:c>
      <x:c r="X156" s="55"/>
      <x:c r="Y156" s="55"/>
      <x:c r="Z156" s="55"/>
      <x:c r="AA156" s="55"/>
      <x:c r="AB156" s="55" t="str">
        <x:f>IF(C156="","", "Напиши " &amp; AA156 &amp; " за бизнес: " &amp; C156 &amp; ". Тип: " &amp; D156 &amp; ". Град: " &amp; E156 &amp; ". Проблем: " &amp; L156 &amp; ". Предложение: " &amp; M156 &amp; ". Етап: " &amp; N156 &amp; ". Бележки: " &amp; Y156)</x:f>
      </x:c>
      <x:c r="AC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 t="str">
        <x:f>IF(C157="","",IFERROR(Q157*R157/100,""))</x:f>
      </x:c>
      <x:c r="T157" s="55"/>
      <x:c r="U157" s="55"/>
      <x:c r="V157" s="55" t="str">
        <x:f>IF(U157="","",U157-TODAY())</x:f>
      </x:c>
      <x:c r="W157" s="55" t="str">
        <x:f>IF(AND(U157&lt;&gt;"",U157&lt;TODAY(),O157="Активен"),"ДА","")</x:f>
      </x:c>
      <x:c r="X157" s="55"/>
      <x:c r="Y157" s="55"/>
      <x:c r="Z157" s="55"/>
      <x:c r="AA157" s="55"/>
      <x:c r="AB157" s="55" t="str">
        <x:f>IF(C157="","", "Напиши " &amp; AA157 &amp; " за бизнес: " &amp; C157 &amp; ". Тип: " &amp; D157 &amp; ". Град: " &amp; E157 &amp; ". Проблем: " &amp; L157 &amp; ". Предложение: " &amp; M157 &amp; ". Етап: " &amp; N157 &amp; ". Бележки: " &amp; Y157)</x:f>
      </x:c>
      <x:c r="AC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 t="str">
        <x:f>IF(C158="","",IFERROR(Q158*R158/100,""))</x:f>
      </x:c>
      <x:c r="T158" s="55"/>
      <x:c r="U158" s="55"/>
      <x:c r="V158" s="55" t="str">
        <x:f>IF(U158="","",U158-TODAY())</x:f>
      </x:c>
      <x:c r="W158" s="55" t="str">
        <x:f>IF(AND(U158&lt;&gt;"",U158&lt;TODAY(),O158="Активен"),"ДА","")</x:f>
      </x:c>
      <x:c r="X158" s="55"/>
      <x:c r="Y158" s="55"/>
      <x:c r="Z158" s="55"/>
      <x:c r="AA158" s="55"/>
      <x:c r="AB158" s="55" t="str">
        <x:f>IF(C158="","", "Напиши " &amp; AA158 &amp; " за бизнес: " &amp; C158 &amp; ". Тип: " &amp; D158 &amp; ". Град: " &amp; E158 &amp; ". Проблем: " &amp; L158 &amp; ". Предложение: " &amp; M158 &amp; ". Етап: " &amp; N158 &amp; ". Бележки: " &amp; Y158)</x:f>
      </x:c>
      <x:c r="AC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 t="str">
        <x:f>IF(C159="","",IFERROR(Q159*R159/100,""))</x:f>
      </x:c>
      <x:c r="T159" s="55"/>
      <x:c r="U159" s="55"/>
      <x:c r="V159" s="55" t="str">
        <x:f>IF(U159="","",U159-TODAY())</x:f>
      </x:c>
      <x:c r="W159" s="55" t="str">
        <x:f>IF(AND(U159&lt;&gt;"",U159&lt;TODAY(),O159="Активен"),"ДА","")</x:f>
      </x:c>
      <x:c r="X159" s="55"/>
      <x:c r="Y159" s="55"/>
      <x:c r="Z159" s="55"/>
      <x:c r="AA159" s="55"/>
      <x:c r="AB159" s="55" t="str">
        <x:f>IF(C159="","", "Напиши " &amp; AA159 &amp; " за бизнес: " &amp; C159 &amp; ". Тип: " &amp; D159 &amp; ". Град: " &amp; E159 &amp; ". Проблем: " &amp; L159 &amp; ". Предложение: " &amp; M159 &amp; ". Етап: " &amp; N159 &amp; ". Бележки: " &amp; Y159)</x:f>
      </x:c>
      <x:c r="AC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 t="str">
        <x:f>IF(C160="","",IFERROR(Q160*R160/100,""))</x:f>
      </x:c>
      <x:c r="T160" s="55"/>
      <x:c r="U160" s="55"/>
      <x:c r="V160" s="55" t="str">
        <x:f>IF(U160="","",U160-TODAY())</x:f>
      </x:c>
      <x:c r="W160" s="55" t="str">
        <x:f>IF(AND(U160&lt;&gt;"",U160&lt;TODAY(),O160="Активен"),"ДА","")</x:f>
      </x:c>
      <x:c r="X160" s="55"/>
      <x:c r="Y160" s="55"/>
      <x:c r="Z160" s="55"/>
      <x:c r="AA160" s="55"/>
      <x:c r="AB160" s="55" t="str">
        <x:f>IF(C160="","", "Напиши " &amp; AA160 &amp; " за бизнес: " &amp; C160 &amp; ". Тип: " &amp; D160 &amp; ". Град: " &amp; E160 &amp; ". Проблем: " &amp; L160 &amp; ". Предложение: " &amp; M160 &amp; ". Етап: " &amp; N160 &amp; ". Бележки: " &amp; Y160)</x:f>
      </x:c>
      <x:c r="AC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 t="str">
        <x:f>IF(C161="","",IFERROR(Q161*R161/100,""))</x:f>
      </x:c>
      <x:c r="T161" s="55"/>
      <x:c r="U161" s="55"/>
      <x:c r="V161" s="55" t="str">
        <x:f>IF(U161="","",U161-TODAY())</x:f>
      </x:c>
      <x:c r="W161" s="55" t="str">
        <x:f>IF(AND(U161&lt;&gt;"",U161&lt;TODAY(),O161="Активен"),"ДА","")</x:f>
      </x:c>
      <x:c r="X161" s="55"/>
      <x:c r="Y161" s="55"/>
      <x:c r="Z161" s="55"/>
      <x:c r="AA161" s="55"/>
      <x:c r="AB161" s="55" t="str">
        <x:f>IF(C161="","", "Напиши " &amp; AA161 &amp; " за бизнес: " &amp; C161 &amp; ". Тип: " &amp; D161 &amp; ". Град: " &amp; E161 &amp; ". Проблем: " &amp; L161 &amp; ". Предложение: " &amp; M161 &amp; ". Етап: " &amp; N161 &amp; ". Бележки: " &amp; Y161)</x:f>
      </x:c>
      <x:c r="AC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 t="str">
        <x:f>IF(C162="","",IFERROR(Q162*R162/100,""))</x:f>
      </x:c>
      <x:c r="T162" s="55"/>
      <x:c r="U162" s="55"/>
      <x:c r="V162" s="55" t="str">
        <x:f>IF(U162="","",U162-TODAY())</x:f>
      </x:c>
      <x:c r="W162" s="55" t="str">
        <x:f>IF(AND(U162&lt;&gt;"",U162&lt;TODAY(),O162="Активен"),"ДА","")</x:f>
      </x:c>
      <x:c r="X162" s="55"/>
      <x:c r="Y162" s="55"/>
      <x:c r="Z162" s="55"/>
      <x:c r="AA162" s="55"/>
      <x:c r="AB162" s="55" t="str">
        <x:f>IF(C162="","", "Напиши " &amp; AA162 &amp; " за бизнес: " &amp; C162 &amp; ". Тип: " &amp; D162 &amp; ". Град: " &amp; E162 &amp; ". Проблем: " &amp; L162 &amp; ". Предложение: " &amp; M162 &amp; ". Етап: " &amp; N162 &amp; ". Бележки: " &amp; Y162)</x:f>
      </x:c>
      <x:c r="AC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 t="str">
        <x:f>IF(C163="","",IFERROR(Q163*R163/100,""))</x:f>
      </x:c>
      <x:c r="T163" s="55"/>
      <x:c r="U163" s="55"/>
      <x:c r="V163" s="55" t="str">
        <x:f>IF(U163="","",U163-TODAY())</x:f>
      </x:c>
      <x:c r="W163" s="55" t="str">
        <x:f>IF(AND(U163&lt;&gt;"",U163&lt;TODAY(),O163="Активен"),"ДА","")</x:f>
      </x:c>
      <x:c r="X163" s="55"/>
      <x:c r="Y163" s="55"/>
      <x:c r="Z163" s="55"/>
      <x:c r="AA163" s="55"/>
      <x:c r="AB163" s="55" t="str">
        <x:f>IF(C163="","", "Напиши " &amp; AA163 &amp; " за бизнес: " &amp; C163 &amp; ". Тип: " &amp; D163 &amp; ". Град: " &amp; E163 &amp; ". Проблем: " &amp; L163 &amp; ". Предложение: " &amp; M163 &amp; ". Етап: " &amp; N163 &amp; ". Бележки: " &amp; Y163)</x:f>
      </x:c>
      <x:c r="AC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 t="str">
        <x:f>IF(C164="","",IFERROR(Q164*R164/100,""))</x:f>
      </x:c>
      <x:c r="T164" s="55"/>
      <x:c r="U164" s="55"/>
      <x:c r="V164" s="55" t="str">
        <x:f>IF(U164="","",U164-TODAY())</x:f>
      </x:c>
      <x:c r="W164" s="55" t="str">
        <x:f>IF(AND(U164&lt;&gt;"",U164&lt;TODAY(),O164="Активен"),"ДА","")</x:f>
      </x:c>
      <x:c r="X164" s="55"/>
      <x:c r="Y164" s="55"/>
      <x:c r="Z164" s="55"/>
      <x:c r="AA164" s="55"/>
      <x:c r="AB164" s="55" t="str">
        <x:f>IF(C164="","", "Напиши " &amp; AA164 &amp; " за бизнес: " &amp; C164 &amp; ". Тип: " &amp; D164 &amp; ". Град: " &amp; E164 &amp; ". Проблем: " &amp; L164 &amp; ". Предложение: " &amp; M164 &amp; ". Етап: " &amp; N164 &amp; ". Бележки: " &amp; Y164)</x:f>
      </x:c>
      <x:c r="AC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 t="str">
        <x:f>IF(C165="","",IFERROR(Q165*R165/100,""))</x:f>
      </x:c>
      <x:c r="T165" s="55"/>
      <x:c r="U165" s="55"/>
      <x:c r="V165" s="55" t="str">
        <x:f>IF(U165="","",U165-TODAY())</x:f>
      </x:c>
      <x:c r="W165" s="55" t="str">
        <x:f>IF(AND(U165&lt;&gt;"",U165&lt;TODAY(),O165="Активен"),"ДА","")</x:f>
      </x:c>
      <x:c r="X165" s="55"/>
      <x:c r="Y165" s="55"/>
      <x:c r="Z165" s="55"/>
      <x:c r="AA165" s="55"/>
      <x:c r="AB165" s="55" t="str">
        <x:f>IF(C165="","", "Напиши " &amp; AA165 &amp; " за бизнес: " &amp; C165 &amp; ". Тип: " &amp; D165 &amp; ". Град: " &amp; E165 &amp; ". Проблем: " &amp; L165 &amp; ". Предложение: " &amp; M165 &amp; ". Етап: " &amp; N165 &amp; ". Бележки: " &amp; Y165)</x:f>
      </x:c>
      <x:c r="AC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 t="str">
        <x:f>IF(C166="","",IFERROR(Q166*R166/100,""))</x:f>
      </x:c>
      <x:c r="T166" s="55"/>
      <x:c r="U166" s="55"/>
      <x:c r="V166" s="55" t="str">
        <x:f>IF(U166="","",U166-TODAY())</x:f>
      </x:c>
      <x:c r="W166" s="55" t="str">
        <x:f>IF(AND(U166&lt;&gt;"",U166&lt;TODAY(),O166="Активен"),"ДА","")</x:f>
      </x:c>
      <x:c r="X166" s="55"/>
      <x:c r="Y166" s="55"/>
      <x:c r="Z166" s="55"/>
      <x:c r="AA166" s="55"/>
      <x:c r="AB166" s="55" t="str">
        <x:f>IF(C166="","", "Напиши " &amp; AA166 &amp; " за бизнес: " &amp; C166 &amp; ". Тип: " &amp; D166 &amp; ". Град: " &amp; E166 &amp; ". Проблем: " &amp; L166 &amp; ". Предложение: " &amp; M166 &amp; ". Етап: " &amp; N166 &amp; ". Бележки: " &amp; Y166)</x:f>
      </x:c>
      <x:c r="AC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 t="str">
        <x:f>IF(C167="","",IFERROR(Q167*R167/100,""))</x:f>
      </x:c>
      <x:c r="T167" s="55"/>
      <x:c r="U167" s="55"/>
      <x:c r="V167" s="55" t="str">
        <x:f>IF(U167="","",U167-TODAY())</x:f>
      </x:c>
      <x:c r="W167" s="55" t="str">
        <x:f>IF(AND(U167&lt;&gt;"",U167&lt;TODAY(),O167="Активен"),"ДА","")</x:f>
      </x:c>
      <x:c r="X167" s="55"/>
      <x:c r="Y167" s="55"/>
      <x:c r="Z167" s="55"/>
      <x:c r="AA167" s="55"/>
      <x:c r="AB167" s="55" t="str">
        <x:f>IF(C167="","", "Напиши " &amp; AA167 &amp; " за бизнес: " &amp; C167 &amp; ". Тип: " &amp; D167 &amp; ". Град: " &amp; E167 &amp; ". Проблем: " &amp; L167 &amp; ". Предложение: " &amp; M167 &amp; ". Етап: " &amp; N167 &amp; ". Бележки: " &amp; Y167)</x:f>
      </x:c>
      <x:c r="AC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 t="str">
        <x:f>IF(C168="","",IFERROR(Q168*R168/100,""))</x:f>
      </x:c>
      <x:c r="T168" s="55"/>
      <x:c r="U168" s="55"/>
      <x:c r="V168" s="55" t="str">
        <x:f>IF(U168="","",U168-TODAY())</x:f>
      </x:c>
      <x:c r="W168" s="55" t="str">
        <x:f>IF(AND(U168&lt;&gt;"",U168&lt;TODAY(),O168="Активен"),"ДА","")</x:f>
      </x:c>
      <x:c r="X168" s="55"/>
      <x:c r="Y168" s="55"/>
      <x:c r="Z168" s="55"/>
      <x:c r="AA168" s="55"/>
      <x:c r="AB168" s="55" t="str">
        <x:f>IF(C168="","", "Напиши " &amp; AA168 &amp; " за бизнес: " &amp; C168 &amp; ". Тип: " &amp; D168 &amp; ". Град: " &amp; E168 &amp; ". Проблем: " &amp; L168 &amp; ". Предложение: " &amp; M168 &amp; ". Етап: " &amp; N168 &amp; ". Бележки: " &amp; Y168)</x:f>
      </x:c>
      <x:c r="AC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 t="str">
        <x:f>IF(C169="","",IFERROR(Q169*R169/100,""))</x:f>
      </x:c>
      <x:c r="T169" s="55"/>
      <x:c r="U169" s="55"/>
      <x:c r="V169" s="55" t="str">
        <x:f>IF(U169="","",U169-TODAY())</x:f>
      </x:c>
      <x:c r="W169" s="55" t="str">
        <x:f>IF(AND(U169&lt;&gt;"",U169&lt;TODAY(),O169="Активен"),"ДА","")</x:f>
      </x:c>
      <x:c r="X169" s="55"/>
      <x:c r="Y169" s="55"/>
      <x:c r="Z169" s="55"/>
      <x:c r="AA169" s="55"/>
      <x:c r="AB169" s="55" t="str">
        <x:f>IF(C169="","", "Напиши " &amp; AA169 &amp; " за бизнес: " &amp; C169 &amp; ". Тип: " &amp; D169 &amp; ". Град: " &amp; E169 &amp; ". Проблем: " &amp; L169 &amp; ". Предложение: " &amp; M169 &amp; ". Етап: " &amp; N169 &amp; ". Бележки: " &amp; Y169)</x:f>
      </x:c>
      <x:c r="AC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 t="str">
        <x:f>IF(C170="","",IFERROR(Q170*R170/100,""))</x:f>
      </x:c>
      <x:c r="T170" s="55"/>
      <x:c r="U170" s="55"/>
      <x:c r="V170" s="55" t="str">
        <x:f>IF(U170="","",U170-TODAY())</x:f>
      </x:c>
      <x:c r="W170" s="55" t="str">
        <x:f>IF(AND(U170&lt;&gt;"",U170&lt;TODAY(),O170="Активен"),"ДА","")</x:f>
      </x:c>
      <x:c r="X170" s="55"/>
      <x:c r="Y170" s="55"/>
      <x:c r="Z170" s="55"/>
      <x:c r="AA170" s="55"/>
      <x:c r="AB170" s="55" t="str">
        <x:f>IF(C170="","", "Напиши " &amp; AA170 &amp; " за бизнес: " &amp; C170 &amp; ". Тип: " &amp; D170 &amp; ". Град: " &amp; E170 &amp; ". Проблем: " &amp; L170 &amp; ". Предложение: " &amp; M170 &amp; ". Етап: " &amp; N170 &amp; ". Бележки: " &amp; Y170)</x:f>
      </x:c>
      <x:c r="AC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 t="str">
        <x:f>IF(C171="","",IFERROR(Q171*R171/100,""))</x:f>
      </x:c>
      <x:c r="T171" s="55"/>
      <x:c r="U171" s="55"/>
      <x:c r="V171" s="55" t="str">
        <x:f>IF(U171="","",U171-TODAY())</x:f>
      </x:c>
      <x:c r="W171" s="55" t="str">
        <x:f>IF(AND(U171&lt;&gt;"",U171&lt;TODAY(),O171="Активен"),"ДА","")</x:f>
      </x:c>
      <x:c r="X171" s="55"/>
      <x:c r="Y171" s="55"/>
      <x:c r="Z171" s="55"/>
      <x:c r="AA171" s="55"/>
      <x:c r="AB171" s="55" t="str">
        <x:f>IF(C171="","", "Напиши " &amp; AA171 &amp; " за бизнес: " &amp; C171 &amp; ". Тип: " &amp; D171 &amp; ". Град: " &amp; E171 &amp; ". Проблем: " &amp; L171 &amp; ". Предложение: " &amp; M171 &amp; ". Етап: " &amp; N171 &amp; ". Бележки: " &amp; Y171)</x:f>
      </x:c>
      <x:c r="AC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 t="str">
        <x:f>IF(C172="","",IFERROR(Q172*R172/100,""))</x:f>
      </x:c>
      <x:c r="T172" s="55"/>
      <x:c r="U172" s="55"/>
      <x:c r="V172" s="55" t="str">
        <x:f>IF(U172="","",U172-TODAY())</x:f>
      </x:c>
      <x:c r="W172" s="55" t="str">
        <x:f>IF(AND(U172&lt;&gt;"",U172&lt;TODAY(),O172="Активен"),"ДА","")</x:f>
      </x:c>
      <x:c r="X172" s="55"/>
      <x:c r="Y172" s="55"/>
      <x:c r="Z172" s="55"/>
      <x:c r="AA172" s="55"/>
      <x:c r="AB172" s="55" t="str">
        <x:f>IF(C172="","", "Напиши " &amp; AA172 &amp; " за бизнес: " &amp; C172 &amp; ". Тип: " &amp; D172 &amp; ". Град: " &amp; E172 &amp; ". Проблем: " &amp; L172 &amp; ". Предложение: " &amp; M172 &amp; ". Етап: " &amp; N172 &amp; ". Бележки: " &amp; Y172)</x:f>
      </x:c>
      <x:c r="AC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 t="str">
        <x:f>IF(C173="","",IFERROR(Q173*R173/100,""))</x:f>
      </x:c>
      <x:c r="T173" s="55"/>
      <x:c r="U173" s="55"/>
      <x:c r="V173" s="55" t="str">
        <x:f>IF(U173="","",U173-TODAY())</x:f>
      </x:c>
      <x:c r="W173" s="55" t="str">
        <x:f>IF(AND(U173&lt;&gt;"",U173&lt;TODAY(),O173="Активен"),"ДА","")</x:f>
      </x:c>
      <x:c r="X173" s="55"/>
      <x:c r="Y173" s="55"/>
      <x:c r="Z173" s="55"/>
      <x:c r="AA173" s="55"/>
      <x:c r="AB173" s="55" t="str">
        <x:f>IF(C173="","", "Напиши " &amp; AA173 &amp; " за бизнес: " &amp; C173 &amp; ". Тип: " &amp; D173 &amp; ". Град: " &amp; E173 &amp; ". Проблем: " &amp; L173 &amp; ". Предложение: " &amp; M173 &amp; ". Етап: " &amp; N173 &amp; ". Бележки: " &amp; Y173)</x:f>
      </x:c>
      <x:c r="AC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 t="str">
        <x:f>IF(C174="","",IFERROR(Q174*R174/100,""))</x:f>
      </x:c>
      <x:c r="T174" s="55"/>
      <x:c r="U174" s="55"/>
      <x:c r="V174" s="55" t="str">
        <x:f>IF(U174="","",U174-TODAY())</x:f>
      </x:c>
      <x:c r="W174" s="55" t="str">
        <x:f>IF(AND(U174&lt;&gt;"",U174&lt;TODAY(),O174="Активен"),"ДА","")</x:f>
      </x:c>
      <x:c r="X174" s="55"/>
      <x:c r="Y174" s="55"/>
      <x:c r="Z174" s="55"/>
      <x:c r="AA174" s="55"/>
      <x:c r="AB174" s="55" t="str">
        <x:f>IF(C174="","", "Напиши " &amp; AA174 &amp; " за бизнес: " &amp; C174 &amp; ". Тип: " &amp; D174 &amp; ". Град: " &amp; E174 &amp; ". Проблем: " &amp; L174 &amp; ". Предложение: " &amp; M174 &amp; ". Етап: " &amp; N174 &amp; ". Бележки: " &amp; Y174)</x:f>
      </x:c>
      <x:c r="AC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 t="str">
        <x:f>IF(C175="","",IFERROR(Q175*R175/100,""))</x:f>
      </x:c>
      <x:c r="T175" s="55"/>
      <x:c r="U175" s="55"/>
      <x:c r="V175" s="55" t="str">
        <x:f>IF(U175="","",U175-TODAY())</x:f>
      </x:c>
      <x:c r="W175" s="55" t="str">
        <x:f>IF(AND(U175&lt;&gt;"",U175&lt;TODAY(),O175="Активен"),"ДА","")</x:f>
      </x:c>
      <x:c r="X175" s="55"/>
      <x:c r="Y175" s="55"/>
      <x:c r="Z175" s="55"/>
      <x:c r="AA175" s="55"/>
      <x:c r="AB175" s="55" t="str">
        <x:f>IF(C175="","", "Напиши " &amp; AA175 &amp; " за бизнес: " &amp; C175 &amp; ". Тип: " &amp; D175 &amp; ". Град: " &amp; E175 &amp; ". Проблем: " &amp; L175 &amp; ". Предложение: " &amp; M175 &amp; ". Етап: " &amp; N175 &amp; ". Бележки: " &amp; Y175)</x:f>
      </x:c>
      <x:c r="AC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 t="str">
        <x:f>IF(C176="","",IFERROR(Q176*R176/100,""))</x:f>
      </x:c>
      <x:c r="T176" s="55"/>
      <x:c r="U176" s="55"/>
      <x:c r="V176" s="55" t="str">
        <x:f>IF(U176="","",U176-TODAY())</x:f>
      </x:c>
      <x:c r="W176" s="55" t="str">
        <x:f>IF(AND(U176&lt;&gt;"",U176&lt;TODAY(),O176="Активен"),"ДА","")</x:f>
      </x:c>
      <x:c r="X176" s="55"/>
      <x:c r="Y176" s="55"/>
      <x:c r="Z176" s="55"/>
      <x:c r="AA176" s="55"/>
      <x:c r="AB176" s="55" t="str">
        <x:f>IF(C176="","", "Напиши " &amp; AA176 &amp; " за бизнес: " &amp; C176 &amp; ". Тип: " &amp; D176 &amp; ". Град: " &amp; E176 &amp; ". Проблем: " &amp; L176 &amp; ". Предложение: " &amp; M176 &amp; ". Етап: " &amp; N176 &amp; ". Бележки: " &amp; Y176)</x:f>
      </x:c>
      <x:c r="AC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 t="str">
        <x:f>IF(C177="","",IFERROR(Q177*R177/100,""))</x:f>
      </x:c>
      <x:c r="T177" s="55"/>
      <x:c r="U177" s="55"/>
      <x:c r="V177" s="55" t="str">
        <x:f>IF(U177="","",U177-TODAY())</x:f>
      </x:c>
      <x:c r="W177" s="55" t="str">
        <x:f>IF(AND(U177&lt;&gt;"",U177&lt;TODAY(),O177="Активен"),"ДА","")</x:f>
      </x:c>
      <x:c r="X177" s="55"/>
      <x:c r="Y177" s="55"/>
      <x:c r="Z177" s="55"/>
      <x:c r="AA177" s="55"/>
      <x:c r="AB177" s="55" t="str">
        <x:f>IF(C177="","", "Напиши " &amp; AA177 &amp; " за бизнес: " &amp; C177 &amp; ". Тип: " &amp; D177 &amp; ". Град: " &amp; E177 &amp; ". Проблем: " &amp; L177 &amp; ". Предложение: " &amp; M177 &amp; ". Етап: " &amp; N177 &amp; ". Бележки: " &amp; Y177)</x:f>
      </x:c>
      <x:c r="AC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 t="str">
        <x:f>IF(C178="","",IFERROR(Q178*R178/100,""))</x:f>
      </x:c>
      <x:c r="T178" s="55"/>
      <x:c r="U178" s="55"/>
      <x:c r="V178" s="55" t="str">
        <x:f>IF(U178="","",U178-TODAY())</x:f>
      </x:c>
      <x:c r="W178" s="55" t="str">
        <x:f>IF(AND(U178&lt;&gt;"",U178&lt;TODAY(),O178="Активен"),"ДА","")</x:f>
      </x:c>
      <x:c r="X178" s="55"/>
      <x:c r="Y178" s="55"/>
      <x:c r="Z178" s="55"/>
      <x:c r="AA178" s="55"/>
      <x:c r="AB178" s="55" t="str">
        <x:f>IF(C178="","", "Напиши " &amp; AA178 &amp; " за бизнес: " &amp; C178 &amp; ". Тип: " &amp; D178 &amp; ". Град: " &amp; E178 &amp; ". Проблем: " &amp; L178 &amp; ". Предложение: " &amp; M178 &amp; ". Етап: " &amp; N178 &amp; ". Бележки: " &amp; Y178)</x:f>
      </x:c>
      <x:c r="AC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 t="str">
        <x:f>IF(C179="","",IFERROR(Q179*R179/100,""))</x:f>
      </x:c>
      <x:c r="T179" s="55"/>
      <x:c r="U179" s="55"/>
      <x:c r="V179" s="55" t="str">
        <x:f>IF(U179="","",U179-TODAY())</x:f>
      </x:c>
      <x:c r="W179" s="55" t="str">
        <x:f>IF(AND(U179&lt;&gt;"",U179&lt;TODAY(),O179="Активен"),"ДА","")</x:f>
      </x:c>
      <x:c r="X179" s="55"/>
      <x:c r="Y179" s="55"/>
      <x:c r="Z179" s="55"/>
      <x:c r="AA179" s="55"/>
      <x:c r="AB179" s="55" t="str">
        <x:f>IF(C179="","", "Напиши " &amp; AA179 &amp; " за бизнес: " &amp; C179 &amp; ". Тип: " &amp; D179 &amp; ". Град: " &amp; E179 &amp; ". Проблем: " &amp; L179 &amp; ". Предложение: " &amp; M179 &amp; ". Етап: " &amp; N179 &amp; ". Бележки: " &amp; Y179)</x:f>
      </x:c>
      <x:c r="AC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 t="str">
        <x:f>IF(C180="","",IFERROR(Q180*R180/100,""))</x:f>
      </x:c>
      <x:c r="T180" s="55"/>
      <x:c r="U180" s="55"/>
      <x:c r="V180" s="55" t="str">
        <x:f>IF(U180="","",U180-TODAY())</x:f>
      </x:c>
      <x:c r="W180" s="55" t="str">
        <x:f>IF(AND(U180&lt;&gt;"",U180&lt;TODAY(),O180="Активен"),"ДА","")</x:f>
      </x:c>
      <x:c r="X180" s="55"/>
      <x:c r="Y180" s="55"/>
      <x:c r="Z180" s="55"/>
      <x:c r="AA180" s="55"/>
      <x:c r="AB180" s="55" t="str">
        <x:f>IF(C180="","", "Напиши " &amp; AA180 &amp; " за бизнес: " &amp; C180 &amp; ". Тип: " &amp; D180 &amp; ". Град: " &amp; E180 &amp; ". Проблем: " &amp; L180 &amp; ". Предложение: " &amp; M180 &amp; ". Етап: " &amp; N180 &amp; ". Бележки: " &amp; Y180)</x:f>
      </x:c>
      <x:c r="AC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 t="str">
        <x:f>IF(C181="","",IFERROR(Q181*R181/100,""))</x:f>
      </x:c>
      <x:c r="T181" s="55"/>
      <x:c r="U181" s="55"/>
      <x:c r="V181" s="55" t="str">
        <x:f>IF(U181="","",U181-TODAY())</x:f>
      </x:c>
      <x:c r="W181" s="55" t="str">
        <x:f>IF(AND(U181&lt;&gt;"",U181&lt;TODAY(),O181="Активен"),"ДА","")</x:f>
      </x:c>
      <x:c r="X181" s="55"/>
      <x:c r="Y181" s="55"/>
      <x:c r="Z181" s="55"/>
      <x:c r="AA181" s="55"/>
      <x:c r="AB181" s="55" t="str">
        <x:f>IF(C181="","", "Напиши " &amp; AA181 &amp; " за бизнес: " &amp; C181 &amp; ". Тип: " &amp; D181 &amp; ". Град: " &amp; E181 &amp; ". Проблем: " &amp; L181 &amp; ". Предложение: " &amp; M181 &amp; ". Етап: " &amp; N181 &amp; ". Бележки: " &amp; Y181)</x:f>
      </x:c>
      <x:c r="AC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 t="str">
        <x:f>IF(C182="","",IFERROR(Q182*R182/100,""))</x:f>
      </x:c>
      <x:c r="T182" s="55"/>
      <x:c r="U182" s="55"/>
      <x:c r="V182" s="55" t="str">
        <x:f>IF(U182="","",U182-TODAY())</x:f>
      </x:c>
      <x:c r="W182" s="55" t="str">
        <x:f>IF(AND(U182&lt;&gt;"",U182&lt;TODAY(),O182="Активен"),"ДА","")</x:f>
      </x:c>
      <x:c r="X182" s="55"/>
      <x:c r="Y182" s="55"/>
      <x:c r="Z182" s="55"/>
      <x:c r="AA182" s="55"/>
      <x:c r="AB182" s="55" t="str">
        <x:f>IF(C182="","", "Напиши " &amp; AA182 &amp; " за бизнес: " &amp; C182 &amp; ". Тип: " &amp; D182 &amp; ". Град: " &amp; E182 &amp; ". Проблем: " &amp; L182 &amp; ". Предложение: " &amp; M182 &amp; ". Етап: " &amp; N182 &amp; ". Бележки: " &amp; Y182)</x:f>
      </x:c>
      <x:c r="AC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 t="str">
        <x:f>IF(C183="","",IFERROR(Q183*R183/100,""))</x:f>
      </x:c>
      <x:c r="T183" s="55"/>
      <x:c r="U183" s="55"/>
      <x:c r="V183" s="55" t="str">
        <x:f>IF(U183="","",U183-TODAY())</x:f>
      </x:c>
      <x:c r="W183" s="55" t="str">
        <x:f>IF(AND(U183&lt;&gt;"",U183&lt;TODAY(),O183="Активен"),"ДА","")</x:f>
      </x:c>
      <x:c r="X183" s="55"/>
      <x:c r="Y183" s="55"/>
      <x:c r="Z183" s="55"/>
      <x:c r="AA183" s="55"/>
      <x:c r="AB183" s="55" t="str">
        <x:f>IF(C183="","", "Напиши " &amp; AA183 &amp; " за бизнес: " &amp; C183 &amp; ". Тип: " &amp; D183 &amp; ". Град: " &amp; E183 &amp; ". Проблем: " &amp; L183 &amp; ". Предложение: " &amp; M183 &amp; ". Етап: " &amp; N183 &amp; ". Бележки: " &amp; Y183)</x:f>
      </x:c>
      <x:c r="AC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 t="str">
        <x:f>IF(C184="","",IFERROR(Q184*R184/100,""))</x:f>
      </x:c>
      <x:c r="T184" s="55"/>
      <x:c r="U184" s="55"/>
      <x:c r="V184" s="55" t="str">
        <x:f>IF(U184="","",U184-TODAY())</x:f>
      </x:c>
      <x:c r="W184" s="55" t="str">
        <x:f>IF(AND(U184&lt;&gt;"",U184&lt;TODAY(),O184="Активен"),"ДА","")</x:f>
      </x:c>
      <x:c r="X184" s="55"/>
      <x:c r="Y184" s="55"/>
      <x:c r="Z184" s="55"/>
      <x:c r="AA184" s="55"/>
      <x:c r="AB184" s="55" t="str">
        <x:f>IF(C184="","", "Напиши " &amp; AA184 &amp; " за бизнес: " &amp; C184 &amp; ". Тип: " &amp; D184 &amp; ". Град: " &amp; E184 &amp; ". Проблем: " &amp; L184 &amp; ". Предложение: " &amp; M184 &amp; ". Етап: " &amp; N184 &amp; ". Бележки: " &amp; Y184)</x:f>
      </x:c>
      <x:c r="AC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 t="str">
        <x:f>IF(C185="","",IFERROR(Q185*R185/100,""))</x:f>
      </x:c>
      <x:c r="T185" s="55"/>
      <x:c r="U185" s="55"/>
      <x:c r="V185" s="55" t="str">
        <x:f>IF(U185="","",U185-TODAY())</x:f>
      </x:c>
      <x:c r="W185" s="55" t="str">
        <x:f>IF(AND(U185&lt;&gt;"",U185&lt;TODAY(),O185="Активен"),"ДА","")</x:f>
      </x:c>
      <x:c r="X185" s="55"/>
      <x:c r="Y185" s="55"/>
      <x:c r="Z185" s="55"/>
      <x:c r="AA185" s="55"/>
      <x:c r="AB185" s="55" t="str">
        <x:f>IF(C185="","", "Напиши " &amp; AA185 &amp; " за бизнес: " &amp; C185 &amp; ". Тип: " &amp; D185 &amp; ". Град: " &amp; E185 &amp; ". Проблем: " &amp; L185 &amp; ". Предложение: " &amp; M185 &amp; ". Етап: " &amp; N185 &amp; ". Бележки: " &amp; Y185)</x:f>
      </x:c>
      <x:c r="AC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 t="str">
        <x:f>IF(C186="","",IFERROR(Q186*R186/100,""))</x:f>
      </x:c>
      <x:c r="T186" s="55"/>
      <x:c r="U186" s="55"/>
      <x:c r="V186" s="55" t="str">
        <x:f>IF(U186="","",U186-TODAY())</x:f>
      </x:c>
      <x:c r="W186" s="55" t="str">
        <x:f>IF(AND(U186&lt;&gt;"",U186&lt;TODAY(),O186="Активен"),"ДА","")</x:f>
      </x:c>
      <x:c r="X186" s="55"/>
      <x:c r="Y186" s="55"/>
      <x:c r="Z186" s="55"/>
      <x:c r="AA186" s="55"/>
      <x:c r="AB186" s="55" t="str">
        <x:f>IF(C186="","", "Напиши " &amp; AA186 &amp; " за бизнес: " &amp; C186 &amp; ". Тип: " &amp; D186 &amp; ". Град: " &amp; E186 &amp; ". Проблем: " &amp; L186 &amp; ". Предложение: " &amp; M186 &amp; ". Етап: " &amp; N186 &amp; ". Бележки: " &amp; Y186)</x:f>
      </x:c>
      <x:c r="AC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 t="str">
        <x:f>IF(C187="","",IFERROR(Q187*R187/100,""))</x:f>
      </x:c>
      <x:c r="T187" s="55"/>
      <x:c r="U187" s="55"/>
      <x:c r="V187" s="55" t="str">
        <x:f>IF(U187="","",U187-TODAY())</x:f>
      </x:c>
      <x:c r="W187" s="55" t="str">
        <x:f>IF(AND(U187&lt;&gt;"",U187&lt;TODAY(),O187="Активен"),"ДА","")</x:f>
      </x:c>
      <x:c r="X187" s="55"/>
      <x:c r="Y187" s="55"/>
      <x:c r="Z187" s="55"/>
      <x:c r="AA187" s="55"/>
      <x:c r="AB187" s="55" t="str">
        <x:f>IF(C187="","", "Напиши " &amp; AA187 &amp; " за бизнес: " &amp; C187 &amp; ". Тип: " &amp; D187 &amp; ". Град: " &amp; E187 &amp; ". Проблем: " &amp; L187 &amp; ". Предложение: " &amp; M187 &amp; ". Етап: " &amp; N187 &amp; ". Бележки: " &amp; Y187)</x:f>
      </x:c>
      <x:c r="AC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 t="str">
        <x:f>IF(C188="","",IFERROR(Q188*R188/100,""))</x:f>
      </x:c>
      <x:c r="T188" s="55"/>
      <x:c r="U188" s="55"/>
      <x:c r="V188" s="55" t="str">
        <x:f>IF(U188="","",U188-TODAY())</x:f>
      </x:c>
      <x:c r="W188" s="55" t="str">
        <x:f>IF(AND(U188&lt;&gt;"",U188&lt;TODAY(),O188="Активен"),"ДА","")</x:f>
      </x:c>
      <x:c r="X188" s="55"/>
      <x:c r="Y188" s="55"/>
      <x:c r="Z188" s="55"/>
      <x:c r="AA188" s="55"/>
      <x:c r="AB188" s="55" t="str">
        <x:f>IF(C188="","", "Напиши " &amp; AA188 &amp; " за бизнес: " &amp; C188 &amp; ". Тип: " &amp; D188 &amp; ". Град: " &amp; E188 &amp; ". Проблем: " &amp; L188 &amp; ". Предложение: " &amp; M188 &amp; ". Етап: " &amp; N188 &amp; ". Бележки: " &amp; Y188)</x:f>
      </x:c>
      <x:c r="AC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 t="str">
        <x:f>IF(C189="","",IFERROR(Q189*R189/100,""))</x:f>
      </x:c>
      <x:c r="T189" s="55"/>
      <x:c r="U189" s="55"/>
      <x:c r="V189" s="55" t="str">
        <x:f>IF(U189="","",U189-TODAY())</x:f>
      </x:c>
      <x:c r="W189" s="55" t="str">
        <x:f>IF(AND(U189&lt;&gt;"",U189&lt;TODAY(),O189="Активен"),"ДА","")</x:f>
      </x:c>
      <x:c r="X189" s="55"/>
      <x:c r="Y189" s="55"/>
      <x:c r="Z189" s="55"/>
      <x:c r="AA189" s="55"/>
      <x:c r="AB189" s="55" t="str">
        <x:f>IF(C189="","", "Напиши " &amp; AA189 &amp; " за бизнес: " &amp; C189 &amp; ". Тип: " &amp; D189 &amp; ". Град: " &amp; E189 &amp; ". Проблем: " &amp; L189 &amp; ". Предложение: " &amp; M189 &amp; ". Етап: " &amp; N189 &amp; ". Бележки: " &amp; Y189)</x:f>
      </x:c>
      <x:c r="AC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 t="str">
        <x:f>IF(C190="","",IFERROR(Q190*R190/100,""))</x:f>
      </x:c>
      <x:c r="T190" s="55"/>
      <x:c r="U190" s="55"/>
      <x:c r="V190" s="55" t="str">
        <x:f>IF(U190="","",U190-TODAY())</x:f>
      </x:c>
      <x:c r="W190" s="55" t="str">
        <x:f>IF(AND(U190&lt;&gt;"",U190&lt;TODAY(),O190="Активен"),"ДА","")</x:f>
      </x:c>
      <x:c r="X190" s="55"/>
      <x:c r="Y190" s="55"/>
      <x:c r="Z190" s="55"/>
      <x:c r="AA190" s="55"/>
      <x:c r="AB190" s="55" t="str">
        <x:f>IF(C190="","", "Напиши " &amp; AA190 &amp; " за бизнес: " &amp; C190 &amp; ". Тип: " &amp; D190 &amp; ". Град: " &amp; E190 &amp; ". Проблем: " &amp; L190 &amp; ". Предложение: " &amp; M190 &amp; ". Етап: " &amp; N190 &amp; ". Бележки: " &amp; Y190)</x:f>
      </x:c>
      <x:c r="AC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 t="str">
        <x:f>IF(C191="","",IFERROR(Q191*R191/100,""))</x:f>
      </x:c>
      <x:c r="T191" s="55"/>
      <x:c r="U191" s="55"/>
      <x:c r="V191" s="55" t="str">
        <x:f>IF(U191="","",U191-TODAY())</x:f>
      </x:c>
      <x:c r="W191" s="55" t="str">
        <x:f>IF(AND(U191&lt;&gt;"",U191&lt;TODAY(),O191="Активен"),"ДА","")</x:f>
      </x:c>
      <x:c r="X191" s="55"/>
      <x:c r="Y191" s="55"/>
      <x:c r="Z191" s="55"/>
      <x:c r="AA191" s="55"/>
      <x:c r="AB191" s="55" t="str">
        <x:f>IF(C191="","", "Напиши " &amp; AA191 &amp; " за бизнес: " &amp; C191 &amp; ". Тип: " &amp; D191 &amp; ". Град: " &amp; E191 &amp; ". Проблем: " &amp; L191 &amp; ". Предложение: " &amp; M191 &amp; ". Етап: " &amp; N191 &amp; ". Бележки: " &amp; Y191)</x:f>
      </x:c>
      <x:c r="AC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 t="str">
        <x:f>IF(C192="","",IFERROR(Q192*R192/100,""))</x:f>
      </x:c>
      <x:c r="T192" s="55"/>
      <x:c r="U192" s="55"/>
      <x:c r="V192" s="55" t="str">
        <x:f>IF(U192="","",U192-TODAY())</x:f>
      </x:c>
      <x:c r="W192" s="55" t="str">
        <x:f>IF(AND(U192&lt;&gt;"",U192&lt;TODAY(),O192="Активен"),"ДА","")</x:f>
      </x:c>
      <x:c r="X192" s="55"/>
      <x:c r="Y192" s="55"/>
      <x:c r="Z192" s="55"/>
      <x:c r="AA192" s="55"/>
      <x:c r="AB192" s="55" t="str">
        <x:f>IF(C192="","", "Напиши " &amp; AA192 &amp; " за бизнес: " &amp; C192 &amp; ". Тип: " &amp; D192 &amp; ". Град: " &amp; E192 &amp; ". Проблем: " &amp; L192 &amp; ". Предложение: " &amp; M192 &amp; ". Етап: " &amp; N192 &amp; ". Бележки: " &amp; Y192)</x:f>
      </x:c>
      <x:c r="AC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 t="str">
        <x:f>IF(C193="","",IFERROR(Q193*R193/100,""))</x:f>
      </x:c>
      <x:c r="T193" s="55"/>
      <x:c r="U193" s="55"/>
      <x:c r="V193" s="55" t="str">
        <x:f>IF(U193="","",U193-TODAY())</x:f>
      </x:c>
      <x:c r="W193" s="55" t="str">
        <x:f>IF(AND(U193&lt;&gt;"",U193&lt;TODAY(),O193="Активен"),"ДА","")</x:f>
      </x:c>
      <x:c r="X193" s="55"/>
      <x:c r="Y193" s="55"/>
      <x:c r="Z193" s="55"/>
      <x:c r="AA193" s="55"/>
      <x:c r="AB193" s="55" t="str">
        <x:f>IF(C193="","", "Напиши " &amp; AA193 &amp; " за бизнес: " &amp; C193 &amp; ". Тип: " &amp; D193 &amp; ". Град: " &amp; E193 &amp; ". Проблем: " &amp; L193 &amp; ". Предложение: " &amp; M193 &amp; ". Етап: " &amp; N193 &amp; ". Бележки: " &amp; Y193)</x:f>
      </x:c>
      <x:c r="AC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 t="str">
        <x:f>IF(C194="","",IFERROR(Q194*R194/100,""))</x:f>
      </x:c>
      <x:c r="T194" s="55"/>
      <x:c r="U194" s="55"/>
      <x:c r="V194" s="55" t="str">
        <x:f>IF(U194="","",U194-TODAY())</x:f>
      </x:c>
      <x:c r="W194" s="55" t="str">
        <x:f>IF(AND(U194&lt;&gt;"",U194&lt;TODAY(),O194="Активен"),"ДА","")</x:f>
      </x:c>
      <x:c r="X194" s="55"/>
      <x:c r="Y194" s="55"/>
      <x:c r="Z194" s="55"/>
      <x:c r="AA194" s="55"/>
      <x:c r="AB194" s="55" t="str">
        <x:f>IF(C194="","", "Напиши " &amp; AA194 &amp; " за бизнес: " &amp; C194 &amp; ". Тип: " &amp; D194 &amp; ". Град: " &amp; E194 &amp; ". Проблем: " &amp; L194 &amp; ". Предложение: " &amp; M194 &amp; ". Етап: " &amp; N194 &amp; ". Бележки: " &amp; Y194)</x:f>
      </x:c>
      <x:c r="AC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 t="str">
        <x:f>IF(C195="","",IFERROR(Q195*R195/100,""))</x:f>
      </x:c>
      <x:c r="T195" s="55"/>
      <x:c r="U195" s="55"/>
      <x:c r="V195" s="55" t="str">
        <x:f>IF(U195="","",U195-TODAY())</x:f>
      </x:c>
      <x:c r="W195" s="55" t="str">
        <x:f>IF(AND(U195&lt;&gt;"",U195&lt;TODAY(),O195="Активен"),"ДА","")</x:f>
      </x:c>
      <x:c r="X195" s="55"/>
      <x:c r="Y195" s="55"/>
      <x:c r="Z195" s="55"/>
      <x:c r="AA195" s="55"/>
      <x:c r="AB195" s="55" t="str">
        <x:f>IF(C195="","", "Напиши " &amp; AA195 &amp; " за бизнес: " &amp; C195 &amp; ". Тип: " &amp; D195 &amp; ". Град: " &amp; E195 &amp; ". Проблем: " &amp; L195 &amp; ". Предложение: " &amp; M195 &amp; ". Етап: " &amp; N195 &amp; ". Бележки: " &amp; Y195)</x:f>
      </x:c>
      <x:c r="AC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 t="str">
        <x:f>IF(C196="","",IFERROR(Q196*R196/100,""))</x:f>
      </x:c>
      <x:c r="T196" s="55"/>
      <x:c r="U196" s="55"/>
      <x:c r="V196" s="55" t="str">
        <x:f>IF(U196="","",U196-TODAY())</x:f>
      </x:c>
      <x:c r="W196" s="55" t="str">
        <x:f>IF(AND(U196&lt;&gt;"",U196&lt;TODAY(),O196="Активен"),"ДА","")</x:f>
      </x:c>
      <x:c r="X196" s="55"/>
      <x:c r="Y196" s="55"/>
      <x:c r="Z196" s="55"/>
      <x:c r="AA196" s="55"/>
      <x:c r="AB196" s="55" t="str">
        <x:f>IF(C196="","", "Напиши " &amp; AA196 &amp; " за бизнес: " &amp; C196 &amp; ". Тип: " &amp; D196 &amp; ". Град: " &amp; E196 &amp; ". Проблем: " &amp; L196 &amp; ". Предложение: " &amp; M196 &amp; ". Етап: " &amp; N196 &amp; ". Бележки: " &amp; Y196)</x:f>
      </x:c>
      <x:c r="AC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 t="str">
        <x:f>IF(C197="","",IFERROR(Q197*R197/100,""))</x:f>
      </x:c>
      <x:c r="T197" s="55"/>
      <x:c r="U197" s="55"/>
      <x:c r="V197" s="55" t="str">
        <x:f>IF(U197="","",U197-TODAY())</x:f>
      </x:c>
      <x:c r="W197" s="55" t="str">
        <x:f>IF(AND(U197&lt;&gt;"",U197&lt;TODAY(),O197="Активен"),"ДА","")</x:f>
      </x:c>
      <x:c r="X197" s="55"/>
      <x:c r="Y197" s="55"/>
      <x:c r="Z197" s="55"/>
      <x:c r="AA197" s="55"/>
      <x:c r="AB197" s="55" t="str">
        <x:f>IF(C197="","", "Напиши " &amp; AA197 &amp; " за бизнес: " &amp; C197 &amp; ". Тип: " &amp; D197 &amp; ". Град: " &amp; E197 &amp; ". Проблем: " &amp; L197 &amp; ". Предложение: " &amp; M197 &amp; ". Етап: " &amp; N197 &amp; ". Бележки: " &amp; Y197)</x:f>
      </x:c>
      <x:c r="AC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 t="str">
        <x:f>IF(C198="","",IFERROR(Q198*R198/100,""))</x:f>
      </x:c>
      <x:c r="T198" s="55"/>
      <x:c r="U198" s="55"/>
      <x:c r="V198" s="55" t="str">
        <x:f>IF(U198="","",U198-TODAY())</x:f>
      </x:c>
      <x:c r="W198" s="55" t="str">
        <x:f>IF(AND(U198&lt;&gt;"",U198&lt;TODAY(),O198="Активен"),"ДА","")</x:f>
      </x:c>
      <x:c r="X198" s="55"/>
      <x:c r="Y198" s="55"/>
      <x:c r="Z198" s="55"/>
      <x:c r="AA198" s="55"/>
      <x:c r="AB198" s="55" t="str">
        <x:f>IF(C198="","", "Напиши " &amp; AA198 &amp; " за бизнес: " &amp; C198 &amp; ". Тип: " &amp; D198 &amp; ". Град: " &amp; E198 &amp; ". Проблем: " &amp; L198 &amp; ". Предложение: " &amp; M198 &amp; ". Етап: " &amp; N198 &amp; ". Бележки: " &amp; Y198)</x:f>
      </x:c>
      <x:c r="AC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 t="str">
        <x:f>IF(C199="","",IFERROR(Q199*R199/100,""))</x:f>
      </x:c>
      <x:c r="T199" s="55"/>
      <x:c r="U199" s="55"/>
      <x:c r="V199" s="55" t="str">
        <x:f>IF(U199="","",U199-TODAY())</x:f>
      </x:c>
      <x:c r="W199" s="55" t="str">
        <x:f>IF(AND(U199&lt;&gt;"",U199&lt;TODAY(),O199="Активен"),"ДА","")</x:f>
      </x:c>
      <x:c r="X199" s="55"/>
      <x:c r="Y199" s="55"/>
      <x:c r="Z199" s="55"/>
      <x:c r="AA199" s="55"/>
      <x:c r="AB199" s="55" t="str">
        <x:f>IF(C199="","", "Напиши " &amp; AA199 &amp; " за бизнес: " &amp; C199 &amp; ". Тип: " &amp; D199 &amp; ". Град: " &amp; E199 &amp; ". Проблем: " &amp; L199 &amp; ". Предложение: " &amp; M199 &amp; ". Етап: " &amp; N199 &amp; ". Бележки: " &amp; Y199)</x:f>
      </x:c>
      <x:c r="AC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 t="str">
        <x:f>IF(C200="","",IFERROR(Q200*R200/100,""))</x:f>
      </x:c>
      <x:c r="T200" s="55"/>
      <x:c r="U200" s="55"/>
      <x:c r="V200" s="55" t="str">
        <x:f>IF(U200="","",U200-TODAY())</x:f>
      </x:c>
      <x:c r="W200" s="55" t="str">
        <x:f>IF(AND(U200&lt;&gt;"",U200&lt;TODAY(),O200="Активен"),"ДА","")</x:f>
      </x:c>
      <x:c r="X200" s="55"/>
      <x:c r="Y200" s="55"/>
      <x:c r="Z200" s="55"/>
      <x:c r="AA200" s="55"/>
      <x:c r="AB200" s="55" t="str">
        <x:f>IF(C200="","", "Напиши " &amp; AA200 &amp; " за бизнес: " &amp; C200 &amp; ". Тип: " &amp; D200 &amp; ". Град: " &amp; E200 &amp; ". Проблем: " &amp; L200 &amp; ". Предложение: " &amp; M200 &amp; ". Етап: " &amp; N200 &amp; ". Бележки: " &amp; Y200)</x:f>
      </x:c>
      <x:c r="AC200" s="55"/>
    </x:row>
    <x:row r="20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55"/>
      <x:c r="S201" s="55" t="str">
        <x:f>IF(C201="","",IFERROR(Q201*R201/100,""))</x:f>
      </x:c>
      <x:c r="T201" s="55"/>
      <x:c r="U201" s="55"/>
      <x:c r="V201" s="55" t="str">
        <x:f>IF(U201="","",U201-TODAY())</x:f>
      </x:c>
      <x:c r="W201" s="55" t="str">
        <x:f>IF(AND(U201&lt;&gt;"",U201&lt;TODAY(),O201="Активен"),"ДА","")</x:f>
      </x:c>
      <x:c r="X201" s="55"/>
      <x:c r="Y201" s="55"/>
      <x:c r="Z201" s="55"/>
      <x:c r="AA201" s="55"/>
      <x:c r="AB201" s="55" t="str">
        <x:f>IF(C201="","", "Напиши " &amp; AA201 &amp; " за бизнес: " &amp; C201 &amp; ". Тип: " &amp; D201 &amp; ". Град: " &amp; E201 &amp; ". Проблем: " &amp; L201 &amp; ". Предложение: " &amp; M201 &amp; ". Етап: " &amp; N201 &amp; ". Бележки: " &amp; Y201)</x:f>
      </x:c>
      <x:c r="AC201" s="55"/>
    </x:row>
    <x:row r="202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55"/>
      <x:c r="S202" s="55" t="str">
        <x:f>IF(C202="","",IFERROR(Q202*R202/100,""))</x:f>
      </x:c>
      <x:c r="T202" s="55"/>
      <x:c r="U202" s="55"/>
      <x:c r="V202" s="55" t="str">
        <x:f>IF(U202="","",U202-TODAY())</x:f>
      </x:c>
      <x:c r="W202" s="55" t="str">
        <x:f>IF(AND(U202&lt;&gt;"",U202&lt;TODAY(),O202="Активен"),"ДА","")</x:f>
      </x:c>
      <x:c r="X202" s="55"/>
      <x:c r="Y202" s="55"/>
      <x:c r="Z202" s="55"/>
      <x:c r="AA202" s="55"/>
      <x:c r="AB202" s="55" t="str">
        <x:f>IF(C202="","", "Напиши " &amp; AA202 &amp; " за бизнес: " &amp; C202 &amp; ". Тип: " &amp; D202 &amp; ". Град: " &amp; E202 &amp; ". Проблем: " &amp; L202 &amp; ". Предложение: " &amp; M202 &amp; ". Етап: " &amp; N202 &amp; ". Бележки: " &amp; Y202)</x:f>
      </x:c>
      <x:c r="AC202" s="55"/>
    </x:row>
    <x:row r="203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55"/>
      <x:c r="S203" s="55" t="str">
        <x:f>IF(C203="","",IFERROR(Q203*R203/100,""))</x:f>
      </x:c>
      <x:c r="T203" s="55"/>
      <x:c r="U203" s="55"/>
      <x:c r="V203" s="55" t="str">
        <x:f>IF(U203="","",U203-TODAY())</x:f>
      </x:c>
      <x:c r="W203" s="55" t="str">
        <x:f>IF(AND(U203&lt;&gt;"",U203&lt;TODAY(),O203="Активен"),"ДА","")</x:f>
      </x:c>
      <x:c r="X203" s="55"/>
      <x:c r="Y203" s="55"/>
      <x:c r="Z203" s="55"/>
      <x:c r="AA203" s="55"/>
      <x:c r="AB203" s="55" t="str">
        <x:f>IF(C203="","", "Напиши " &amp; AA203 &amp; " за бизнес: " &amp; C203 &amp; ". Тип: " &amp; D203 &amp; ". Град: " &amp; E203 &amp; ". Проблем: " &amp; L203 &amp; ". Предложение: " &amp; M203 &amp; ". Етап: " &amp; N203 &amp; ". Бележки: " &amp; Y203)</x:f>
      </x:c>
      <x:c r="AC203" s="55"/>
    </x:row>
    <x:row r="204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55"/>
      <x:c r="S204" s="55" t="str">
        <x:f>IF(C204="","",IFERROR(Q204*R204/100,""))</x:f>
      </x:c>
      <x:c r="T204" s="55"/>
      <x:c r="U204" s="55"/>
      <x:c r="V204" s="55" t="str">
        <x:f>IF(U204="","",U204-TODAY())</x:f>
      </x:c>
      <x:c r="W204" s="55" t="str">
        <x:f>IF(AND(U204&lt;&gt;"",U204&lt;TODAY(),O204="Активен"),"ДА","")</x:f>
      </x:c>
      <x:c r="X204" s="55"/>
      <x:c r="Y204" s="55"/>
      <x:c r="Z204" s="55"/>
      <x:c r="AA204" s="55"/>
      <x:c r="AB204" s="55" t="str">
        <x:f>IF(C204="","", "Напиши " &amp; AA204 &amp; " за бизнес: " &amp; C204 &amp; ". Тип: " &amp; D204 &amp; ". Град: " &amp; E204 &amp; ". Проблем: " &amp; L204 &amp; ". Предложение: " &amp; M204 &amp; ". Етап: " &amp; N204 &amp; ". Бележки: " &amp; Y204)</x:f>
      </x:c>
      <x:c r="AC204" s="55"/>
    </x:row>
    <x:row r="205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55"/>
      <x:c r="S205" s="55" t="str">
        <x:f>IF(C205="","",IFERROR(Q205*R205/100,""))</x:f>
      </x:c>
      <x:c r="T205" s="55"/>
      <x:c r="U205" s="55"/>
      <x:c r="V205" s="55" t="str">
        <x:f>IF(U205="","",U205-TODAY())</x:f>
      </x:c>
      <x:c r="W205" s="55" t="str">
        <x:f>IF(AND(U205&lt;&gt;"",U205&lt;TODAY(),O205="Активен"),"ДА","")</x:f>
      </x:c>
      <x:c r="X205" s="55"/>
      <x:c r="Y205" s="55"/>
      <x:c r="Z205" s="55"/>
      <x:c r="AA205" s="55"/>
      <x:c r="AB205" s="55" t="str">
        <x:f>IF(C205="","", "Напиши " &amp; AA205 &amp; " за бизнес: " &amp; C205 &amp; ". Тип: " &amp; D205 &amp; ". Град: " &amp; E205 &amp; ". Проблем: " &amp; L205 &amp; ". Предложение: " &amp; M205 &amp; ". Етап: " &amp; N205 &amp; ". Бележки: " &amp; Y205)</x:f>
      </x:c>
      <x:c r="AC205" s="55"/>
    </x:row>
    <x:row r="206">
      <x:c r="A206" s="55"/>
      <x:c r="B206" s="55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55"/>
      <x:c r="S206" s="55" t="str">
        <x:f>IF(C206="","",IFERROR(Q206*R206/100,""))</x:f>
      </x:c>
      <x:c r="T206" s="55"/>
      <x:c r="U206" s="55"/>
      <x:c r="V206" s="55" t="str">
        <x:f>IF(U206="","",U206-TODAY())</x:f>
      </x:c>
      <x:c r="W206" s="55" t="str">
        <x:f>IF(AND(U206&lt;&gt;"",U206&lt;TODAY(),O206="Активен"),"ДА","")</x:f>
      </x:c>
      <x:c r="X206" s="55"/>
      <x:c r="Y206" s="55"/>
      <x:c r="Z206" s="55"/>
      <x:c r="AA206" s="55"/>
      <x:c r="AB206" s="55" t="str">
        <x:f>IF(C206="","", "Напиши " &amp; AA206 &amp; " за бизнес: " &amp; C206 &amp; ". Тип: " &amp; D206 &amp; ". Град: " &amp; E206 &amp; ". Проблем: " &amp; L206 &amp; ". Предложение: " &amp; M206 &amp; ". Етап: " &amp; N206 &amp; ". Бележки: " &amp; Y206)</x:f>
      </x:c>
      <x:c r="AC206" s="55"/>
    </x:row>
    <x:row r="207">
      <x:c r="A207" s="55"/>
      <x:c r="B207" s="55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55"/>
      <x:c r="S207" s="55" t="str">
        <x:f>IF(C207="","",IFERROR(Q207*R207/100,""))</x:f>
      </x:c>
      <x:c r="T207" s="55"/>
      <x:c r="U207" s="55"/>
      <x:c r="V207" s="55" t="str">
        <x:f>IF(U207="","",U207-TODAY())</x:f>
      </x:c>
      <x:c r="W207" s="55" t="str">
        <x:f>IF(AND(U207&lt;&gt;"",U207&lt;TODAY(),O207="Активен"),"ДА","")</x:f>
      </x:c>
      <x:c r="X207" s="55"/>
      <x:c r="Y207" s="55"/>
      <x:c r="Z207" s="55"/>
      <x:c r="AA207" s="55"/>
      <x:c r="AB207" s="55" t="str">
        <x:f>IF(C207="","", "Напиши " &amp; AA207 &amp; " за бизнес: " &amp; C207 &amp; ". Тип: " &amp; D207 &amp; ". Град: " &amp; E207 &amp; ". Проблем: " &amp; L207 &amp; ". Предложение: " &amp; M207 &amp; ". Етап: " &amp; N207 &amp; ". Бележки: " &amp; Y207)</x:f>
      </x:c>
      <x:c r="AC207" s="55"/>
    </x:row>
    <x:row r="208">
      <x:c r="A208" s="55"/>
      <x:c r="B208" s="55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55"/>
      <x:c r="S208" s="55" t="str">
        <x:f>IF(C208="","",IFERROR(Q208*R208/100,""))</x:f>
      </x:c>
      <x:c r="T208" s="55"/>
      <x:c r="U208" s="55"/>
      <x:c r="V208" s="55" t="str">
        <x:f>IF(U208="","",U208-TODAY())</x:f>
      </x:c>
      <x:c r="W208" s="55" t="str">
        <x:f>IF(AND(U208&lt;&gt;"",U208&lt;TODAY(),O208="Активен"),"ДА","")</x:f>
      </x:c>
      <x:c r="X208" s="55"/>
      <x:c r="Y208" s="55"/>
      <x:c r="Z208" s="55"/>
      <x:c r="AA208" s="55"/>
      <x:c r="AB208" s="55" t="str">
        <x:f>IF(C208="","", "Напиши " &amp; AA208 &amp; " за бизнес: " &amp; C208 &amp; ". Тип: " &amp; D208 &amp; ". Град: " &amp; E208 &amp; ". Проблем: " &amp; L208 &amp; ". Предложение: " &amp; M208 &amp; ". Етап: " &amp; N208 &amp; ". Бележки: " &amp; Y208)</x:f>
      </x:c>
      <x:c r="AC208" s="55"/>
    </x:row>
    <x:row r="209">
      <x:c r="A209" s="55"/>
      <x:c r="B209" s="55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55"/>
      <x:c r="S209" s="55" t="str">
        <x:f>IF(C209="","",IFERROR(Q209*R209/100,""))</x:f>
      </x:c>
      <x:c r="T209" s="55"/>
      <x:c r="U209" s="55"/>
      <x:c r="V209" s="55" t="str">
        <x:f>IF(U209="","",U209-TODAY())</x:f>
      </x:c>
      <x:c r="W209" s="55" t="str">
        <x:f>IF(AND(U209&lt;&gt;"",U209&lt;TODAY(),O209="Активен"),"ДА","")</x:f>
      </x:c>
      <x:c r="X209" s="55"/>
      <x:c r="Y209" s="55"/>
      <x:c r="Z209" s="55"/>
      <x:c r="AA209" s="55"/>
      <x:c r="AB209" s="55" t="str">
        <x:f>IF(C209="","", "Напиши " &amp; AA209 &amp; " за бизнес: " &amp; C209 &amp; ". Тип: " &amp; D209 &amp; ". Град: " &amp; E209 &amp; ". Проблем: " &amp; L209 &amp; ". Предложение: " &amp; M209 &amp; ". Етап: " &amp; N209 &amp; ". Бележки: " &amp; Y209)</x:f>
      </x:c>
      <x:c r="AC209" s="55"/>
    </x:row>
    <x:row r="210">
      <x:c r="A210" s="55"/>
      <x:c r="B210" s="55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55"/>
      <x:c r="S210" s="55" t="str">
        <x:f>IF(C210="","",IFERROR(Q210*R210/100,""))</x:f>
      </x:c>
      <x:c r="T210" s="55"/>
      <x:c r="U210" s="55"/>
      <x:c r="V210" s="55" t="str">
        <x:f>IF(U210="","",U210-TODAY())</x:f>
      </x:c>
      <x:c r="W210" s="55" t="str">
        <x:f>IF(AND(U210&lt;&gt;"",U210&lt;TODAY(),O210="Активен"),"ДА","")</x:f>
      </x:c>
      <x:c r="X210" s="55"/>
      <x:c r="Y210" s="55"/>
      <x:c r="Z210" s="55"/>
      <x:c r="AA210" s="55"/>
      <x:c r="AB210" s="55" t="str">
        <x:f>IF(C210="","", "Напиши " &amp; AA210 &amp; " за бизнес: " &amp; C210 &amp; ". Тип: " &amp; D210 &amp; ". Град: " &amp; E210 &amp; ". Проблем: " &amp; L210 &amp; ". Предложение: " &amp; M210 &amp; ". Етап: " &amp; N210 &amp; ". Бележки: " &amp; Y210)</x:f>
      </x:c>
      <x:c r="AC210" s="55"/>
    </x:row>
    <x:row r="211">
      <x:c r="A211" s="55"/>
      <x:c r="B211" s="55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55"/>
      <x:c r="S211" s="55" t="str">
        <x:f>IF(C211="","",IFERROR(Q211*R211/100,""))</x:f>
      </x:c>
      <x:c r="T211" s="55"/>
      <x:c r="U211" s="55"/>
      <x:c r="V211" s="55" t="str">
        <x:f>IF(U211="","",U211-TODAY())</x:f>
      </x:c>
      <x:c r="W211" s="55" t="str">
        <x:f>IF(AND(U211&lt;&gt;"",U211&lt;TODAY(),O211="Активен"),"ДА","")</x:f>
      </x:c>
      <x:c r="X211" s="55"/>
      <x:c r="Y211" s="55"/>
      <x:c r="Z211" s="55"/>
      <x:c r="AA211" s="55"/>
      <x:c r="AB211" s="55" t="str">
        <x:f>IF(C211="","", "Напиши " &amp; AA211 &amp; " за бизнес: " &amp; C211 &amp; ". Тип: " &amp; D211 &amp; ". Град: " &amp; E211 &amp; ". Проблем: " &amp; L211 &amp; ". Предложение: " &amp; M211 &amp; ". Етап: " &amp; N211 &amp; ". Бележки: " &amp; Y211)</x:f>
      </x:c>
      <x:c r="AC211" s="55"/>
    </x:row>
    <x:row r="212">
      <x:c r="A212" s="55"/>
      <x:c r="B212" s="55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55"/>
      <x:c r="S212" s="55" t="str">
        <x:f>IF(C212="","",IFERROR(Q212*R212/100,""))</x:f>
      </x:c>
      <x:c r="T212" s="55"/>
      <x:c r="U212" s="55"/>
      <x:c r="V212" s="55" t="str">
        <x:f>IF(U212="","",U212-TODAY())</x:f>
      </x:c>
      <x:c r="W212" s="55" t="str">
        <x:f>IF(AND(U212&lt;&gt;"",U212&lt;TODAY(),O212="Активен"),"ДА","")</x:f>
      </x:c>
      <x:c r="X212" s="55"/>
      <x:c r="Y212" s="55"/>
      <x:c r="Z212" s="55"/>
      <x:c r="AA212" s="55"/>
      <x:c r="AB212" s="55" t="str">
        <x:f>IF(C212="","", "Напиши " &amp; AA212 &amp; " за бизнес: " &amp; C212 &amp; ". Тип: " &amp; D212 &amp; ". Град: " &amp; E212 &amp; ". Проблем: " &amp; L212 &amp; ". Предложение: " &amp; M212 &amp; ". Етап: " &amp; N212 &amp; ". Бележки: " &amp; Y212)</x:f>
      </x:c>
      <x:c r="AC212" s="55"/>
    </x:row>
    <x:row r="213">
      <x:c r="A213" s="55"/>
      <x:c r="B213" s="55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55"/>
      <x:c r="S213" s="55" t="str">
        <x:f>IF(C213="","",IFERROR(Q213*R213/100,""))</x:f>
      </x:c>
      <x:c r="T213" s="55"/>
      <x:c r="U213" s="55"/>
      <x:c r="V213" s="55" t="str">
        <x:f>IF(U213="","",U213-TODAY())</x:f>
      </x:c>
      <x:c r="W213" s="55" t="str">
        <x:f>IF(AND(U213&lt;&gt;"",U213&lt;TODAY(),O213="Активен"),"ДА","")</x:f>
      </x:c>
      <x:c r="X213" s="55"/>
      <x:c r="Y213" s="55"/>
      <x:c r="Z213" s="55"/>
      <x:c r="AA213" s="55"/>
      <x:c r="AB213" s="55" t="str">
        <x:f>IF(C213="","", "Напиши " &amp; AA213 &amp; " за бизнес: " &amp; C213 &amp; ". Тип: " &amp; D213 &amp; ". Град: " &amp; E213 &amp; ". Проблем: " &amp; L213 &amp; ". Предложение: " &amp; M213 &amp; ". Етап: " &amp; N213 &amp; ". Бележки: " &amp; Y213)</x:f>
      </x:c>
      <x:c r="AC213" s="55"/>
    </x:row>
    <x:row r="214">
      <x:c r="A214" s="55"/>
      <x:c r="B214" s="55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55"/>
      <x:c r="S214" s="55" t="str">
        <x:f>IF(C214="","",IFERROR(Q214*R214/100,""))</x:f>
      </x:c>
      <x:c r="T214" s="55"/>
      <x:c r="U214" s="55"/>
      <x:c r="V214" s="55" t="str">
        <x:f>IF(U214="","",U214-TODAY())</x:f>
      </x:c>
      <x:c r="W214" s="55" t="str">
        <x:f>IF(AND(U214&lt;&gt;"",U214&lt;TODAY(),O214="Активен"),"ДА","")</x:f>
      </x:c>
      <x:c r="X214" s="55"/>
      <x:c r="Y214" s="55"/>
      <x:c r="Z214" s="55"/>
      <x:c r="AA214" s="55"/>
      <x:c r="AB214" s="55" t="str">
        <x:f>IF(C214="","", "Напиши " &amp; AA214 &amp; " за бизнес: " &amp; C214 &amp; ". Тип: " &amp; D214 &amp; ". Град: " &amp; E214 &amp; ". Проблем: " &amp; L214 &amp; ". Предложение: " &amp; M214 &amp; ". Етап: " &amp; N214 &amp; ". Бележки: " &amp; Y214)</x:f>
      </x:c>
      <x:c r="AC214" s="55"/>
    </x:row>
    <x:row r="215">
      <x:c r="A215" s="55"/>
      <x:c r="B215" s="55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55"/>
      <x:c r="S215" s="55" t="str">
        <x:f>IF(C215="","",IFERROR(Q215*R215/100,""))</x:f>
      </x:c>
      <x:c r="T215" s="55"/>
      <x:c r="U215" s="55"/>
      <x:c r="V215" s="55" t="str">
        <x:f>IF(U215="","",U215-TODAY())</x:f>
      </x:c>
      <x:c r="W215" s="55" t="str">
        <x:f>IF(AND(U215&lt;&gt;"",U215&lt;TODAY(),O215="Активен"),"ДА","")</x:f>
      </x:c>
      <x:c r="X215" s="55"/>
      <x:c r="Y215" s="55"/>
      <x:c r="Z215" s="55"/>
      <x:c r="AA215" s="55"/>
      <x:c r="AB215" s="55" t="str">
        <x:f>IF(C215="","", "Напиши " &amp; AA215 &amp; " за бизнес: " &amp; C215 &amp; ". Тип: " &amp; D215 &amp; ". Град: " &amp; E215 &amp; ". Проблем: " &amp; L215 &amp; ". Предложение: " &amp; M215 &amp; ". Етап: " &amp; N215 &amp; ". Бележки: " &amp; Y215)</x:f>
      </x:c>
      <x:c r="AC215" s="55"/>
    </x:row>
    <x:row r="216">
      <x:c r="A216" s="55"/>
      <x:c r="B216" s="55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55"/>
      <x:c r="S216" s="55" t="str">
        <x:f>IF(C216="","",IFERROR(Q216*R216/100,""))</x:f>
      </x:c>
      <x:c r="T216" s="55"/>
      <x:c r="U216" s="55"/>
      <x:c r="V216" s="55" t="str">
        <x:f>IF(U216="","",U216-TODAY())</x:f>
      </x:c>
      <x:c r="W216" s="55" t="str">
        <x:f>IF(AND(U216&lt;&gt;"",U216&lt;TODAY(),O216="Активен"),"ДА","")</x:f>
      </x:c>
      <x:c r="X216" s="55"/>
      <x:c r="Y216" s="55"/>
      <x:c r="Z216" s="55"/>
      <x:c r="AA216" s="55"/>
      <x:c r="AB216" s="55" t="str">
        <x:f>IF(C216="","", "Напиши " &amp; AA216 &amp; " за бизнес: " &amp; C216 &amp; ". Тип: " &amp; D216 &amp; ". Град: " &amp; E216 &amp; ". Проблем: " &amp; L216 &amp; ". Предложение: " &amp; M216 &amp; ". Етап: " &amp; N216 &amp; ". Бележки: " &amp; Y216)</x:f>
      </x:c>
      <x:c r="AC216" s="55"/>
    </x:row>
    <x:row r="217">
      <x:c r="A217" s="55"/>
      <x:c r="B217" s="55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55"/>
      <x:c r="S217" s="55" t="str">
        <x:f>IF(C217="","",IFERROR(Q217*R217/100,""))</x:f>
      </x:c>
      <x:c r="T217" s="55"/>
      <x:c r="U217" s="55"/>
      <x:c r="V217" s="55" t="str">
        <x:f>IF(U217="","",U217-TODAY())</x:f>
      </x:c>
      <x:c r="W217" s="55" t="str">
        <x:f>IF(AND(U217&lt;&gt;"",U217&lt;TODAY(),O217="Активен"),"ДА","")</x:f>
      </x:c>
      <x:c r="X217" s="55"/>
      <x:c r="Y217" s="55"/>
      <x:c r="Z217" s="55"/>
      <x:c r="AA217" s="55"/>
      <x:c r="AB217" s="55" t="str">
        <x:f>IF(C217="","", "Напиши " &amp; AA217 &amp; " за бизнес: " &amp; C217 &amp; ". Тип: " &amp; D217 &amp; ". Град: " &amp; E217 &amp; ". Проблем: " &amp; L217 &amp; ". Предложение: " &amp; M217 &amp; ". Етап: " &amp; N217 &amp; ". Бележки: " &amp; Y217)</x:f>
      </x:c>
      <x:c r="AC217" s="55"/>
    </x:row>
    <x:row r="218">
      <x:c r="A218" s="55"/>
      <x:c r="B218" s="55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55"/>
      <x:c r="S218" s="55" t="str">
        <x:f>IF(C218="","",IFERROR(Q218*R218/100,""))</x:f>
      </x:c>
      <x:c r="T218" s="55"/>
      <x:c r="U218" s="55"/>
      <x:c r="V218" s="55" t="str">
        <x:f>IF(U218="","",U218-TODAY())</x:f>
      </x:c>
      <x:c r="W218" s="55" t="str">
        <x:f>IF(AND(U218&lt;&gt;"",U218&lt;TODAY(),O218="Активен"),"ДА","")</x:f>
      </x:c>
      <x:c r="X218" s="55"/>
      <x:c r="Y218" s="55"/>
      <x:c r="Z218" s="55"/>
      <x:c r="AA218" s="55"/>
      <x:c r="AB218" s="55" t="str">
        <x:f>IF(C218="","", "Напиши " &amp; AA218 &amp; " за бизнес: " &amp; C218 &amp; ". Тип: " &amp; D218 &amp; ". Град: " &amp; E218 &amp; ". Проблем: " &amp; L218 &amp; ". Предложение: " &amp; M218 &amp; ". Етап: " &amp; N218 &amp; ". Бележки: " &amp; Y218)</x:f>
      </x:c>
      <x:c r="AC218" s="55"/>
    </x:row>
    <x:row r="219">
      <x:c r="A219" s="55"/>
      <x:c r="B219" s="55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  <x:c r="S219" s="55" t="str">
        <x:f>IF(C219="","",IFERROR(Q219*R219/100,""))</x:f>
      </x:c>
      <x:c r="T219" s="55"/>
      <x:c r="U219" s="55"/>
      <x:c r="V219" s="55" t="str">
        <x:f>IF(U219="","",U219-TODAY())</x:f>
      </x:c>
      <x:c r="W219" s="55" t="str">
        <x:f>IF(AND(U219&lt;&gt;"",U219&lt;TODAY(),O219="Активен"),"ДА","")</x:f>
      </x:c>
      <x:c r="X219" s="55"/>
      <x:c r="Y219" s="55"/>
      <x:c r="Z219" s="55"/>
      <x:c r="AA219" s="55"/>
      <x:c r="AB219" s="55" t="str">
        <x:f>IF(C219="","", "Напиши " &amp; AA219 &amp; " за бизнес: " &amp; C219 &amp; ". Тип: " &amp; D219 &amp; ". Град: " &amp; E219 &amp; ". Проблем: " &amp; L219 &amp; ". Предложение: " &amp; M219 &amp; ". Етап: " &amp; N219 &amp; ". Бележки: " &amp; Y219)</x:f>
      </x:c>
      <x:c r="AC219" s="55"/>
    </x:row>
    <x:row r="220">
      <x:c r="A220" s="55"/>
      <x:c r="B220" s="55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55"/>
      <x:c r="S220" s="55" t="str">
        <x:f>IF(C220="","",IFERROR(Q220*R220/100,""))</x:f>
      </x:c>
      <x:c r="T220" s="55"/>
      <x:c r="U220" s="55"/>
      <x:c r="V220" s="55" t="str">
        <x:f>IF(U220="","",U220-TODAY())</x:f>
      </x:c>
      <x:c r="W220" s="55" t="str">
        <x:f>IF(AND(U220&lt;&gt;"",U220&lt;TODAY(),O220="Активен"),"ДА","")</x:f>
      </x:c>
      <x:c r="X220" s="55"/>
      <x:c r="Y220" s="55"/>
      <x:c r="Z220" s="55"/>
      <x:c r="AA220" s="55"/>
      <x:c r="AB220" s="55" t="str">
        <x:f>IF(C220="","", "Напиши " &amp; AA220 &amp; " за бизнес: " &amp; C220 &amp; ". Тип: " &amp; D220 &amp; ". Град: " &amp; E220 &amp; ". Проблем: " &amp; L220 &amp; ". Предложение: " &amp; M220 &amp; ". Етап: " &amp; N220 &amp; ". Бележки: " &amp; Y220)</x:f>
      </x:c>
      <x:c r="AC220" s="55"/>
    </x:row>
    <x:row r="221">
      <x:c r="A221" s="55"/>
      <x:c r="B221" s="55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55"/>
      <x:c r="S221" s="55" t="str">
        <x:f>IF(C221="","",IFERROR(Q221*R221/100,""))</x:f>
      </x:c>
      <x:c r="T221" s="55"/>
      <x:c r="U221" s="55"/>
      <x:c r="V221" s="55" t="str">
        <x:f>IF(U221="","",U221-TODAY())</x:f>
      </x:c>
      <x:c r="W221" s="55" t="str">
        <x:f>IF(AND(U221&lt;&gt;"",U221&lt;TODAY(),O221="Активен"),"ДА","")</x:f>
      </x:c>
      <x:c r="X221" s="55"/>
      <x:c r="Y221" s="55"/>
      <x:c r="Z221" s="55"/>
      <x:c r="AA221" s="55"/>
      <x:c r="AB221" s="55" t="str">
        <x:f>IF(C221="","", "Напиши " &amp; AA221 &amp; " за бизнес: " &amp; C221 &amp; ". Тип: " &amp; D221 &amp; ". Град: " &amp; E221 &amp; ". Проблем: " &amp; L221 &amp; ". Предложение: " &amp; M221 &amp; ". Етап: " &amp; N221 &amp; ". Бележки: " &amp; Y221)</x:f>
      </x:c>
      <x:c r="AC221" s="55"/>
    </x:row>
    <x:row r="222">
      <x:c r="A222" s="55"/>
      <x:c r="B222" s="55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55"/>
      <x:c r="S222" s="55" t="str">
        <x:f>IF(C222="","",IFERROR(Q222*R222/100,""))</x:f>
      </x:c>
      <x:c r="T222" s="55"/>
      <x:c r="U222" s="55"/>
      <x:c r="V222" s="55" t="str">
        <x:f>IF(U222="","",U222-TODAY())</x:f>
      </x:c>
      <x:c r="W222" s="55" t="str">
        <x:f>IF(AND(U222&lt;&gt;"",U222&lt;TODAY(),O222="Активен"),"ДА","")</x:f>
      </x:c>
      <x:c r="X222" s="55"/>
      <x:c r="Y222" s="55"/>
      <x:c r="Z222" s="55"/>
      <x:c r="AA222" s="55"/>
      <x:c r="AB222" s="55" t="str">
        <x:f>IF(C222="","", "Напиши " &amp; AA222 &amp; " за бизнес: " &amp; C222 &amp; ". Тип: " &amp; D222 &amp; ". Град: " &amp; E222 &amp; ". Проблем: " &amp; L222 &amp; ". Предложение: " &amp; M222 &amp; ". Етап: " &amp; N222 &amp; ". Бележки: " &amp; Y222)</x:f>
      </x:c>
      <x:c r="AC222" s="55"/>
    </x:row>
    <x:row r="223">
      <x:c r="A223" s="55"/>
      <x:c r="B223" s="55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55"/>
      <x:c r="S223" s="55" t="str">
        <x:f>IF(C223="","",IFERROR(Q223*R223/100,""))</x:f>
      </x:c>
      <x:c r="T223" s="55"/>
      <x:c r="U223" s="55"/>
      <x:c r="V223" s="55" t="str">
        <x:f>IF(U223="","",U223-TODAY())</x:f>
      </x:c>
      <x:c r="W223" s="55" t="str">
        <x:f>IF(AND(U223&lt;&gt;"",U223&lt;TODAY(),O223="Активен"),"ДА","")</x:f>
      </x:c>
      <x:c r="X223" s="55"/>
      <x:c r="Y223" s="55"/>
      <x:c r="Z223" s="55"/>
      <x:c r="AA223" s="55"/>
      <x:c r="AB223" s="55" t="str">
        <x:f>IF(C223="","", "Напиши " &amp; AA223 &amp; " за бизнес: " &amp; C223 &amp; ". Тип: " &amp; D223 &amp; ". Град: " &amp; E223 &amp; ". Проблем: " &amp; L223 &amp; ". Предложение: " &amp; M223 &amp; ". Етап: " &amp; N223 &amp; ". Бележки: " &amp; Y223)</x:f>
      </x:c>
      <x:c r="AC223" s="55"/>
    </x:row>
    <x:row r="224">
      <x:c r="A224" s="55"/>
      <x:c r="B224" s="55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55"/>
      <x:c r="S224" s="55" t="str">
        <x:f>IF(C224="","",IFERROR(Q224*R224/100,""))</x:f>
      </x:c>
      <x:c r="T224" s="55"/>
      <x:c r="U224" s="55"/>
      <x:c r="V224" s="55" t="str">
        <x:f>IF(U224="","",U224-TODAY())</x:f>
      </x:c>
      <x:c r="W224" s="55" t="str">
        <x:f>IF(AND(U224&lt;&gt;"",U224&lt;TODAY(),O224="Активен"),"ДА","")</x:f>
      </x:c>
      <x:c r="X224" s="55"/>
      <x:c r="Y224" s="55"/>
      <x:c r="Z224" s="55"/>
      <x:c r="AA224" s="55"/>
      <x:c r="AB224" s="55" t="str">
        <x:f>IF(C224="","", "Напиши " &amp; AA224 &amp; " за бизнес: " &amp; C224 &amp; ". Тип: " &amp; D224 &amp; ". Град: " &amp; E224 &amp; ". Проблем: " &amp; L224 &amp; ". Предложение: " &amp; M224 &amp; ". Етап: " &amp; N224 &amp; ". Бележки: " &amp; Y224)</x:f>
      </x:c>
      <x:c r="AC224" s="55"/>
    </x:row>
    <x:row r="225">
      <x:c r="A225" s="55"/>
      <x:c r="B225" s="55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55"/>
      <x:c r="S225" s="55" t="str">
        <x:f>IF(C225="","",IFERROR(Q225*R225/100,""))</x:f>
      </x:c>
      <x:c r="T225" s="55"/>
      <x:c r="U225" s="55"/>
      <x:c r="V225" s="55" t="str">
        <x:f>IF(U225="","",U225-TODAY())</x:f>
      </x:c>
      <x:c r="W225" s="55" t="str">
        <x:f>IF(AND(U225&lt;&gt;"",U225&lt;TODAY(),O225="Активен"),"ДА","")</x:f>
      </x:c>
      <x:c r="X225" s="55"/>
      <x:c r="Y225" s="55"/>
      <x:c r="Z225" s="55"/>
      <x:c r="AA225" s="55"/>
      <x:c r="AB225" s="55" t="str">
        <x:f>IF(C225="","", "Напиши " &amp; AA225 &amp; " за бизнес: " &amp; C225 &amp; ". Тип: " &amp; D225 &amp; ". Град: " &amp; E225 &amp; ". Проблем: " &amp; L225 &amp; ". Предложение: " &amp; M225 &amp; ". Етап: " &amp; N225 &amp; ". Бележки: " &amp; Y225)</x:f>
      </x:c>
      <x:c r="AC225" s="55"/>
    </x:row>
    <x:row r="226">
      <x:c r="A226" s="55"/>
      <x:c r="B226" s="55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55"/>
      <x:c r="S226" s="55" t="str">
        <x:f>IF(C226="","",IFERROR(Q226*R226/100,""))</x:f>
      </x:c>
      <x:c r="T226" s="55"/>
      <x:c r="U226" s="55"/>
      <x:c r="V226" s="55" t="str">
        <x:f>IF(U226="","",U226-TODAY())</x:f>
      </x:c>
      <x:c r="W226" s="55" t="str">
        <x:f>IF(AND(U226&lt;&gt;"",U226&lt;TODAY(),O226="Активен"),"ДА","")</x:f>
      </x:c>
      <x:c r="X226" s="55"/>
      <x:c r="Y226" s="55"/>
      <x:c r="Z226" s="55"/>
      <x:c r="AA226" s="55"/>
      <x:c r="AB226" s="55" t="str">
        <x:f>IF(C226="","", "Напиши " &amp; AA226 &amp; " за бизнес: " &amp; C226 &amp; ". Тип: " &amp; D226 &amp; ". Град: " &amp; E226 &amp; ". Проблем: " &amp; L226 &amp; ". Предложение: " &amp; M226 &amp; ". Етап: " &amp; N226 &amp; ". Бележки: " &amp; Y226)</x:f>
      </x:c>
      <x:c r="AC226" s="55"/>
    </x:row>
    <x:row r="227">
      <x:c r="A227" s="55"/>
      <x:c r="B227" s="55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55"/>
      <x:c r="S227" s="55" t="str">
        <x:f>IF(C227="","",IFERROR(Q227*R227/100,""))</x:f>
      </x:c>
      <x:c r="T227" s="55"/>
      <x:c r="U227" s="55"/>
      <x:c r="V227" s="55" t="str">
        <x:f>IF(U227="","",U227-TODAY())</x:f>
      </x:c>
      <x:c r="W227" s="55" t="str">
        <x:f>IF(AND(U227&lt;&gt;"",U227&lt;TODAY(),O227="Активен"),"ДА","")</x:f>
      </x:c>
      <x:c r="X227" s="55"/>
      <x:c r="Y227" s="55"/>
      <x:c r="Z227" s="55"/>
      <x:c r="AA227" s="55"/>
      <x:c r="AB227" s="55" t="str">
        <x:f>IF(C227="","", "Напиши " &amp; AA227 &amp; " за бизнес: " &amp; C227 &amp; ". Тип: " &amp; D227 &amp; ". Град: " &amp; E227 &amp; ". Проблем: " &amp; L227 &amp; ". Предложение: " &amp; M227 &amp; ". Етап: " &amp; N227 &amp; ". Бележки: " &amp; Y227)</x:f>
      </x:c>
      <x:c r="AC227" s="55"/>
    </x:row>
    <x:row r="228">
      <x:c r="A228" s="55"/>
      <x:c r="B228" s="55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55"/>
      <x:c r="S228" s="55" t="str">
        <x:f>IF(C228="","",IFERROR(Q228*R228/100,""))</x:f>
      </x:c>
      <x:c r="T228" s="55"/>
      <x:c r="U228" s="55"/>
      <x:c r="V228" s="55" t="str">
        <x:f>IF(U228="","",U228-TODAY())</x:f>
      </x:c>
      <x:c r="W228" s="55" t="str">
        <x:f>IF(AND(U228&lt;&gt;"",U228&lt;TODAY(),O228="Активен"),"ДА","")</x:f>
      </x:c>
      <x:c r="X228" s="55"/>
      <x:c r="Y228" s="55"/>
      <x:c r="Z228" s="55"/>
      <x:c r="AA228" s="55"/>
      <x:c r="AB228" s="55" t="str">
        <x:f>IF(C228="","", "Напиши " &amp; AA228 &amp; " за бизнес: " &amp; C228 &amp; ". Тип: " &amp; D228 &amp; ". Град: " &amp; E228 &amp; ". Проблем: " &amp; L228 &amp; ". Предложение: " &amp; M228 &amp; ". Етап: " &amp; N228 &amp; ". Бележки: " &amp; Y228)</x:f>
      </x:c>
      <x:c r="AC228" s="55"/>
    </x:row>
    <x:row r="229">
      <x:c r="A229" s="55"/>
      <x:c r="B229" s="55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55"/>
      <x:c r="S229" s="55" t="str">
        <x:f>IF(C229="","",IFERROR(Q229*R229/100,""))</x:f>
      </x:c>
      <x:c r="T229" s="55"/>
      <x:c r="U229" s="55"/>
      <x:c r="V229" s="55" t="str">
        <x:f>IF(U229="","",U229-TODAY())</x:f>
      </x:c>
      <x:c r="W229" s="55" t="str">
        <x:f>IF(AND(U229&lt;&gt;"",U229&lt;TODAY(),O229="Активен"),"ДА","")</x:f>
      </x:c>
      <x:c r="X229" s="55"/>
      <x:c r="Y229" s="55"/>
      <x:c r="Z229" s="55"/>
      <x:c r="AA229" s="55"/>
      <x:c r="AB229" s="55" t="str">
        <x:f>IF(C229="","", "Напиши " &amp; AA229 &amp; " за бизнес: " &amp; C229 &amp; ". Тип: " &amp; D229 &amp; ". Град: " &amp; E229 &amp; ". Проблем: " &amp; L229 &amp; ". Предложение: " &amp; M229 &amp; ". Етап: " &amp; N229 &amp; ". Бележки: " &amp; Y229)</x:f>
      </x:c>
      <x:c r="AC229" s="55"/>
    </x:row>
    <x:row r="230">
      <x:c r="A230" s="55"/>
      <x:c r="B230" s="55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55"/>
      <x:c r="S230" s="55" t="str">
        <x:f>IF(C230="","",IFERROR(Q230*R230/100,""))</x:f>
      </x:c>
      <x:c r="T230" s="55"/>
      <x:c r="U230" s="55"/>
      <x:c r="V230" s="55" t="str">
        <x:f>IF(U230="","",U230-TODAY())</x:f>
      </x:c>
      <x:c r="W230" s="55" t="str">
        <x:f>IF(AND(U230&lt;&gt;"",U230&lt;TODAY(),O230="Активен"),"ДА","")</x:f>
      </x:c>
      <x:c r="X230" s="55"/>
      <x:c r="Y230" s="55"/>
      <x:c r="Z230" s="55"/>
      <x:c r="AA230" s="55"/>
      <x:c r="AB230" s="55" t="str">
        <x:f>IF(C230="","", "Напиши " &amp; AA230 &amp; " за бизнес: " &amp; C230 &amp; ". Тип: " &amp; D230 &amp; ". Град: " &amp; E230 &amp; ". Проблем: " &amp; L230 &amp; ". Предложение: " &amp; M230 &amp; ". Етап: " &amp; N230 &amp; ". Бележки: " &amp; Y230)</x:f>
      </x:c>
      <x:c r="AC230" s="55"/>
    </x:row>
    <x:row r="231">
      <x:c r="A231" s="55"/>
      <x:c r="B231" s="55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55"/>
      <x:c r="S231" s="55" t="str">
        <x:f>IF(C231="","",IFERROR(Q231*R231/100,""))</x:f>
      </x:c>
      <x:c r="T231" s="55"/>
      <x:c r="U231" s="55"/>
      <x:c r="V231" s="55" t="str">
        <x:f>IF(U231="","",U231-TODAY())</x:f>
      </x:c>
      <x:c r="W231" s="55" t="str">
        <x:f>IF(AND(U231&lt;&gt;"",U231&lt;TODAY(),O231="Активен"),"ДА","")</x:f>
      </x:c>
      <x:c r="X231" s="55"/>
      <x:c r="Y231" s="55"/>
      <x:c r="Z231" s="55"/>
      <x:c r="AA231" s="55"/>
      <x:c r="AB231" s="55" t="str">
        <x:f>IF(C231="","", "Напиши " &amp; AA231 &amp; " за бизнес: " &amp; C231 &amp; ". Тип: " &amp; D231 &amp; ". Град: " &amp; E231 &amp; ". Проблем: " &amp; L231 &amp; ". Предложение: " &amp; M231 &amp; ". Етап: " &amp; N231 &amp; ". Бележки: " &amp; Y231)</x:f>
      </x:c>
      <x:c r="AC231" s="55"/>
    </x:row>
    <x:row r="232">
      <x:c r="A232" s="55"/>
      <x:c r="B232" s="55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55"/>
      <x:c r="S232" s="55" t="str">
        <x:f>IF(C232="","",IFERROR(Q232*R232/100,""))</x:f>
      </x:c>
      <x:c r="T232" s="55"/>
      <x:c r="U232" s="55"/>
      <x:c r="V232" s="55" t="str">
        <x:f>IF(U232="","",U232-TODAY())</x:f>
      </x:c>
      <x:c r="W232" s="55" t="str">
        <x:f>IF(AND(U232&lt;&gt;"",U232&lt;TODAY(),O232="Активен"),"ДА","")</x:f>
      </x:c>
      <x:c r="X232" s="55"/>
      <x:c r="Y232" s="55"/>
      <x:c r="Z232" s="55"/>
      <x:c r="AA232" s="55"/>
      <x:c r="AB232" s="55" t="str">
        <x:f>IF(C232="","", "Напиши " &amp; AA232 &amp; " за бизнес: " &amp; C232 &amp; ". Тип: " &amp; D232 &amp; ". Град: " &amp; E232 &amp; ". Проблем: " &amp; L232 &amp; ". Предложение: " &amp; M232 &amp; ". Етап: " &amp; N232 &amp; ". Бележки: " &amp; Y232)</x:f>
      </x:c>
      <x:c r="AC232" s="55"/>
    </x:row>
    <x:row r="233">
      <x:c r="A233" s="55"/>
      <x:c r="B233" s="55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55"/>
      <x:c r="S233" s="55" t="str">
        <x:f>IF(C233="","",IFERROR(Q233*R233/100,""))</x:f>
      </x:c>
      <x:c r="T233" s="55"/>
      <x:c r="U233" s="55"/>
      <x:c r="V233" s="55" t="str">
        <x:f>IF(U233="","",U233-TODAY())</x:f>
      </x:c>
      <x:c r="W233" s="55" t="str">
        <x:f>IF(AND(U233&lt;&gt;"",U233&lt;TODAY(),O233="Активен"),"ДА","")</x:f>
      </x:c>
      <x:c r="X233" s="55"/>
      <x:c r="Y233" s="55"/>
      <x:c r="Z233" s="55"/>
      <x:c r="AA233" s="55"/>
      <x:c r="AB233" s="55" t="str">
        <x:f>IF(C233="","", "Напиши " &amp; AA233 &amp; " за бизнес: " &amp; C233 &amp; ". Тип: " &amp; D233 &amp; ". Град: " &amp; E233 &amp; ". Проблем: " &amp; L233 &amp; ". Предложение: " &amp; M233 &amp; ". Етап: " &amp; N233 &amp; ". Бележки: " &amp; Y233)</x:f>
      </x:c>
      <x:c r="AC233" s="55"/>
    </x:row>
    <x:row r="234">
      <x:c r="A234" s="55"/>
      <x:c r="B234" s="55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55"/>
      <x:c r="S234" s="55" t="str">
        <x:f>IF(C234="","",IFERROR(Q234*R234/100,""))</x:f>
      </x:c>
      <x:c r="T234" s="55"/>
      <x:c r="U234" s="55"/>
      <x:c r="V234" s="55" t="str">
        <x:f>IF(U234="","",U234-TODAY())</x:f>
      </x:c>
      <x:c r="W234" s="55" t="str">
        <x:f>IF(AND(U234&lt;&gt;"",U234&lt;TODAY(),O234="Активен"),"ДА","")</x:f>
      </x:c>
      <x:c r="X234" s="55"/>
      <x:c r="Y234" s="55"/>
      <x:c r="Z234" s="55"/>
      <x:c r="AA234" s="55"/>
      <x:c r="AB234" s="55" t="str">
        <x:f>IF(C234="","", "Напиши " &amp; AA234 &amp; " за бизнес: " &amp; C234 &amp; ". Тип: " &amp; D234 &amp; ". Град: " &amp; E234 &amp; ". Проблем: " &amp; L234 &amp; ". Предложение: " &amp; M234 &amp; ". Етап: " &amp; N234 &amp; ". Бележки: " &amp; Y234)</x:f>
      </x:c>
      <x:c r="AC234" s="55"/>
    </x:row>
    <x:row r="235">
      <x:c r="A235" s="55"/>
      <x:c r="B235" s="55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55"/>
      <x:c r="S235" s="55" t="str">
        <x:f>IF(C235="","",IFERROR(Q235*R235/100,""))</x:f>
      </x:c>
      <x:c r="T235" s="55"/>
      <x:c r="U235" s="55"/>
      <x:c r="V235" s="55" t="str">
        <x:f>IF(U235="","",U235-TODAY())</x:f>
      </x:c>
      <x:c r="W235" s="55" t="str">
        <x:f>IF(AND(U235&lt;&gt;"",U235&lt;TODAY(),O235="Активен"),"ДА","")</x:f>
      </x:c>
      <x:c r="X235" s="55"/>
      <x:c r="Y235" s="55"/>
      <x:c r="Z235" s="55"/>
      <x:c r="AA235" s="55"/>
      <x:c r="AB235" s="55" t="str">
        <x:f>IF(C235="","", "Напиши " &amp; AA235 &amp; " за бизнес: " &amp; C235 &amp; ". Тип: " &amp; D235 &amp; ". Град: " &amp; E235 &amp; ". Проблем: " &amp; L235 &amp; ". Предложение: " &amp; M235 &amp; ". Етап: " &amp; N235 &amp; ". Бележки: " &amp; Y235)</x:f>
      </x:c>
      <x:c r="AC235" s="55"/>
    </x:row>
    <x:row r="236">
      <x:c r="A236" s="55"/>
      <x:c r="B236" s="55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55"/>
      <x:c r="S236" s="55" t="str">
        <x:f>IF(C236="","",IFERROR(Q236*R236/100,""))</x:f>
      </x:c>
      <x:c r="T236" s="55"/>
      <x:c r="U236" s="55"/>
      <x:c r="V236" s="55" t="str">
        <x:f>IF(U236="","",U236-TODAY())</x:f>
      </x:c>
      <x:c r="W236" s="55" t="str">
        <x:f>IF(AND(U236&lt;&gt;"",U236&lt;TODAY(),O236="Активен"),"ДА","")</x:f>
      </x:c>
      <x:c r="X236" s="55"/>
      <x:c r="Y236" s="55"/>
      <x:c r="Z236" s="55"/>
      <x:c r="AA236" s="55"/>
      <x:c r="AB236" s="55" t="str">
        <x:f>IF(C236="","", "Напиши " &amp; AA236 &amp; " за бизнес: " &amp; C236 &amp; ". Тип: " &amp; D236 &amp; ". Град: " &amp; E236 &amp; ". Проблем: " &amp; L236 &amp; ". Предложение: " &amp; M236 &amp; ". Етап: " &amp; N236 &amp; ". Бележки: " &amp; Y236)</x:f>
      </x:c>
      <x:c r="AC236" s="55"/>
    </x:row>
    <x:row r="237">
      <x:c r="A237" s="55"/>
      <x:c r="B237" s="55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55"/>
      <x:c r="S237" s="55" t="str">
        <x:f>IF(C237="","",IFERROR(Q237*R237/100,""))</x:f>
      </x:c>
      <x:c r="T237" s="55"/>
      <x:c r="U237" s="55"/>
      <x:c r="V237" s="55" t="str">
        <x:f>IF(U237="","",U237-TODAY())</x:f>
      </x:c>
      <x:c r="W237" s="55" t="str">
        <x:f>IF(AND(U237&lt;&gt;"",U237&lt;TODAY(),O237="Активен"),"ДА","")</x:f>
      </x:c>
      <x:c r="X237" s="55"/>
      <x:c r="Y237" s="55"/>
      <x:c r="Z237" s="55"/>
      <x:c r="AA237" s="55"/>
      <x:c r="AB237" s="55" t="str">
        <x:f>IF(C237="","", "Напиши " &amp; AA237 &amp; " за бизнес: " &amp; C237 &amp; ". Тип: " &amp; D237 &amp; ". Град: " &amp; E237 &amp; ". Проблем: " &amp; L237 &amp; ". Предложение: " &amp; M237 &amp; ". Етап: " &amp; N237 &amp; ". Бележки: " &amp; Y237)</x:f>
      </x:c>
      <x:c r="AC237" s="55"/>
    </x:row>
    <x:row r="238">
      <x:c r="A238" s="55"/>
      <x:c r="B238" s="55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55"/>
      <x:c r="S238" s="55" t="str">
        <x:f>IF(C238="","",IFERROR(Q238*R238/100,""))</x:f>
      </x:c>
      <x:c r="T238" s="55"/>
      <x:c r="U238" s="55"/>
      <x:c r="V238" s="55" t="str">
        <x:f>IF(U238="","",U238-TODAY())</x:f>
      </x:c>
      <x:c r="W238" s="55" t="str">
        <x:f>IF(AND(U238&lt;&gt;"",U238&lt;TODAY(),O238="Активен"),"ДА","")</x:f>
      </x:c>
      <x:c r="X238" s="55"/>
      <x:c r="Y238" s="55"/>
      <x:c r="Z238" s="55"/>
      <x:c r="AA238" s="55"/>
      <x:c r="AB238" s="55" t="str">
        <x:f>IF(C238="","", "Напиши " &amp; AA238 &amp; " за бизнес: " &amp; C238 &amp; ". Тип: " &amp; D238 &amp; ". Град: " &amp; E238 &amp; ". Проблем: " &amp; L238 &amp; ". Предложение: " &amp; M238 &amp; ". Етап: " &amp; N238 &amp; ". Бележки: " &amp; Y238)</x:f>
      </x:c>
      <x:c r="AC238" s="55"/>
    </x:row>
    <x:row r="239">
      <x:c r="A239" s="55"/>
      <x:c r="B239" s="55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55"/>
      <x:c r="S239" s="55" t="str">
        <x:f>IF(C239="","",IFERROR(Q239*R239/100,""))</x:f>
      </x:c>
      <x:c r="T239" s="55"/>
      <x:c r="U239" s="55"/>
      <x:c r="V239" s="55" t="str">
        <x:f>IF(U239="","",U239-TODAY())</x:f>
      </x:c>
      <x:c r="W239" s="55" t="str">
        <x:f>IF(AND(U239&lt;&gt;"",U239&lt;TODAY(),O239="Активен"),"ДА","")</x:f>
      </x:c>
      <x:c r="X239" s="55"/>
      <x:c r="Y239" s="55"/>
      <x:c r="Z239" s="55"/>
      <x:c r="AA239" s="55"/>
      <x:c r="AB239" s="55" t="str">
        <x:f>IF(C239="","", "Напиши " &amp; AA239 &amp; " за бизнес: " &amp; C239 &amp; ". Тип: " &amp; D239 &amp; ". Град: " &amp; E239 &amp; ". Проблем: " &amp; L239 &amp; ". Предложение: " &amp; M239 &amp; ". Етап: " &amp; N239 &amp; ". Бележки: " &amp; Y239)</x:f>
      </x:c>
      <x:c r="AC239" s="55"/>
    </x:row>
    <x:row r="240">
      <x:c r="A240" s="55"/>
      <x:c r="B240" s="55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55"/>
      <x:c r="S240" s="55" t="str">
        <x:f>IF(C240="","",IFERROR(Q240*R240/100,""))</x:f>
      </x:c>
      <x:c r="T240" s="55"/>
      <x:c r="U240" s="55"/>
      <x:c r="V240" s="55" t="str">
        <x:f>IF(U240="","",U240-TODAY())</x:f>
      </x:c>
      <x:c r="W240" s="55" t="str">
        <x:f>IF(AND(U240&lt;&gt;"",U240&lt;TODAY(),O240="Активен"),"ДА","")</x:f>
      </x:c>
      <x:c r="X240" s="55"/>
      <x:c r="Y240" s="55"/>
      <x:c r="Z240" s="55"/>
      <x:c r="AA240" s="55"/>
      <x:c r="AB240" s="55" t="str">
        <x:f>IF(C240="","", "Напиши " &amp; AA240 &amp; " за бизнес: " &amp; C240 &amp; ". Тип: " &amp; D240 &amp; ". Град: " &amp; E240 &amp; ". Проблем: " &amp; L240 &amp; ". Предложение: " &amp; M240 &amp; ". Етап: " &amp; N240 &amp; ". Бележки: " &amp; Y240)</x:f>
      </x:c>
      <x:c r="AC240" s="55"/>
    </x:row>
    <x:row r="241">
      <x:c r="A241" s="55"/>
      <x:c r="B241" s="55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55"/>
      <x:c r="S241" s="55" t="str">
        <x:f>IF(C241="","",IFERROR(Q241*R241/100,""))</x:f>
      </x:c>
      <x:c r="T241" s="55"/>
      <x:c r="U241" s="55"/>
      <x:c r="V241" s="55" t="str">
        <x:f>IF(U241="","",U241-TODAY())</x:f>
      </x:c>
      <x:c r="W241" s="55" t="str">
        <x:f>IF(AND(U241&lt;&gt;"",U241&lt;TODAY(),O241="Активен"),"ДА","")</x:f>
      </x:c>
      <x:c r="X241" s="55"/>
      <x:c r="Y241" s="55"/>
      <x:c r="Z241" s="55"/>
      <x:c r="AA241" s="55"/>
      <x:c r="AB241" s="55" t="str">
        <x:f>IF(C241="","", "Напиши " &amp; AA241 &amp; " за бизнес: " &amp; C241 &amp; ". Тип: " &amp; D241 &amp; ". Град: " &amp; E241 &amp; ". Проблем: " &amp; L241 &amp; ". Предложение: " &amp; M241 &amp; ". Етап: " &amp; N241 &amp; ". Бележки: " &amp; Y241)</x:f>
      </x:c>
      <x:c r="AC241" s="55"/>
    </x:row>
    <x:row r="242">
      <x:c r="A242" s="55"/>
      <x:c r="B242" s="55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55"/>
      <x:c r="S242" s="55" t="str">
        <x:f>IF(C242="","",IFERROR(Q242*R242/100,""))</x:f>
      </x:c>
      <x:c r="T242" s="55"/>
      <x:c r="U242" s="55"/>
      <x:c r="V242" s="55" t="str">
        <x:f>IF(U242="","",U242-TODAY())</x:f>
      </x:c>
      <x:c r="W242" s="55" t="str">
        <x:f>IF(AND(U242&lt;&gt;"",U242&lt;TODAY(),O242="Активен"),"ДА","")</x:f>
      </x:c>
      <x:c r="X242" s="55"/>
      <x:c r="Y242" s="55"/>
      <x:c r="Z242" s="55"/>
      <x:c r="AA242" s="55"/>
      <x:c r="AB242" s="55" t="str">
        <x:f>IF(C242="","", "Напиши " &amp; AA242 &amp; " за бизнес: " &amp; C242 &amp; ". Тип: " &amp; D242 &amp; ". Град: " &amp; E242 &amp; ". Проблем: " &amp; L242 &amp; ". Предложение: " &amp; M242 &amp; ". Етап: " &amp; N242 &amp; ". Бележки: " &amp; Y242)</x:f>
      </x:c>
      <x:c r="AC242" s="55"/>
    </x:row>
    <x:row r="243">
      <x:c r="A243" s="55"/>
      <x:c r="B243" s="55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55"/>
      <x:c r="S243" s="55" t="str">
        <x:f>IF(C243="","",IFERROR(Q243*R243/100,""))</x:f>
      </x:c>
      <x:c r="T243" s="55"/>
      <x:c r="U243" s="55"/>
      <x:c r="V243" s="55" t="str">
        <x:f>IF(U243="","",U243-TODAY())</x:f>
      </x:c>
      <x:c r="W243" s="55" t="str">
        <x:f>IF(AND(U243&lt;&gt;"",U243&lt;TODAY(),O243="Активен"),"ДА","")</x:f>
      </x:c>
      <x:c r="X243" s="55"/>
      <x:c r="Y243" s="55"/>
      <x:c r="Z243" s="55"/>
      <x:c r="AA243" s="55"/>
      <x:c r="AB243" s="55" t="str">
        <x:f>IF(C243="","", "Напиши " &amp; AA243 &amp; " за бизнес: " &amp; C243 &amp; ". Тип: " &amp; D243 &amp; ". Град: " &amp; E243 &amp; ". Проблем: " &amp; L243 &amp; ". Предложение: " &amp; M243 &amp; ". Етап: " &amp; N243 &amp; ". Бележки: " &amp; Y243)</x:f>
      </x:c>
      <x:c r="AC243" s="55"/>
    </x:row>
    <x:row r="244">
      <x:c r="A244" s="55"/>
      <x:c r="B244" s="55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55"/>
      <x:c r="S244" s="55" t="str">
        <x:f>IF(C244="","",IFERROR(Q244*R244/100,""))</x:f>
      </x:c>
      <x:c r="T244" s="55"/>
      <x:c r="U244" s="55"/>
      <x:c r="V244" s="55" t="str">
        <x:f>IF(U244="","",U244-TODAY())</x:f>
      </x:c>
      <x:c r="W244" s="55" t="str">
        <x:f>IF(AND(U244&lt;&gt;"",U244&lt;TODAY(),O244="Активен"),"ДА","")</x:f>
      </x:c>
      <x:c r="X244" s="55"/>
      <x:c r="Y244" s="55"/>
      <x:c r="Z244" s="55"/>
      <x:c r="AA244" s="55"/>
      <x:c r="AB244" s="55" t="str">
        <x:f>IF(C244="","", "Напиши " &amp; AA244 &amp; " за бизнес: " &amp; C244 &amp; ". Тип: " &amp; D244 &amp; ". Град: " &amp; E244 &amp; ". Проблем: " &amp; L244 &amp; ". Предложение: " &amp; M244 &amp; ". Етап: " &amp; N244 &amp; ". Бележки: " &amp; Y244)</x:f>
      </x:c>
      <x:c r="AC244" s="55"/>
    </x:row>
    <x:row r="245">
      <x:c r="A245" s="55"/>
      <x:c r="B245" s="55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55"/>
      <x:c r="S245" s="55" t="str">
        <x:f>IF(C245="","",IFERROR(Q245*R245/100,""))</x:f>
      </x:c>
      <x:c r="T245" s="55"/>
      <x:c r="U245" s="55"/>
      <x:c r="V245" s="55" t="str">
        <x:f>IF(U245="","",U245-TODAY())</x:f>
      </x:c>
      <x:c r="W245" s="55" t="str">
        <x:f>IF(AND(U245&lt;&gt;"",U245&lt;TODAY(),O245="Активен"),"ДА","")</x:f>
      </x:c>
      <x:c r="X245" s="55"/>
      <x:c r="Y245" s="55"/>
      <x:c r="Z245" s="55"/>
      <x:c r="AA245" s="55"/>
      <x:c r="AB245" s="55" t="str">
        <x:f>IF(C245="","", "Напиши " &amp; AA245 &amp; " за бизнес: " &amp; C245 &amp; ". Тип: " &amp; D245 &amp; ". Град: " &amp; E245 &amp; ". Проблем: " &amp; L245 &amp; ". Предложение: " &amp; M245 &amp; ". Етап: " &amp; N245 &amp; ". Бележки: " &amp; Y245)</x:f>
      </x:c>
      <x:c r="AC245" s="55"/>
    </x:row>
    <x:row r="246">
      <x:c r="A246" s="55"/>
      <x:c r="B246" s="55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55"/>
      <x:c r="S246" s="55" t="str">
        <x:f>IF(C246="","",IFERROR(Q246*R246/100,""))</x:f>
      </x:c>
      <x:c r="T246" s="55"/>
      <x:c r="U246" s="55"/>
      <x:c r="V246" s="55" t="str">
        <x:f>IF(U246="","",U246-TODAY())</x:f>
      </x:c>
      <x:c r="W246" s="55" t="str">
        <x:f>IF(AND(U246&lt;&gt;"",U246&lt;TODAY(),O246="Активен"),"ДА","")</x:f>
      </x:c>
      <x:c r="X246" s="55"/>
      <x:c r="Y246" s="55"/>
      <x:c r="Z246" s="55"/>
      <x:c r="AA246" s="55"/>
      <x:c r="AB246" s="55" t="str">
        <x:f>IF(C246="","", "Напиши " &amp; AA246 &amp; " за бизнес: " &amp; C246 &amp; ". Тип: " &amp; D246 &amp; ". Град: " &amp; E246 &amp; ". Проблем: " &amp; L246 &amp; ". Предложение: " &amp; M246 &amp; ". Етап: " &amp; N246 &amp; ". Бележки: " &amp; Y246)</x:f>
      </x:c>
      <x:c r="AC246" s="55"/>
    </x:row>
    <x:row r="247">
      <x:c r="A247" s="55"/>
      <x:c r="B247" s="55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55"/>
      <x:c r="S247" s="55" t="str">
        <x:f>IF(C247="","",IFERROR(Q247*R247/100,""))</x:f>
      </x:c>
      <x:c r="T247" s="55"/>
      <x:c r="U247" s="55"/>
      <x:c r="V247" s="55" t="str">
        <x:f>IF(U247="","",U247-TODAY())</x:f>
      </x:c>
      <x:c r="W247" s="55" t="str">
        <x:f>IF(AND(U247&lt;&gt;"",U247&lt;TODAY(),O247="Активен"),"ДА","")</x:f>
      </x:c>
      <x:c r="X247" s="55"/>
      <x:c r="Y247" s="55"/>
      <x:c r="Z247" s="55"/>
      <x:c r="AA247" s="55"/>
      <x:c r="AB247" s="55" t="str">
        <x:f>IF(C247="","", "Напиши " &amp; AA247 &amp; " за бизнес: " &amp; C247 &amp; ". Тип: " &amp; D247 &amp; ". Град: " &amp; E247 &amp; ". Проблем: " &amp; L247 &amp; ". Предложение: " &amp; M247 &amp; ". Етап: " &amp; N247 &amp; ". Бележки: " &amp; Y247)</x:f>
      </x:c>
      <x:c r="AC247" s="55"/>
    </x:row>
    <x:row r="248">
      <x:c r="A248" s="55"/>
      <x:c r="B248" s="55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55"/>
      <x:c r="S248" s="55" t="str">
        <x:f>IF(C248="","",IFERROR(Q248*R248/100,""))</x:f>
      </x:c>
      <x:c r="T248" s="55"/>
      <x:c r="U248" s="55"/>
      <x:c r="V248" s="55" t="str">
        <x:f>IF(U248="","",U248-TODAY())</x:f>
      </x:c>
      <x:c r="W248" s="55" t="str">
        <x:f>IF(AND(U248&lt;&gt;"",U248&lt;TODAY(),O248="Активен"),"ДА","")</x:f>
      </x:c>
      <x:c r="X248" s="55"/>
      <x:c r="Y248" s="55"/>
      <x:c r="Z248" s="55"/>
      <x:c r="AA248" s="55"/>
      <x:c r="AB248" s="55" t="str">
        <x:f>IF(C248="","", "Напиши " &amp; AA248 &amp; " за бизнес: " &amp; C248 &amp; ". Тип: " &amp; D248 &amp; ". Град: " &amp; E248 &amp; ". Проблем: " &amp; L248 &amp; ". Предложение: " &amp; M248 &amp; ". Етап: " &amp; N248 &amp; ". Бележки: " &amp; Y248)</x:f>
      </x:c>
      <x:c r="AC248" s="55"/>
    </x:row>
    <x:row r="249">
      <x:c r="A249" s="55"/>
      <x:c r="B249" s="55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55"/>
      <x:c r="S249" s="55" t="str">
        <x:f>IF(C249="","",IFERROR(Q249*R249/100,""))</x:f>
      </x:c>
      <x:c r="T249" s="55"/>
      <x:c r="U249" s="55"/>
      <x:c r="V249" s="55" t="str">
        <x:f>IF(U249="","",U249-TODAY())</x:f>
      </x:c>
      <x:c r="W249" s="55" t="str">
        <x:f>IF(AND(U249&lt;&gt;"",U249&lt;TODAY(),O249="Активен"),"ДА","")</x:f>
      </x:c>
      <x:c r="X249" s="55"/>
      <x:c r="Y249" s="55"/>
      <x:c r="Z249" s="55"/>
      <x:c r="AA249" s="55"/>
      <x:c r="AB249" s="55" t="str">
        <x:f>IF(C249="","", "Напиши " &amp; AA249 &amp; " за бизнес: " &amp; C249 &amp; ". Тип: " &amp; D249 &amp; ". Град: " &amp; E249 &amp; ". Проблем: " &amp; L249 &amp; ". Предложение: " &amp; M249 &amp; ". Етап: " &amp; N249 &amp; ". Бележки: " &amp; Y249)</x:f>
      </x:c>
      <x:c r="AC249" s="55"/>
    </x:row>
    <x:row r="250">
      <x:c r="A250" s="55"/>
      <x:c r="B250" s="55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55"/>
      <x:c r="S250" s="55" t="str">
        <x:f>IF(C250="","",IFERROR(Q250*R250/100,""))</x:f>
      </x:c>
      <x:c r="T250" s="55"/>
      <x:c r="U250" s="55"/>
      <x:c r="V250" s="55" t="str">
        <x:f>IF(U250="","",U250-TODAY())</x:f>
      </x:c>
      <x:c r="W250" s="55" t="str">
        <x:f>IF(AND(U250&lt;&gt;"",U250&lt;TODAY(),O250="Активен"),"ДА","")</x:f>
      </x:c>
      <x:c r="X250" s="55"/>
      <x:c r="Y250" s="55"/>
      <x:c r="Z250" s="55"/>
      <x:c r="AA250" s="55"/>
      <x:c r="AB250" s="55" t="str">
        <x:f>IF(C250="","", "Напиши " &amp; AA250 &amp; " за бизнес: " &amp; C250 &amp; ". Тип: " &amp; D250 &amp; ". Град: " &amp; E250 &amp; ". Проблем: " &amp; L250 &amp; ". Предложение: " &amp; M250 &amp; ". Етап: " &amp; N250 &amp; ". Бележки: " &amp; Y250)</x:f>
      </x:c>
      <x:c r="AC250" s="55"/>
    </x:row>
    <x:row r="251">
      <x:c r="A251" s="55"/>
      <x:c r="B251" s="55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55"/>
      <x:c r="S251" s="55" t="str">
        <x:f>IF(C251="","",IFERROR(Q251*R251/100,""))</x:f>
      </x:c>
      <x:c r="T251" s="55"/>
      <x:c r="U251" s="55"/>
      <x:c r="V251" s="55" t="str">
        <x:f>IF(U251="","",U251-TODAY())</x:f>
      </x:c>
      <x:c r="W251" s="55" t="str">
        <x:f>IF(AND(U251&lt;&gt;"",U251&lt;TODAY(),O251="Активен"),"ДА","")</x:f>
      </x:c>
      <x:c r="X251" s="55"/>
      <x:c r="Y251" s="55"/>
      <x:c r="Z251" s="55"/>
      <x:c r="AA251" s="55"/>
      <x:c r="AB251" s="55" t="str">
        <x:f>IF(C251="","", "Напиши " &amp; AA251 &amp; " за бизнес: " &amp; C251 &amp; ". Тип: " &amp; D251 &amp; ". Град: " &amp; E251 &amp; ". Проблем: " &amp; L251 &amp; ". Предложение: " &amp; M251 &amp; ". Етап: " &amp; N251 &amp; ". Бележки: " &amp; Y251)</x:f>
      </x:c>
      <x:c r="AC251" s="55"/>
    </x:row>
    <x:row r="252">
      <x:c r="A252" s="55"/>
      <x:c r="B252" s="55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55"/>
      <x:c r="S252" s="55" t="str">
        <x:f>IF(C252="","",IFERROR(Q252*R252/100,""))</x:f>
      </x:c>
      <x:c r="T252" s="55"/>
      <x:c r="U252" s="55"/>
      <x:c r="V252" s="55" t="str">
        <x:f>IF(U252="","",U252-TODAY())</x:f>
      </x:c>
      <x:c r="W252" s="55" t="str">
        <x:f>IF(AND(U252&lt;&gt;"",U252&lt;TODAY(),O252="Активен"),"ДА","")</x:f>
      </x:c>
      <x:c r="X252" s="55"/>
      <x:c r="Y252" s="55"/>
      <x:c r="Z252" s="55"/>
      <x:c r="AA252" s="55"/>
      <x:c r="AB252" s="55" t="str">
        <x:f>IF(C252="","", "Напиши " &amp; AA252 &amp; " за бизнес: " &amp; C252 &amp; ". Тип: " &amp; D252 &amp; ". Град: " &amp; E252 &amp; ". Проблем: " &amp; L252 &amp; ". Предложение: " &amp; M252 &amp; ". Етап: " &amp; N252 &amp; ". Бележки: " &amp; Y252)</x:f>
      </x:c>
      <x:c r="AC252" s="55"/>
    </x:row>
    <x:row r="253">
      <x:c r="A253" s="55"/>
      <x:c r="B253" s="55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55"/>
      <x:c r="S253" s="55" t="str">
        <x:f>IF(C253="","",IFERROR(Q253*R253/100,""))</x:f>
      </x:c>
      <x:c r="T253" s="55"/>
      <x:c r="U253" s="55"/>
      <x:c r="V253" s="55" t="str">
        <x:f>IF(U253="","",U253-TODAY())</x:f>
      </x:c>
      <x:c r="W253" s="55" t="str">
        <x:f>IF(AND(U253&lt;&gt;"",U253&lt;TODAY(),O253="Активен"),"ДА","")</x:f>
      </x:c>
      <x:c r="X253" s="55"/>
      <x:c r="Y253" s="55"/>
      <x:c r="Z253" s="55"/>
      <x:c r="AA253" s="55"/>
      <x:c r="AB253" s="55" t="str">
        <x:f>IF(C253="","", "Напиши " &amp; AA253 &amp; " за бизнес: " &amp; C253 &amp; ". Тип: " &amp; D253 &amp; ". Град: " &amp; E253 &amp; ". Проблем: " &amp; L253 &amp; ". Предложение: " &amp; M253 &amp; ". Етап: " &amp; N253 &amp; ". Бележки: " &amp; Y253)</x:f>
      </x:c>
      <x:c r="AC253" s="55"/>
    </x:row>
    <x:row r="254">
      <x:c r="A254" s="55"/>
      <x:c r="B254" s="55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55"/>
      <x:c r="S254" s="55" t="str">
        <x:f>IF(C254="","",IFERROR(Q254*R254/100,""))</x:f>
      </x:c>
      <x:c r="T254" s="55"/>
      <x:c r="U254" s="55"/>
      <x:c r="V254" s="55" t="str">
        <x:f>IF(U254="","",U254-TODAY())</x:f>
      </x:c>
      <x:c r="W254" s="55" t="str">
        <x:f>IF(AND(U254&lt;&gt;"",U254&lt;TODAY(),O254="Активен"),"ДА","")</x:f>
      </x:c>
      <x:c r="X254" s="55"/>
      <x:c r="Y254" s="55"/>
      <x:c r="Z254" s="55"/>
      <x:c r="AA254" s="55"/>
      <x:c r="AB254" s="55" t="str">
        <x:f>IF(C254="","", "Напиши " &amp; AA254 &amp; " за бизнес: " &amp; C254 &amp; ". Тип: " &amp; D254 &amp; ". Град: " &amp; E254 &amp; ". Проблем: " &amp; L254 &amp; ". Предложение: " &amp; M254 &amp; ". Етап: " &amp; N254 &amp; ". Бележки: " &amp; Y254)</x:f>
      </x:c>
      <x:c r="AC254" s="55"/>
    </x:row>
    <x:row r="255">
      <x:c r="A255" s="55"/>
      <x:c r="B255" s="55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55"/>
      <x:c r="S255" s="55" t="str">
        <x:f>IF(C255="","",IFERROR(Q255*R255/100,""))</x:f>
      </x:c>
      <x:c r="T255" s="55"/>
      <x:c r="U255" s="55"/>
      <x:c r="V255" s="55" t="str">
        <x:f>IF(U255="","",U255-TODAY())</x:f>
      </x:c>
      <x:c r="W255" s="55" t="str">
        <x:f>IF(AND(U255&lt;&gt;"",U255&lt;TODAY(),O255="Активен"),"ДА","")</x:f>
      </x:c>
      <x:c r="X255" s="55"/>
      <x:c r="Y255" s="55"/>
      <x:c r="Z255" s="55"/>
      <x:c r="AA255" s="55"/>
      <x:c r="AB255" s="55" t="str">
        <x:f>IF(C255="","", "Напиши " &amp; AA255 &amp; " за бизнес: " &amp; C255 &amp; ". Тип: " &amp; D255 &amp; ". Град: " &amp; E255 &amp; ". Проблем: " &amp; L255 &amp; ". Предложение: " &amp; M255 &amp; ". Етап: " &amp; N255 &amp; ". Бележки: " &amp; Y255)</x:f>
      </x:c>
      <x:c r="AC255" s="55"/>
    </x:row>
    <x:row r="256">
      <x:c r="A256" s="55"/>
      <x:c r="B256" s="55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55"/>
      <x:c r="S256" s="55" t="str">
        <x:f>IF(C256="","",IFERROR(Q256*R256/100,""))</x:f>
      </x:c>
      <x:c r="T256" s="55"/>
      <x:c r="U256" s="55"/>
      <x:c r="V256" s="55" t="str">
        <x:f>IF(U256="","",U256-TODAY())</x:f>
      </x:c>
      <x:c r="W256" s="55" t="str">
        <x:f>IF(AND(U256&lt;&gt;"",U256&lt;TODAY(),O256="Активен"),"ДА","")</x:f>
      </x:c>
      <x:c r="X256" s="55"/>
      <x:c r="Y256" s="55"/>
      <x:c r="Z256" s="55"/>
      <x:c r="AA256" s="55"/>
      <x:c r="AB256" s="55" t="str">
        <x:f>IF(C256="","", "Напиши " &amp; AA256 &amp; " за бизнес: " &amp; C256 &amp; ". Тип: " &amp; D256 &amp; ". Град: " &amp; E256 &amp; ". Проблем: " &amp; L256 &amp; ". Предложение: " &amp; M256 &amp; ". Етап: " &amp; N256 &amp; ". Бележки: " &amp; Y256)</x:f>
      </x:c>
      <x:c r="AC256" s="55"/>
    </x:row>
    <x:row r="257">
      <x:c r="A257" s="55"/>
      <x:c r="B257" s="55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55"/>
      <x:c r="S257" s="55" t="str">
        <x:f>IF(C257="","",IFERROR(Q257*R257/100,""))</x:f>
      </x:c>
      <x:c r="T257" s="55"/>
      <x:c r="U257" s="55"/>
      <x:c r="V257" s="55" t="str">
        <x:f>IF(U257="","",U257-TODAY())</x:f>
      </x:c>
      <x:c r="W257" s="55" t="str">
        <x:f>IF(AND(U257&lt;&gt;"",U257&lt;TODAY(),O257="Активен"),"ДА","")</x:f>
      </x:c>
      <x:c r="X257" s="55"/>
      <x:c r="Y257" s="55"/>
      <x:c r="Z257" s="55"/>
      <x:c r="AA257" s="55"/>
      <x:c r="AB257" s="55" t="str">
        <x:f>IF(C257="","", "Напиши " &amp; AA257 &amp; " за бизнес: " &amp; C257 &amp; ". Тип: " &amp; D257 &amp; ". Град: " &amp; E257 &amp; ". Проблем: " &amp; L257 &amp; ". Предложение: " &amp; M257 &amp; ". Етап: " &amp; N257 &amp; ". Бележки: " &amp; Y257)</x:f>
      </x:c>
      <x:c r="AC257" s="55"/>
    </x:row>
    <x:row r="258">
      <x:c r="A258" s="55"/>
      <x:c r="B258" s="55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55"/>
      <x:c r="S258" s="55" t="str">
        <x:f>IF(C258="","",IFERROR(Q258*R258/100,""))</x:f>
      </x:c>
      <x:c r="T258" s="55"/>
      <x:c r="U258" s="55"/>
      <x:c r="V258" s="55" t="str">
        <x:f>IF(U258="","",U258-TODAY())</x:f>
      </x:c>
      <x:c r="W258" s="55" t="str">
        <x:f>IF(AND(U258&lt;&gt;"",U258&lt;TODAY(),O258="Активен"),"ДА","")</x:f>
      </x:c>
      <x:c r="X258" s="55"/>
      <x:c r="Y258" s="55"/>
      <x:c r="Z258" s="55"/>
      <x:c r="AA258" s="55"/>
      <x:c r="AB258" s="55" t="str">
        <x:f>IF(C258="","", "Напиши " &amp; AA258 &amp; " за бизнес: " &amp; C258 &amp; ". Тип: " &amp; D258 &amp; ". Град: " &amp; E258 &amp; ". Проблем: " &amp; L258 &amp; ". Предложение: " &amp; M258 &amp; ". Етап: " &amp; N258 &amp; ". Бележки: " &amp; Y258)</x:f>
      </x:c>
      <x:c r="AC258" s="55"/>
    </x:row>
    <x:row r="259">
      <x:c r="A259" s="55"/>
      <x:c r="B259" s="55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55"/>
      <x:c r="S259" s="55" t="str">
        <x:f>IF(C259="","",IFERROR(Q259*R259/100,""))</x:f>
      </x:c>
      <x:c r="T259" s="55"/>
      <x:c r="U259" s="55"/>
      <x:c r="V259" s="55" t="str">
        <x:f>IF(U259="","",U259-TODAY())</x:f>
      </x:c>
      <x:c r="W259" s="55" t="str">
        <x:f>IF(AND(U259&lt;&gt;"",U259&lt;TODAY(),O259="Активен"),"ДА","")</x:f>
      </x:c>
      <x:c r="X259" s="55"/>
      <x:c r="Y259" s="55"/>
      <x:c r="Z259" s="55"/>
      <x:c r="AA259" s="55"/>
      <x:c r="AB259" s="55" t="str">
        <x:f>IF(C259="","", "Напиши " &amp; AA259 &amp; " за бизнес: " &amp; C259 &amp; ". Тип: " &amp; D259 &amp; ". Град: " &amp; E259 &amp; ". Проблем: " &amp; L259 &amp; ". Предложение: " &amp; M259 &amp; ". Етап: " &amp; N259 &amp; ". Бележки: " &amp; Y259)</x:f>
      </x:c>
      <x:c r="AC259" s="55"/>
    </x:row>
    <x:row r="260">
      <x:c r="A260" s="55"/>
      <x:c r="B260" s="55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55"/>
      <x:c r="S260" s="55" t="str">
        <x:f>IF(C260="","",IFERROR(Q260*R260/100,""))</x:f>
      </x:c>
      <x:c r="T260" s="55"/>
      <x:c r="U260" s="55"/>
      <x:c r="V260" s="55" t="str">
        <x:f>IF(U260="","",U260-TODAY())</x:f>
      </x:c>
      <x:c r="W260" s="55" t="str">
        <x:f>IF(AND(U260&lt;&gt;"",U260&lt;TODAY(),O260="Активен"),"ДА","")</x:f>
      </x:c>
      <x:c r="X260" s="55"/>
      <x:c r="Y260" s="55"/>
      <x:c r="Z260" s="55"/>
      <x:c r="AA260" s="55"/>
      <x:c r="AB260" s="55" t="str">
        <x:f>IF(C260="","", "Напиши " &amp; AA260 &amp; " за бизнес: " &amp; C260 &amp; ". Тип: " &amp; D260 &amp; ". Град: " &amp; E260 &amp; ". Проблем: " &amp; L260 &amp; ". Предложение: " &amp; M260 &amp; ". Етап: " &amp; N260 &amp; ". Бележки: " &amp; Y260)</x:f>
      </x:c>
      <x:c r="AC260" s="55"/>
    </x:row>
    <x:row r="261">
      <x:c r="A261" s="55"/>
      <x:c r="B261" s="55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55"/>
      <x:c r="S261" s="55" t="str">
        <x:f>IF(C261="","",IFERROR(Q261*R261/100,""))</x:f>
      </x:c>
      <x:c r="T261" s="55"/>
      <x:c r="U261" s="55"/>
      <x:c r="V261" s="55" t="str">
        <x:f>IF(U261="","",U261-TODAY())</x:f>
      </x:c>
      <x:c r="W261" s="55" t="str">
        <x:f>IF(AND(U261&lt;&gt;"",U261&lt;TODAY(),O261="Активен"),"ДА","")</x:f>
      </x:c>
      <x:c r="X261" s="55"/>
      <x:c r="Y261" s="55"/>
      <x:c r="Z261" s="55"/>
      <x:c r="AA261" s="55"/>
      <x:c r="AB261" s="55" t="str">
        <x:f>IF(C261="","", "Напиши " &amp; AA261 &amp; " за бизнес: " &amp; C261 &amp; ". Тип: " &amp; D261 &amp; ". Град: " &amp; E261 &amp; ". Проблем: " &amp; L261 &amp; ". Предложение: " &amp; M261 &amp; ". Етап: " &amp; N261 &amp; ". Бележки: " &amp; Y261)</x:f>
      </x:c>
      <x:c r="AC261" s="55"/>
    </x:row>
    <x:row r="262">
      <x:c r="A262" s="55"/>
      <x:c r="B262" s="55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55"/>
      <x:c r="S262" s="55" t="str">
        <x:f>IF(C262="","",IFERROR(Q262*R262/100,""))</x:f>
      </x:c>
      <x:c r="T262" s="55"/>
      <x:c r="U262" s="55"/>
      <x:c r="V262" s="55" t="str">
        <x:f>IF(U262="","",U262-TODAY())</x:f>
      </x:c>
      <x:c r="W262" s="55" t="str">
        <x:f>IF(AND(U262&lt;&gt;"",U262&lt;TODAY(),O262="Активен"),"ДА","")</x:f>
      </x:c>
      <x:c r="X262" s="55"/>
      <x:c r="Y262" s="55"/>
      <x:c r="Z262" s="55"/>
      <x:c r="AA262" s="55"/>
      <x:c r="AB262" s="55" t="str">
        <x:f>IF(C262="","", "Напиши " &amp; AA262 &amp; " за бизнес: " &amp; C262 &amp; ". Тип: " &amp; D262 &amp; ". Град: " &amp; E262 &amp; ". Проблем: " &amp; L262 &amp; ". Предложение: " &amp; M262 &amp; ". Етап: " &amp; N262 &amp; ". Бележки: " &amp; Y262)</x:f>
      </x:c>
      <x:c r="AC262" s="55"/>
    </x:row>
    <x:row r="263">
      <x:c r="A263" s="55"/>
      <x:c r="B263" s="55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55"/>
      <x:c r="S263" s="55" t="str">
        <x:f>IF(C263="","",IFERROR(Q263*R263/100,""))</x:f>
      </x:c>
      <x:c r="T263" s="55"/>
      <x:c r="U263" s="55"/>
      <x:c r="V263" s="55" t="str">
        <x:f>IF(U263="","",U263-TODAY())</x:f>
      </x:c>
      <x:c r="W263" s="55" t="str">
        <x:f>IF(AND(U263&lt;&gt;"",U263&lt;TODAY(),O263="Активен"),"ДА","")</x:f>
      </x:c>
      <x:c r="X263" s="55"/>
      <x:c r="Y263" s="55"/>
      <x:c r="Z263" s="55"/>
      <x:c r="AA263" s="55"/>
      <x:c r="AB263" s="55" t="str">
        <x:f>IF(C263="","", "Напиши " &amp; AA263 &amp; " за бизнес: " &amp; C263 &amp; ". Тип: " &amp; D263 &amp; ". Град: " &amp; E263 &amp; ". Проблем: " &amp; L263 &amp; ". Предложение: " &amp; M263 &amp; ". Етап: " &amp; N263 &amp; ". Бележки: " &amp; Y263)</x:f>
      </x:c>
      <x:c r="AC263" s="55"/>
    </x:row>
    <x:row r="264">
      <x:c r="A264" s="55"/>
      <x:c r="B264" s="55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55"/>
      <x:c r="S264" s="55" t="str">
        <x:f>IF(C264="","",IFERROR(Q264*R264/100,""))</x:f>
      </x:c>
      <x:c r="T264" s="55"/>
      <x:c r="U264" s="55"/>
      <x:c r="V264" s="55" t="str">
        <x:f>IF(U264="","",U264-TODAY())</x:f>
      </x:c>
      <x:c r="W264" s="55" t="str">
        <x:f>IF(AND(U264&lt;&gt;"",U264&lt;TODAY(),O264="Активен"),"ДА","")</x:f>
      </x:c>
      <x:c r="X264" s="55"/>
      <x:c r="Y264" s="55"/>
      <x:c r="Z264" s="55"/>
      <x:c r="AA264" s="55"/>
      <x:c r="AB264" s="55" t="str">
        <x:f>IF(C264="","", "Напиши " &amp; AA264 &amp; " за бизнес: " &amp; C264 &amp; ". Тип: " &amp; D264 &amp; ". Град: " &amp; E264 &amp; ". Проблем: " &amp; L264 &amp; ". Предложение: " &amp; M264 &amp; ". Етап: " &amp; N264 &amp; ". Бележки: " &amp; Y264)</x:f>
      </x:c>
      <x:c r="AC264" s="55"/>
    </x:row>
    <x:row r="265">
      <x:c r="A265" s="55"/>
      <x:c r="B265" s="55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55"/>
      <x:c r="S265" s="55" t="str">
        <x:f>IF(C265="","",IFERROR(Q265*R265/100,""))</x:f>
      </x:c>
      <x:c r="T265" s="55"/>
      <x:c r="U265" s="55"/>
      <x:c r="V265" s="55" t="str">
        <x:f>IF(U265="","",U265-TODAY())</x:f>
      </x:c>
      <x:c r="W265" s="55" t="str">
        <x:f>IF(AND(U265&lt;&gt;"",U265&lt;TODAY(),O265="Активен"),"ДА","")</x:f>
      </x:c>
      <x:c r="X265" s="55"/>
      <x:c r="Y265" s="55"/>
      <x:c r="Z265" s="55"/>
      <x:c r="AA265" s="55"/>
      <x:c r="AB265" s="55" t="str">
        <x:f>IF(C265="","", "Напиши " &amp; AA265 &amp; " за бизнес: " &amp; C265 &amp; ". Тип: " &amp; D265 &amp; ". Град: " &amp; E265 &amp; ". Проблем: " &amp; L265 &amp; ". Предложение: " &amp; M265 &amp; ". Етап: " &amp; N265 &amp; ". Бележки: " &amp; Y265)</x:f>
      </x:c>
      <x:c r="AC265" s="55"/>
    </x:row>
    <x:row r="266">
      <x:c r="A266" s="55"/>
      <x:c r="B266" s="55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55"/>
      <x:c r="S266" s="55" t="str">
        <x:f>IF(C266="","",IFERROR(Q266*R266/100,""))</x:f>
      </x:c>
      <x:c r="T266" s="55"/>
      <x:c r="U266" s="55"/>
      <x:c r="V266" s="55" t="str">
        <x:f>IF(U266="","",U266-TODAY())</x:f>
      </x:c>
      <x:c r="W266" s="55" t="str">
        <x:f>IF(AND(U266&lt;&gt;"",U266&lt;TODAY(),O266="Активен"),"ДА","")</x:f>
      </x:c>
      <x:c r="X266" s="55"/>
      <x:c r="Y266" s="55"/>
      <x:c r="Z266" s="55"/>
      <x:c r="AA266" s="55"/>
      <x:c r="AB266" s="55" t="str">
        <x:f>IF(C266="","", "Напиши " &amp; AA266 &amp; " за бизнес: " &amp; C266 &amp; ". Тип: " &amp; D266 &amp; ". Град: " &amp; E266 &amp; ". Проблем: " &amp; L266 &amp; ". Предложение: " &amp; M266 &amp; ". Етап: " &amp; N266 &amp; ". Бележки: " &amp; Y266)</x:f>
      </x:c>
      <x:c r="AC266" s="55"/>
    </x:row>
    <x:row r="267">
      <x:c r="A267" s="55"/>
      <x:c r="B267" s="55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55"/>
      <x:c r="S267" s="55" t="str">
        <x:f>IF(C267="","",IFERROR(Q267*R267/100,""))</x:f>
      </x:c>
      <x:c r="T267" s="55"/>
      <x:c r="U267" s="55"/>
      <x:c r="V267" s="55" t="str">
        <x:f>IF(U267="","",U267-TODAY())</x:f>
      </x:c>
      <x:c r="W267" s="55" t="str">
        <x:f>IF(AND(U267&lt;&gt;"",U267&lt;TODAY(),O267="Активен"),"ДА","")</x:f>
      </x:c>
      <x:c r="X267" s="55"/>
      <x:c r="Y267" s="55"/>
      <x:c r="Z267" s="55"/>
      <x:c r="AA267" s="55"/>
      <x:c r="AB267" s="55" t="str">
        <x:f>IF(C267="","", "Напиши " &amp; AA267 &amp; " за бизнес: " &amp; C267 &amp; ". Тип: " &amp; D267 &amp; ". Град: " &amp; E267 &amp; ". Проблем: " &amp; L267 &amp; ". Предложение: " &amp; M267 &amp; ". Етап: " &amp; N267 &amp; ". Бележки: " &amp; Y267)</x:f>
      </x:c>
      <x:c r="AC267" s="55"/>
    </x:row>
    <x:row r="268">
      <x:c r="A268" s="55"/>
      <x:c r="B268" s="55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55"/>
      <x:c r="S268" s="55" t="str">
        <x:f>IF(C268="","",IFERROR(Q268*R268/100,""))</x:f>
      </x:c>
      <x:c r="T268" s="55"/>
      <x:c r="U268" s="55"/>
      <x:c r="V268" s="55" t="str">
        <x:f>IF(U268="","",U268-TODAY())</x:f>
      </x:c>
      <x:c r="W268" s="55" t="str">
        <x:f>IF(AND(U268&lt;&gt;"",U268&lt;TODAY(),O268="Активен"),"ДА","")</x:f>
      </x:c>
      <x:c r="X268" s="55"/>
      <x:c r="Y268" s="55"/>
      <x:c r="Z268" s="55"/>
      <x:c r="AA268" s="55"/>
      <x:c r="AB268" s="55" t="str">
        <x:f>IF(C268="","", "Напиши " &amp; AA268 &amp; " за бизнес: " &amp; C268 &amp; ". Тип: " &amp; D268 &amp; ". Град: " &amp; E268 &amp; ". Проблем: " &amp; L268 &amp; ". Предложение: " &amp; M268 &amp; ". Етап: " &amp; N268 &amp; ". Бележки: " &amp; Y268)</x:f>
      </x:c>
      <x:c r="AC268" s="55"/>
    </x:row>
    <x:row r="269">
      <x:c r="A269" s="55"/>
      <x:c r="B269" s="55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55"/>
      <x:c r="S269" s="55" t="str">
        <x:f>IF(C269="","",IFERROR(Q269*R269/100,""))</x:f>
      </x:c>
      <x:c r="T269" s="55"/>
      <x:c r="U269" s="55"/>
      <x:c r="V269" s="55" t="str">
        <x:f>IF(U269="","",U269-TODAY())</x:f>
      </x:c>
      <x:c r="W269" s="55" t="str">
        <x:f>IF(AND(U269&lt;&gt;"",U269&lt;TODAY(),O269="Активен"),"ДА","")</x:f>
      </x:c>
      <x:c r="X269" s="55"/>
      <x:c r="Y269" s="55"/>
      <x:c r="Z269" s="55"/>
      <x:c r="AA269" s="55"/>
      <x:c r="AB269" s="55" t="str">
        <x:f>IF(C269="","", "Напиши " &amp; AA269 &amp; " за бизнес: " &amp; C269 &amp; ". Тип: " &amp; D269 &amp; ". Град: " &amp; E269 &amp; ". Проблем: " &amp; L269 &amp; ". Предложение: " &amp; M269 &amp; ". Етап: " &amp; N269 &amp; ". Бележки: " &amp; Y269)</x:f>
      </x:c>
      <x:c r="AC269" s="55"/>
    </x:row>
    <x:row r="270">
      <x:c r="A270" s="55"/>
      <x:c r="B270" s="55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55"/>
      <x:c r="S270" s="55" t="str">
        <x:f>IF(C270="","",IFERROR(Q270*R270/100,""))</x:f>
      </x:c>
      <x:c r="T270" s="55"/>
      <x:c r="U270" s="55"/>
      <x:c r="V270" s="55" t="str">
        <x:f>IF(U270="","",U270-TODAY())</x:f>
      </x:c>
      <x:c r="W270" s="55" t="str">
        <x:f>IF(AND(U270&lt;&gt;"",U270&lt;TODAY(),O270="Активен"),"ДА","")</x:f>
      </x:c>
      <x:c r="X270" s="55"/>
      <x:c r="Y270" s="55"/>
      <x:c r="Z270" s="55"/>
      <x:c r="AA270" s="55"/>
      <x:c r="AB270" s="55" t="str">
        <x:f>IF(C270="","", "Напиши " &amp; AA270 &amp; " за бизнес: " &amp; C270 &amp; ". Тип: " &amp; D270 &amp; ". Град: " &amp; E270 &amp; ". Проблем: " &amp; L270 &amp; ". Предложение: " &amp; M270 &amp; ". Етап: " &amp; N270 &amp; ". Бележки: " &amp; Y270)</x:f>
      </x:c>
      <x:c r="AC270" s="55"/>
    </x:row>
    <x:row r="271">
      <x:c r="A271" s="55"/>
      <x:c r="B271" s="55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55"/>
      <x:c r="S271" s="55" t="str">
        <x:f>IF(C271="","",IFERROR(Q271*R271/100,""))</x:f>
      </x:c>
      <x:c r="T271" s="55"/>
      <x:c r="U271" s="55"/>
      <x:c r="V271" s="55" t="str">
        <x:f>IF(U271="","",U271-TODAY())</x:f>
      </x:c>
      <x:c r="W271" s="55" t="str">
        <x:f>IF(AND(U271&lt;&gt;"",U271&lt;TODAY(),O271="Активен"),"ДА","")</x:f>
      </x:c>
      <x:c r="X271" s="55"/>
      <x:c r="Y271" s="55"/>
      <x:c r="Z271" s="55"/>
      <x:c r="AA271" s="55"/>
      <x:c r="AB271" s="55" t="str">
        <x:f>IF(C271="","", "Напиши " &amp; AA271 &amp; " за бизнес: " &amp; C271 &amp; ". Тип: " &amp; D271 &amp; ". Град: " &amp; E271 &amp; ". Проблем: " &amp; L271 &amp; ". Предложение: " &amp; M271 &amp; ". Етап: " &amp; N271 &amp; ". Бележки: " &amp; Y271)</x:f>
      </x:c>
      <x:c r="AC271" s="55"/>
    </x:row>
    <x:row r="272">
      <x:c r="A272" s="55"/>
      <x:c r="B272" s="55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55"/>
      <x:c r="S272" s="55" t="str">
        <x:f>IF(C272="","",IFERROR(Q272*R272/100,""))</x:f>
      </x:c>
      <x:c r="T272" s="55"/>
      <x:c r="U272" s="55"/>
      <x:c r="V272" s="55" t="str">
        <x:f>IF(U272="","",U272-TODAY())</x:f>
      </x:c>
      <x:c r="W272" s="55" t="str">
        <x:f>IF(AND(U272&lt;&gt;"",U272&lt;TODAY(),O272="Активен"),"ДА","")</x:f>
      </x:c>
      <x:c r="X272" s="55"/>
      <x:c r="Y272" s="55"/>
      <x:c r="Z272" s="55"/>
      <x:c r="AA272" s="55"/>
      <x:c r="AB272" s="55" t="str">
        <x:f>IF(C272="","", "Напиши " &amp; AA272 &amp; " за бизнес: " &amp; C272 &amp; ". Тип: " &amp; D272 &amp; ". Град: " &amp; E272 &amp; ". Проблем: " &amp; L272 &amp; ". Предложение: " &amp; M272 &amp; ". Етап: " &amp; N272 &amp; ". Бележки: " &amp; Y272)</x:f>
      </x:c>
      <x:c r="AC272" s="55"/>
    </x:row>
    <x:row r="273">
      <x:c r="A273" s="55"/>
      <x:c r="B273" s="55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55"/>
      <x:c r="S273" s="55" t="str">
        <x:f>IF(C273="","",IFERROR(Q273*R273/100,""))</x:f>
      </x:c>
      <x:c r="T273" s="55"/>
      <x:c r="U273" s="55"/>
      <x:c r="V273" s="55" t="str">
        <x:f>IF(U273="","",U273-TODAY())</x:f>
      </x:c>
      <x:c r="W273" s="55" t="str">
        <x:f>IF(AND(U273&lt;&gt;"",U273&lt;TODAY(),O273="Активен"),"ДА","")</x:f>
      </x:c>
      <x:c r="X273" s="55"/>
      <x:c r="Y273" s="55"/>
      <x:c r="Z273" s="55"/>
      <x:c r="AA273" s="55"/>
      <x:c r="AB273" s="55" t="str">
        <x:f>IF(C273="","", "Напиши " &amp; AA273 &amp; " за бизнес: " &amp; C273 &amp; ". Тип: " &amp; D273 &amp; ". Град: " &amp; E273 &amp; ". Проблем: " &amp; L273 &amp; ". Предложение: " &amp; M273 &amp; ". Етап: " &amp; N273 &amp; ". Бележки: " &amp; Y273)</x:f>
      </x:c>
      <x:c r="AC273" s="55"/>
    </x:row>
    <x:row r="274">
      <x:c r="A274" s="55"/>
      <x:c r="B274" s="55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55"/>
      <x:c r="S274" s="55" t="str">
        <x:f>IF(C274="","",IFERROR(Q274*R274/100,""))</x:f>
      </x:c>
      <x:c r="T274" s="55"/>
      <x:c r="U274" s="55"/>
      <x:c r="V274" s="55" t="str">
        <x:f>IF(U274="","",U274-TODAY())</x:f>
      </x:c>
      <x:c r="W274" s="55" t="str">
        <x:f>IF(AND(U274&lt;&gt;"",U274&lt;TODAY(),O274="Активен"),"ДА","")</x:f>
      </x:c>
      <x:c r="X274" s="55"/>
      <x:c r="Y274" s="55"/>
      <x:c r="Z274" s="55"/>
      <x:c r="AA274" s="55"/>
      <x:c r="AB274" s="55" t="str">
        <x:f>IF(C274="","", "Напиши " &amp; AA274 &amp; " за бизнес: " &amp; C274 &amp; ". Тип: " &amp; D274 &amp; ". Град: " &amp; E274 &amp; ". Проблем: " &amp; L274 &amp; ". Предложение: " &amp; M274 &amp; ". Етап: " &amp; N274 &amp; ". Бележки: " &amp; Y274)</x:f>
      </x:c>
      <x:c r="AC274" s="55"/>
    </x:row>
    <x:row r="275">
      <x:c r="A275" s="55"/>
      <x:c r="B275" s="55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55"/>
      <x:c r="S275" s="55" t="str">
        <x:f>IF(C275="","",IFERROR(Q275*R275/100,""))</x:f>
      </x:c>
      <x:c r="T275" s="55"/>
      <x:c r="U275" s="55"/>
      <x:c r="V275" s="55" t="str">
        <x:f>IF(U275="","",U275-TODAY())</x:f>
      </x:c>
      <x:c r="W275" s="55" t="str">
        <x:f>IF(AND(U275&lt;&gt;"",U275&lt;TODAY(),O275="Активен"),"ДА","")</x:f>
      </x:c>
      <x:c r="X275" s="55"/>
      <x:c r="Y275" s="55"/>
      <x:c r="Z275" s="55"/>
      <x:c r="AA275" s="55"/>
      <x:c r="AB275" s="55" t="str">
        <x:f>IF(C275="","", "Напиши " &amp; AA275 &amp; " за бизнес: " &amp; C275 &amp; ". Тип: " &amp; D275 &amp; ". Град: " &amp; E275 &amp; ". Проблем: " &amp; L275 &amp; ". Предложение: " &amp; M275 &amp; ". Етап: " &amp; N275 &amp; ". Бележки: " &amp; Y275)</x:f>
      </x:c>
      <x:c r="AC275" s="55"/>
    </x:row>
    <x:row r="276">
      <x:c r="A276" s="55"/>
      <x:c r="B276" s="55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55"/>
      <x:c r="S276" s="55" t="str">
        <x:f>IF(C276="","",IFERROR(Q276*R276/100,""))</x:f>
      </x:c>
      <x:c r="T276" s="55"/>
      <x:c r="U276" s="55"/>
      <x:c r="V276" s="55" t="str">
        <x:f>IF(U276="","",U276-TODAY())</x:f>
      </x:c>
      <x:c r="W276" s="55" t="str">
        <x:f>IF(AND(U276&lt;&gt;"",U276&lt;TODAY(),O276="Активен"),"ДА","")</x:f>
      </x:c>
      <x:c r="X276" s="55"/>
      <x:c r="Y276" s="55"/>
      <x:c r="Z276" s="55"/>
      <x:c r="AA276" s="55"/>
      <x:c r="AB276" s="55" t="str">
        <x:f>IF(C276="","", "Напиши " &amp; AA276 &amp; " за бизнес: " &amp; C276 &amp; ". Тип: " &amp; D276 &amp; ". Град: " &amp; E276 &amp; ". Проблем: " &amp; L276 &amp; ". Предложение: " &amp; M276 &amp; ". Етап: " &amp; N276 &amp; ". Бележки: " &amp; Y276)</x:f>
      </x:c>
      <x:c r="AC276" s="55"/>
    </x:row>
    <x:row r="277">
      <x:c r="A277" s="55"/>
      <x:c r="B277" s="55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55"/>
      <x:c r="S277" s="55" t="str">
        <x:f>IF(C277="","",IFERROR(Q277*R277/100,""))</x:f>
      </x:c>
      <x:c r="T277" s="55"/>
      <x:c r="U277" s="55"/>
      <x:c r="V277" s="55" t="str">
        <x:f>IF(U277="","",U277-TODAY())</x:f>
      </x:c>
      <x:c r="W277" s="55" t="str">
        <x:f>IF(AND(U277&lt;&gt;"",U277&lt;TODAY(),O277="Активен"),"ДА","")</x:f>
      </x:c>
      <x:c r="X277" s="55"/>
      <x:c r="Y277" s="55"/>
      <x:c r="Z277" s="55"/>
      <x:c r="AA277" s="55"/>
      <x:c r="AB277" s="55" t="str">
        <x:f>IF(C277="","", "Напиши " &amp; AA277 &amp; " за бизнес: " &amp; C277 &amp; ". Тип: " &amp; D277 &amp; ". Град: " &amp; E277 &amp; ". Проблем: " &amp; L277 &amp; ". Предложение: " &amp; M277 &amp; ". Етап: " &amp; N277 &amp; ". Бележки: " &amp; Y277)</x:f>
      </x:c>
      <x:c r="AC277" s="55"/>
    </x:row>
    <x:row r="278">
      <x:c r="A278" s="55"/>
      <x:c r="B278" s="55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55"/>
      <x:c r="S278" s="55" t="str">
        <x:f>IF(C278="","",IFERROR(Q278*R278/100,""))</x:f>
      </x:c>
      <x:c r="T278" s="55"/>
      <x:c r="U278" s="55"/>
      <x:c r="V278" s="55" t="str">
        <x:f>IF(U278="","",U278-TODAY())</x:f>
      </x:c>
      <x:c r="W278" s="55" t="str">
        <x:f>IF(AND(U278&lt;&gt;"",U278&lt;TODAY(),O278="Активен"),"ДА","")</x:f>
      </x:c>
      <x:c r="X278" s="55"/>
      <x:c r="Y278" s="55"/>
      <x:c r="Z278" s="55"/>
      <x:c r="AA278" s="55"/>
      <x:c r="AB278" s="55" t="str">
        <x:f>IF(C278="","", "Напиши " &amp; AA278 &amp; " за бизнес: " &amp; C278 &amp; ". Тип: " &amp; D278 &amp; ". Град: " &amp; E278 &amp; ". Проблем: " &amp; L278 &amp; ". Предложение: " &amp; M278 &amp; ". Етап: " &amp; N278 &amp; ". Бележки: " &amp; Y278)</x:f>
      </x:c>
      <x:c r="AC278" s="55"/>
    </x:row>
    <x:row r="279">
      <x:c r="A279" s="55"/>
      <x:c r="B279" s="55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55"/>
      <x:c r="S279" s="55" t="str">
        <x:f>IF(C279="","",IFERROR(Q279*R279/100,""))</x:f>
      </x:c>
      <x:c r="T279" s="55"/>
      <x:c r="U279" s="55"/>
      <x:c r="V279" s="55" t="str">
        <x:f>IF(U279="","",U279-TODAY())</x:f>
      </x:c>
      <x:c r="W279" s="55" t="str">
        <x:f>IF(AND(U279&lt;&gt;"",U279&lt;TODAY(),O279="Активен"),"ДА","")</x:f>
      </x:c>
      <x:c r="X279" s="55"/>
      <x:c r="Y279" s="55"/>
      <x:c r="Z279" s="55"/>
      <x:c r="AA279" s="55"/>
      <x:c r="AB279" s="55" t="str">
        <x:f>IF(C279="","", "Напиши " &amp; AA279 &amp; " за бизнес: " &amp; C279 &amp; ". Тип: " &amp; D279 &amp; ". Град: " &amp; E279 &amp; ". Проблем: " &amp; L279 &amp; ". Предложение: " &amp; M279 &amp; ". Етап: " &amp; N279 &amp; ". Бележки: " &amp; Y279)</x:f>
      </x:c>
      <x:c r="AC279" s="55"/>
    </x:row>
    <x:row r="280">
      <x:c r="A280" s="55"/>
      <x:c r="B280" s="55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55"/>
      <x:c r="S280" s="55" t="str">
        <x:f>IF(C280="","",IFERROR(Q280*R280/100,""))</x:f>
      </x:c>
      <x:c r="T280" s="55"/>
      <x:c r="U280" s="55"/>
      <x:c r="V280" s="55" t="str">
        <x:f>IF(U280="","",U280-TODAY())</x:f>
      </x:c>
      <x:c r="W280" s="55" t="str">
        <x:f>IF(AND(U280&lt;&gt;"",U280&lt;TODAY(),O280="Активен"),"ДА","")</x:f>
      </x:c>
      <x:c r="X280" s="55"/>
      <x:c r="Y280" s="55"/>
      <x:c r="Z280" s="55"/>
      <x:c r="AA280" s="55"/>
      <x:c r="AB280" s="55" t="str">
        <x:f>IF(C280="","", "Напиши " &amp; AA280 &amp; " за бизнес: " &amp; C280 &amp; ". Тип: " &amp; D280 &amp; ". Град: " &amp; E280 &amp; ". Проблем: " &amp; L280 &amp; ". Предложение: " &amp; M280 &amp; ". Етап: " &amp; N280 &amp; ". Бележки: " &amp; Y280)</x:f>
      </x:c>
      <x:c r="AC280" s="55"/>
    </x:row>
    <x:row r="281">
      <x:c r="A281" s="55"/>
      <x:c r="B281" s="55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55"/>
      <x:c r="S281" s="55" t="str">
        <x:f>IF(C281="","",IFERROR(Q281*R281/100,""))</x:f>
      </x:c>
      <x:c r="T281" s="55"/>
      <x:c r="U281" s="55"/>
      <x:c r="V281" s="55" t="str">
        <x:f>IF(U281="","",U281-TODAY())</x:f>
      </x:c>
      <x:c r="W281" s="55" t="str">
        <x:f>IF(AND(U281&lt;&gt;"",U281&lt;TODAY(),O281="Активен"),"ДА","")</x:f>
      </x:c>
      <x:c r="X281" s="55"/>
      <x:c r="Y281" s="55"/>
      <x:c r="Z281" s="55"/>
      <x:c r="AA281" s="55"/>
      <x:c r="AB281" s="55" t="str">
        <x:f>IF(C281="","", "Напиши " &amp; AA281 &amp; " за бизнес: " &amp; C281 &amp; ". Тип: " &amp; D281 &amp; ". Град: " &amp; E281 &amp; ". Проблем: " &amp; L281 &amp; ". Предложение: " &amp; M281 &amp; ". Етап: " &amp; N281 &amp; ". Бележки: " &amp; Y281)</x:f>
      </x:c>
      <x:c r="AC281" s="55"/>
    </x:row>
    <x:row r="282">
      <x:c r="A282" s="55"/>
      <x:c r="B282" s="55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55"/>
      <x:c r="S282" s="55" t="str">
        <x:f>IF(C282="","",IFERROR(Q282*R282/100,""))</x:f>
      </x:c>
      <x:c r="T282" s="55"/>
      <x:c r="U282" s="55"/>
      <x:c r="V282" s="55" t="str">
        <x:f>IF(U282="","",U282-TODAY())</x:f>
      </x:c>
      <x:c r="W282" s="55" t="str">
        <x:f>IF(AND(U282&lt;&gt;"",U282&lt;TODAY(),O282="Активен"),"ДА","")</x:f>
      </x:c>
      <x:c r="X282" s="55"/>
      <x:c r="Y282" s="55"/>
      <x:c r="Z282" s="55"/>
      <x:c r="AA282" s="55"/>
      <x:c r="AB282" s="55" t="str">
        <x:f>IF(C282="","", "Напиши " &amp; AA282 &amp; " за бизнес: " &amp; C282 &amp; ". Тип: " &amp; D282 &amp; ". Град: " &amp; E282 &amp; ". Проблем: " &amp; L282 &amp; ". Предложение: " &amp; M282 &amp; ". Етап: " &amp; N282 &amp; ". Бележки: " &amp; Y282)</x:f>
      </x:c>
      <x:c r="AC282" s="55"/>
    </x:row>
    <x:row r="283">
      <x:c r="A283" s="55"/>
      <x:c r="B283" s="55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55"/>
      <x:c r="S283" s="55" t="str">
        <x:f>IF(C283="","",IFERROR(Q283*R283/100,""))</x:f>
      </x:c>
      <x:c r="T283" s="55"/>
      <x:c r="U283" s="55"/>
      <x:c r="V283" s="55" t="str">
        <x:f>IF(U283="","",U283-TODAY())</x:f>
      </x:c>
      <x:c r="W283" s="55" t="str">
        <x:f>IF(AND(U283&lt;&gt;"",U283&lt;TODAY(),O283="Активен"),"ДА","")</x:f>
      </x:c>
      <x:c r="X283" s="55"/>
      <x:c r="Y283" s="55"/>
      <x:c r="Z283" s="55"/>
      <x:c r="AA283" s="55"/>
      <x:c r="AB283" s="55" t="str">
        <x:f>IF(C283="","", "Напиши " &amp; AA283 &amp; " за бизнес: " &amp; C283 &amp; ". Тип: " &amp; D283 &amp; ". Град: " &amp; E283 &amp; ". Проблем: " &amp; L283 &amp; ". Предложение: " &amp; M283 &amp; ". Етап: " &amp; N283 &amp; ". Бележки: " &amp; Y283)</x:f>
      </x:c>
      <x:c r="AC283" s="55"/>
    </x:row>
    <x:row r="284">
      <x:c r="A284" s="55"/>
      <x:c r="B284" s="55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55"/>
      <x:c r="S284" s="55" t="str">
        <x:f>IF(C284="","",IFERROR(Q284*R284/100,""))</x:f>
      </x:c>
      <x:c r="T284" s="55"/>
      <x:c r="U284" s="55"/>
      <x:c r="V284" s="55" t="str">
        <x:f>IF(U284="","",U284-TODAY())</x:f>
      </x:c>
      <x:c r="W284" s="55" t="str">
        <x:f>IF(AND(U284&lt;&gt;"",U284&lt;TODAY(),O284="Активен"),"ДА","")</x:f>
      </x:c>
      <x:c r="X284" s="55"/>
      <x:c r="Y284" s="55"/>
      <x:c r="Z284" s="55"/>
      <x:c r="AA284" s="55"/>
      <x:c r="AB284" s="55" t="str">
        <x:f>IF(C284="","", "Напиши " &amp; AA284 &amp; " за бизнес: " &amp; C284 &amp; ". Тип: " &amp; D284 &amp; ". Град: " &amp; E284 &amp; ". Проблем: " &amp; L284 &amp; ". Предложение: " &amp; M284 &amp; ". Етап: " &amp; N284 &amp; ". Бележки: " &amp; Y284)</x:f>
      </x:c>
      <x:c r="AC284" s="55"/>
    </x:row>
    <x:row r="285">
      <x:c r="A285" s="55"/>
      <x:c r="B285" s="55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55"/>
      <x:c r="S285" s="55" t="str">
        <x:f>IF(C285="","",IFERROR(Q285*R285/100,""))</x:f>
      </x:c>
      <x:c r="T285" s="55"/>
      <x:c r="U285" s="55"/>
      <x:c r="V285" s="55" t="str">
        <x:f>IF(U285="","",U285-TODAY())</x:f>
      </x:c>
      <x:c r="W285" s="55" t="str">
        <x:f>IF(AND(U285&lt;&gt;"",U285&lt;TODAY(),O285="Активен"),"ДА","")</x:f>
      </x:c>
      <x:c r="X285" s="55"/>
      <x:c r="Y285" s="55"/>
      <x:c r="Z285" s="55"/>
      <x:c r="AA285" s="55"/>
      <x:c r="AB285" s="55" t="str">
        <x:f>IF(C285="","", "Напиши " &amp; AA285 &amp; " за бизнес: " &amp; C285 &amp; ". Тип: " &amp; D285 &amp; ". Град: " &amp; E285 &amp; ". Проблем: " &amp; L285 &amp; ". Предложение: " &amp; M285 &amp; ". Етап: " &amp; N285 &amp; ". Бележки: " &amp; Y285)</x:f>
      </x:c>
      <x:c r="AC285" s="55"/>
    </x:row>
    <x:row r="286">
      <x:c r="A286" s="55"/>
      <x:c r="B286" s="55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55"/>
      <x:c r="S286" s="55" t="str">
        <x:f>IF(C286="","",IFERROR(Q286*R286/100,""))</x:f>
      </x:c>
      <x:c r="T286" s="55"/>
      <x:c r="U286" s="55"/>
      <x:c r="V286" s="55" t="str">
        <x:f>IF(U286="","",U286-TODAY())</x:f>
      </x:c>
      <x:c r="W286" s="55" t="str">
        <x:f>IF(AND(U286&lt;&gt;"",U286&lt;TODAY(),O286="Активен"),"ДА","")</x:f>
      </x:c>
      <x:c r="X286" s="55"/>
      <x:c r="Y286" s="55"/>
      <x:c r="Z286" s="55"/>
      <x:c r="AA286" s="55"/>
      <x:c r="AB286" s="55" t="str">
        <x:f>IF(C286="","", "Напиши " &amp; AA286 &amp; " за бизнес: " &amp; C286 &amp; ". Тип: " &amp; D286 &amp; ". Град: " &amp; E286 &amp; ". Проблем: " &amp; L286 &amp; ". Предложение: " &amp; M286 &amp; ". Етап: " &amp; N286 &amp; ". Бележки: " &amp; Y286)</x:f>
      </x:c>
      <x:c r="AC286" s="55"/>
    </x:row>
    <x:row r="287">
      <x:c r="A287" s="55"/>
      <x:c r="B287" s="55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55"/>
      <x:c r="S287" s="55" t="str">
        <x:f>IF(C287="","",IFERROR(Q287*R287/100,""))</x:f>
      </x:c>
      <x:c r="T287" s="55"/>
      <x:c r="U287" s="55"/>
      <x:c r="V287" s="55" t="str">
        <x:f>IF(U287="","",U287-TODAY())</x:f>
      </x:c>
      <x:c r="W287" s="55" t="str">
        <x:f>IF(AND(U287&lt;&gt;"",U287&lt;TODAY(),O287="Активен"),"ДА","")</x:f>
      </x:c>
      <x:c r="X287" s="55"/>
      <x:c r="Y287" s="55"/>
      <x:c r="Z287" s="55"/>
      <x:c r="AA287" s="55"/>
      <x:c r="AB287" s="55" t="str">
        <x:f>IF(C287="","", "Напиши " &amp; AA287 &amp; " за бизнес: " &amp; C287 &amp; ". Тип: " &amp; D287 &amp; ". Град: " &amp; E287 &amp; ". Проблем: " &amp; L287 &amp; ". Предложение: " &amp; M287 &amp; ". Етап: " &amp; N287 &amp; ". Бележки: " &amp; Y287)</x:f>
      </x:c>
      <x:c r="AC287" s="55"/>
    </x:row>
    <x:row r="288">
      <x:c r="A288" s="55"/>
      <x:c r="B288" s="55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55"/>
      <x:c r="S288" s="55" t="str">
        <x:f>IF(C288="","",IFERROR(Q288*R288/100,""))</x:f>
      </x:c>
      <x:c r="T288" s="55"/>
      <x:c r="U288" s="55"/>
      <x:c r="V288" s="55" t="str">
        <x:f>IF(U288="","",U288-TODAY())</x:f>
      </x:c>
      <x:c r="W288" s="55" t="str">
        <x:f>IF(AND(U288&lt;&gt;"",U288&lt;TODAY(),O288="Активен"),"ДА","")</x:f>
      </x:c>
      <x:c r="X288" s="55"/>
      <x:c r="Y288" s="55"/>
      <x:c r="Z288" s="55"/>
      <x:c r="AA288" s="55"/>
      <x:c r="AB288" s="55" t="str">
        <x:f>IF(C288="","", "Напиши " &amp; AA288 &amp; " за бизнес: " &amp; C288 &amp; ". Тип: " &amp; D288 &amp; ". Град: " &amp; E288 &amp; ". Проблем: " &amp; L288 &amp; ". Предложение: " &amp; M288 &amp; ". Етап: " &amp; N288 &amp; ". Бележки: " &amp; Y288)</x:f>
      </x:c>
      <x:c r="AC288" s="55"/>
    </x:row>
    <x:row r="289">
      <x:c r="A289" s="55"/>
      <x:c r="B289" s="55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55"/>
      <x:c r="S289" s="55" t="str">
        <x:f>IF(C289="","",IFERROR(Q289*R289/100,""))</x:f>
      </x:c>
      <x:c r="T289" s="55"/>
      <x:c r="U289" s="55"/>
      <x:c r="V289" s="55" t="str">
        <x:f>IF(U289="","",U289-TODAY())</x:f>
      </x:c>
      <x:c r="W289" s="55" t="str">
        <x:f>IF(AND(U289&lt;&gt;"",U289&lt;TODAY(),O289="Активен"),"ДА","")</x:f>
      </x:c>
      <x:c r="X289" s="55"/>
      <x:c r="Y289" s="55"/>
      <x:c r="Z289" s="55"/>
      <x:c r="AA289" s="55"/>
      <x:c r="AB289" s="55" t="str">
        <x:f>IF(C289="","", "Напиши " &amp; AA289 &amp; " за бизнес: " &amp; C289 &amp; ". Тип: " &amp; D289 &amp; ". Град: " &amp; E289 &amp; ". Проблем: " &amp; L289 &amp; ". Предложение: " &amp; M289 &amp; ". Етап: " &amp; N289 &amp; ". Бележки: " &amp; Y289)</x:f>
      </x:c>
      <x:c r="AC289" s="55"/>
    </x:row>
    <x:row r="290">
      <x:c r="A290" s="55"/>
      <x:c r="B290" s="55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55"/>
      <x:c r="S290" s="55" t="str">
        <x:f>IF(C290="","",IFERROR(Q290*R290/100,""))</x:f>
      </x:c>
      <x:c r="T290" s="55"/>
      <x:c r="U290" s="55"/>
      <x:c r="V290" s="55" t="str">
        <x:f>IF(U290="","",U290-TODAY())</x:f>
      </x:c>
      <x:c r="W290" s="55" t="str">
        <x:f>IF(AND(U290&lt;&gt;"",U290&lt;TODAY(),O290="Активен"),"ДА","")</x:f>
      </x:c>
      <x:c r="X290" s="55"/>
      <x:c r="Y290" s="55"/>
      <x:c r="Z290" s="55"/>
      <x:c r="AA290" s="55"/>
      <x:c r="AB290" s="55" t="str">
        <x:f>IF(C290="","", "Напиши " &amp; AA290 &amp; " за бизнес: " &amp; C290 &amp; ". Тип: " &amp; D290 &amp; ". Град: " &amp; E290 &amp; ". Проблем: " &amp; L290 &amp; ". Предложение: " &amp; M290 &amp; ". Етап: " &amp; N290 &amp; ". Бележки: " &amp; Y290)</x:f>
      </x:c>
      <x:c r="AC290" s="55"/>
    </x:row>
    <x:row r="291">
      <x:c r="A291" s="55"/>
      <x:c r="B291" s="55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55"/>
      <x:c r="S291" s="55" t="str">
        <x:f>IF(C291="","",IFERROR(Q291*R291/100,""))</x:f>
      </x:c>
      <x:c r="T291" s="55"/>
      <x:c r="U291" s="55"/>
      <x:c r="V291" s="55" t="str">
        <x:f>IF(U291="","",U291-TODAY())</x:f>
      </x:c>
      <x:c r="W291" s="55" t="str">
        <x:f>IF(AND(U291&lt;&gt;"",U291&lt;TODAY(),O291="Активен"),"ДА","")</x:f>
      </x:c>
      <x:c r="X291" s="55"/>
      <x:c r="Y291" s="55"/>
      <x:c r="Z291" s="55"/>
      <x:c r="AA291" s="55"/>
      <x:c r="AB291" s="55" t="str">
        <x:f>IF(C291="","", "Напиши " &amp; AA291 &amp; " за бизнес: " &amp; C291 &amp; ". Тип: " &amp; D291 &amp; ". Град: " &amp; E291 &amp; ". Проблем: " &amp; L291 &amp; ". Предложение: " &amp; M291 &amp; ". Етап: " &amp; N291 &amp; ". Бележки: " &amp; Y291)</x:f>
      </x:c>
      <x:c r="AC291" s="55"/>
    </x:row>
    <x:row r="292">
      <x:c r="A292" s="55"/>
      <x:c r="B292" s="55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55"/>
      <x:c r="S292" s="55" t="str">
        <x:f>IF(C292="","",IFERROR(Q292*R292/100,""))</x:f>
      </x:c>
      <x:c r="T292" s="55"/>
      <x:c r="U292" s="55"/>
      <x:c r="V292" s="55" t="str">
        <x:f>IF(U292="","",U292-TODAY())</x:f>
      </x:c>
      <x:c r="W292" s="55" t="str">
        <x:f>IF(AND(U292&lt;&gt;"",U292&lt;TODAY(),O292="Активен"),"ДА","")</x:f>
      </x:c>
      <x:c r="X292" s="55"/>
      <x:c r="Y292" s="55"/>
      <x:c r="Z292" s="55"/>
      <x:c r="AA292" s="55"/>
      <x:c r="AB292" s="55" t="str">
        <x:f>IF(C292="","", "Напиши " &amp; AA292 &amp; " за бизнес: " &amp; C292 &amp; ". Тип: " &amp; D292 &amp; ". Град: " &amp; E292 &amp; ". Проблем: " &amp; L292 &amp; ". Предложение: " &amp; M292 &amp; ". Етап: " &amp; N292 &amp; ". Бележки: " &amp; Y292)</x:f>
      </x:c>
      <x:c r="AC292" s="55"/>
    </x:row>
    <x:row r="293">
      <x:c r="A293" s="55"/>
      <x:c r="B293" s="55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55"/>
      <x:c r="S293" s="55" t="str">
        <x:f>IF(C293="","",IFERROR(Q293*R293/100,""))</x:f>
      </x:c>
      <x:c r="T293" s="55"/>
      <x:c r="U293" s="55"/>
      <x:c r="V293" s="55" t="str">
        <x:f>IF(U293="","",U293-TODAY())</x:f>
      </x:c>
      <x:c r="W293" s="55" t="str">
        <x:f>IF(AND(U293&lt;&gt;"",U293&lt;TODAY(),O293="Активен"),"ДА","")</x:f>
      </x:c>
      <x:c r="X293" s="55"/>
      <x:c r="Y293" s="55"/>
      <x:c r="Z293" s="55"/>
      <x:c r="AA293" s="55"/>
      <x:c r="AB293" s="55" t="str">
        <x:f>IF(C293="","", "Напиши " &amp; AA293 &amp; " за бизнес: " &amp; C293 &amp; ". Тип: " &amp; D293 &amp; ". Град: " &amp; E293 &amp; ". Проблем: " &amp; L293 &amp; ". Предложение: " &amp; M293 &amp; ". Етап: " &amp; N293 &amp; ". Бележки: " &amp; Y293)</x:f>
      </x:c>
      <x:c r="AC293" s="55"/>
    </x:row>
    <x:row r="294">
      <x:c r="A294" s="55"/>
      <x:c r="B294" s="55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55"/>
      <x:c r="S294" s="55" t="str">
        <x:f>IF(C294="","",IFERROR(Q294*R294/100,""))</x:f>
      </x:c>
      <x:c r="T294" s="55"/>
      <x:c r="U294" s="55"/>
      <x:c r="V294" s="55" t="str">
        <x:f>IF(U294="","",U294-TODAY())</x:f>
      </x:c>
      <x:c r="W294" s="55" t="str">
        <x:f>IF(AND(U294&lt;&gt;"",U294&lt;TODAY(),O294="Активен"),"ДА","")</x:f>
      </x:c>
      <x:c r="X294" s="55"/>
      <x:c r="Y294" s="55"/>
      <x:c r="Z294" s="55"/>
      <x:c r="AA294" s="55"/>
      <x:c r="AB294" s="55" t="str">
        <x:f>IF(C294="","", "Напиши " &amp; AA294 &amp; " за бизнес: " &amp; C294 &amp; ". Тип: " &amp; D294 &amp; ". Град: " &amp; E294 &amp; ". Проблем: " &amp; L294 &amp; ". Предложение: " &amp; M294 &amp; ". Етап: " &amp; N294 &amp; ". Бележки: " &amp; Y294)</x:f>
      </x:c>
      <x:c r="AC294" s="55"/>
    </x:row>
    <x:row r="295">
      <x:c r="A295" s="55"/>
      <x:c r="B295" s="55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55"/>
      <x:c r="S295" s="55" t="str">
        <x:f>IF(C295="","",IFERROR(Q295*R295/100,""))</x:f>
      </x:c>
      <x:c r="T295" s="55"/>
      <x:c r="U295" s="55"/>
      <x:c r="V295" s="55" t="str">
        <x:f>IF(U295="","",U295-TODAY())</x:f>
      </x:c>
      <x:c r="W295" s="55" t="str">
        <x:f>IF(AND(U295&lt;&gt;"",U295&lt;TODAY(),O295="Активен"),"ДА","")</x:f>
      </x:c>
      <x:c r="X295" s="55"/>
      <x:c r="Y295" s="55"/>
      <x:c r="Z295" s="55"/>
      <x:c r="AA295" s="55"/>
      <x:c r="AB295" s="55" t="str">
        <x:f>IF(C295="","", "Напиши " &amp; AA295 &amp; " за бизнес: " &amp; C295 &amp; ". Тип: " &amp; D295 &amp; ". Град: " &amp; E295 &amp; ". Проблем: " &amp; L295 &amp; ". Предложение: " &amp; M295 &amp; ". Етап: " &amp; N295 &amp; ". Бележки: " &amp; Y295)</x:f>
      </x:c>
      <x:c r="AC295" s="55"/>
    </x:row>
    <x:row r="296">
      <x:c r="A296" s="55"/>
      <x:c r="B296" s="55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55"/>
      <x:c r="S296" s="55" t="str">
        <x:f>IF(C296="","",IFERROR(Q296*R296/100,""))</x:f>
      </x:c>
      <x:c r="T296" s="55"/>
      <x:c r="U296" s="55"/>
      <x:c r="V296" s="55" t="str">
        <x:f>IF(U296="","",U296-TODAY())</x:f>
      </x:c>
      <x:c r="W296" s="55" t="str">
        <x:f>IF(AND(U296&lt;&gt;"",U296&lt;TODAY(),O296="Активен"),"ДА","")</x:f>
      </x:c>
      <x:c r="X296" s="55"/>
      <x:c r="Y296" s="55"/>
      <x:c r="Z296" s="55"/>
      <x:c r="AA296" s="55"/>
      <x:c r="AB296" s="55" t="str">
        <x:f>IF(C296="","", "Напиши " &amp; AA296 &amp; " за бизнес: " &amp; C296 &amp; ". Тип: " &amp; D296 &amp; ". Град: " &amp; E296 &amp; ". Проблем: " &amp; L296 &amp; ". Предложение: " &amp; M296 &amp; ". Етап: " &amp; N296 &amp; ". Бележки: " &amp; Y296)</x:f>
      </x:c>
      <x:c r="AC296" s="55"/>
    </x:row>
    <x:row r="297">
      <x:c r="A297" s="55"/>
      <x:c r="B297" s="55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55"/>
      <x:c r="S297" s="55" t="str">
        <x:f>IF(C297="","",IFERROR(Q297*R297/100,""))</x:f>
      </x:c>
      <x:c r="T297" s="55"/>
      <x:c r="U297" s="55"/>
      <x:c r="V297" s="55" t="str">
        <x:f>IF(U297="","",U297-TODAY())</x:f>
      </x:c>
      <x:c r="W297" s="55" t="str">
        <x:f>IF(AND(U297&lt;&gt;"",U297&lt;TODAY(),O297="Активен"),"ДА","")</x:f>
      </x:c>
      <x:c r="X297" s="55"/>
      <x:c r="Y297" s="55"/>
      <x:c r="Z297" s="55"/>
      <x:c r="AA297" s="55"/>
      <x:c r="AB297" s="55" t="str">
        <x:f>IF(C297="","", "Напиши " &amp; AA297 &amp; " за бизнес: " &amp; C297 &amp; ". Тип: " &amp; D297 &amp; ". Град: " &amp; E297 &amp; ". Проблем: " &amp; L297 &amp; ". Предложение: " &amp; M297 &amp; ". Етап: " &amp; N297 &amp; ". Бележки: " &amp; Y297)</x:f>
      </x:c>
      <x:c r="AC297" s="55"/>
    </x:row>
    <x:row r="298">
      <x:c r="A298" s="55"/>
      <x:c r="B298" s="55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55"/>
      <x:c r="S298" s="55" t="str">
        <x:f>IF(C298="","",IFERROR(Q298*R298/100,""))</x:f>
      </x:c>
      <x:c r="T298" s="55"/>
      <x:c r="U298" s="55"/>
      <x:c r="V298" s="55" t="str">
        <x:f>IF(U298="","",U298-TODAY())</x:f>
      </x:c>
      <x:c r="W298" s="55" t="str">
        <x:f>IF(AND(U298&lt;&gt;"",U298&lt;TODAY(),O298="Активен"),"ДА","")</x:f>
      </x:c>
      <x:c r="X298" s="55"/>
      <x:c r="Y298" s="55"/>
      <x:c r="Z298" s="55"/>
      <x:c r="AA298" s="55"/>
      <x:c r="AB298" s="55" t="str">
        <x:f>IF(C298="","", "Напиши " &amp; AA298 &amp; " за бизнес: " &amp; C298 &amp; ". Тип: " &amp; D298 &amp; ". Град: " &amp; E298 &amp; ". Проблем: " &amp; L298 &amp; ". Предложение: " &amp; M298 &amp; ". Етап: " &amp; N298 &amp; ". Бележки: " &amp; Y298)</x:f>
      </x:c>
      <x:c r="AC298" s="55"/>
    </x:row>
    <x:row r="299">
      <x:c r="A299" s="55"/>
      <x:c r="B299" s="55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55"/>
      <x:c r="S299" s="55" t="str">
        <x:f>IF(C299="","",IFERROR(Q299*R299/100,""))</x:f>
      </x:c>
      <x:c r="T299" s="55"/>
      <x:c r="U299" s="55"/>
      <x:c r="V299" s="55" t="str">
        <x:f>IF(U299="","",U299-TODAY())</x:f>
      </x:c>
      <x:c r="W299" s="55" t="str">
        <x:f>IF(AND(U299&lt;&gt;"",U299&lt;TODAY(),O299="Активен"),"ДА","")</x:f>
      </x:c>
      <x:c r="X299" s="55"/>
      <x:c r="Y299" s="55"/>
      <x:c r="Z299" s="55"/>
      <x:c r="AA299" s="55"/>
      <x:c r="AB299" s="55" t="str">
        <x:f>IF(C299="","", "Напиши " &amp; AA299 &amp; " за бизнес: " &amp; C299 &amp; ". Тип: " &amp; D299 &amp; ". Град: " &amp; E299 &amp; ". Проблем: " &amp; L299 &amp; ". Предложение: " &amp; M299 &amp; ". Етап: " &amp; N299 &amp; ". Бележки: " &amp; Y299)</x:f>
      </x:c>
      <x:c r="AC299" s="55"/>
    </x:row>
    <x:row r="300">
      <x:c r="A300" s="55"/>
      <x:c r="B300" s="55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55"/>
      <x:c r="S300" s="55" t="str">
        <x:f>IF(C300="","",IFERROR(Q300*R300/100,""))</x:f>
      </x:c>
      <x:c r="T300" s="55"/>
      <x:c r="U300" s="55"/>
      <x:c r="V300" s="55" t="str">
        <x:f>IF(U300="","",U300-TODAY())</x:f>
      </x:c>
      <x:c r="W300" s="55" t="str">
        <x:f>IF(AND(U300&lt;&gt;"",U300&lt;TODAY(),O300="Активен"),"ДА","")</x:f>
      </x:c>
      <x:c r="X300" s="55"/>
      <x:c r="Y300" s="55"/>
      <x:c r="Z300" s="55"/>
      <x:c r="AA300" s="55"/>
      <x:c r="AB300" s="55" t="str">
        <x:f>IF(C300="","", "Напиши " &amp; AA300 &amp; " за бизнес: " &amp; C300 &amp; ". Тип: " &amp; D300 &amp; ". Град: " &amp; E300 &amp; ". Проблем: " &amp; L300 &amp; ". Предложение: " &amp; M300 &amp; ". Етап: " &amp; N300 &amp; ". Бележки: " &amp; Y300)</x:f>
      </x:c>
      <x:c r="AC300" s="55"/>
    </x:row>
    <x:row r="301">
      <x:c r="A301" s="55"/>
      <x:c r="B301" s="55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55"/>
      <x:c r="S301" s="55" t="str">
        <x:f>IF(C301="","",IFERROR(Q301*R301/100,""))</x:f>
      </x:c>
      <x:c r="T301" s="55"/>
      <x:c r="U301" s="55"/>
      <x:c r="V301" s="55" t="str">
        <x:f>IF(U301="","",U301-TODAY())</x:f>
      </x:c>
      <x:c r="W301" s="55" t="str">
        <x:f>IF(AND(U301&lt;&gt;"",U301&lt;TODAY(),O301="Активен"),"ДА","")</x:f>
      </x:c>
      <x:c r="X301" s="55"/>
      <x:c r="Y301" s="55"/>
      <x:c r="Z301" s="55"/>
      <x:c r="AA301" s="55"/>
      <x:c r="AB301" s="55" t="str">
        <x:f>IF(C301="","", "Напиши " &amp; AA301 &amp; " за бизнес: " &amp; C301 &amp; ". Тип: " &amp; D301 &amp; ". Град: " &amp; E301 &amp; ". Проблем: " &amp; L301 &amp; ". Предложение: " &amp; M301 &amp; ". Етап: " &amp; N301 &amp; ". Бележки: " &amp; Y301)</x:f>
      </x:c>
      <x:c r="AC301" s="55"/>
    </x:row>
    <x:row r="302">
      <x:c r="A302" s="55"/>
      <x:c r="B302" s="55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55"/>
      <x:c r="S302" s="55" t="str">
        <x:f>IF(C302="","",IFERROR(Q302*R302/100,""))</x:f>
      </x:c>
      <x:c r="T302" s="55"/>
      <x:c r="U302" s="55"/>
      <x:c r="V302" s="55" t="str">
        <x:f>IF(U302="","",U302-TODAY())</x:f>
      </x:c>
      <x:c r="W302" s="55" t="str">
        <x:f>IF(AND(U302&lt;&gt;"",U302&lt;TODAY(),O302="Активен"),"ДА","")</x:f>
      </x:c>
      <x:c r="X302" s="55"/>
      <x:c r="Y302" s="55"/>
      <x:c r="Z302" s="55"/>
      <x:c r="AA302" s="55"/>
      <x:c r="AB302" s="55" t="str">
        <x:f>IF(C302="","", "Напиши " &amp; AA302 &amp; " за бизнес: " &amp; C302 &amp; ". Тип: " &amp; D302 &amp; ". Град: " &amp; E302 &amp; ". Проблем: " &amp; L302 &amp; ". Предложение: " &amp; M302 &amp; ". Етап: " &amp; N302 &amp; ". Бележки: " &amp; Y302)</x:f>
      </x:c>
      <x:c r="AC302" s="55"/>
    </x:row>
    <x:row r="303">
      <x:c r="A303" s="55"/>
      <x:c r="B303" s="55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55"/>
      <x:c r="S303" s="55" t="str">
        <x:f>IF(C303="","",IFERROR(Q303*R303/100,""))</x:f>
      </x:c>
      <x:c r="T303" s="55"/>
      <x:c r="U303" s="55"/>
      <x:c r="V303" s="55" t="str">
        <x:f>IF(U303="","",U303-TODAY())</x:f>
      </x:c>
      <x:c r="W303" s="55" t="str">
        <x:f>IF(AND(U303&lt;&gt;"",U303&lt;TODAY(),O303="Активен"),"ДА","")</x:f>
      </x:c>
      <x:c r="X303" s="55"/>
      <x:c r="Y303" s="55"/>
      <x:c r="Z303" s="55"/>
      <x:c r="AA303" s="55"/>
      <x:c r="AB303" s="55" t="str">
        <x:f>IF(C303="","", "Напиши " &amp; AA303 &amp; " за бизнес: " &amp; C303 &amp; ". Тип: " &amp; D303 &amp; ". Град: " &amp; E303 &amp; ". Проблем: " &amp; L303 &amp; ". Предложение: " &amp; M303 &amp; ". Етап: " &amp; N303 &amp; ". Бележки: " &amp; Y303)</x:f>
      </x:c>
      <x:c r="AC303" s="55"/>
    </x:row>
    <x:row r="304">
      <x:c r="A304" s="55"/>
      <x:c r="B304" s="55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55"/>
      <x:c r="S304" s="55" t="str">
        <x:f>IF(C304="","",IFERROR(Q304*R304/100,""))</x:f>
      </x:c>
      <x:c r="T304" s="55"/>
      <x:c r="U304" s="55"/>
      <x:c r="V304" s="55" t="str">
        <x:f>IF(U304="","",U304-TODAY())</x:f>
      </x:c>
      <x:c r="W304" s="55" t="str">
        <x:f>IF(AND(U304&lt;&gt;"",U304&lt;TODAY(),O304="Активен"),"ДА","")</x:f>
      </x:c>
      <x:c r="X304" s="55"/>
      <x:c r="Y304" s="55"/>
      <x:c r="Z304" s="55"/>
      <x:c r="AA304" s="55"/>
      <x:c r="AB304" s="55" t="str">
        <x:f>IF(C304="","", "Напиши " &amp; AA304 &amp; " за бизнес: " &amp; C304 &amp; ". Тип: " &amp; D304 &amp; ". Град: " &amp; E304 &amp; ". Проблем: " &amp; L304 &amp; ". Предложение: " &amp; M304 &amp; ". Етап: " &amp; N304 &amp; ". Бележки: " &amp; Y304)</x:f>
      </x:c>
      <x:c r="AC304" s="55"/>
    </x:row>
    <x:row r="305">
      <x:c r="A305" s="55"/>
      <x:c r="B305" s="55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55"/>
      <x:c r="S305" s="55" t="str">
        <x:f>IF(C305="","",IFERROR(Q305*R305/100,""))</x:f>
      </x:c>
      <x:c r="T305" s="55"/>
      <x:c r="U305" s="55"/>
      <x:c r="V305" s="55" t="str">
        <x:f>IF(U305="","",U305-TODAY())</x:f>
      </x:c>
      <x:c r="W305" s="55" t="str">
        <x:f>IF(AND(U305&lt;&gt;"",U305&lt;TODAY(),O305="Активен"),"ДА","")</x:f>
      </x:c>
      <x:c r="X305" s="55"/>
      <x:c r="Y305" s="55"/>
      <x:c r="Z305" s="55"/>
      <x:c r="AA305" s="55"/>
      <x:c r="AB305" s="55" t="str">
        <x:f>IF(C305="","", "Напиши " &amp; AA305 &amp; " за бизнес: " &amp; C305 &amp; ". Тип: " &amp; D305 &amp; ". Град: " &amp; E305 &amp; ". Проблем: " &amp; L305 &amp; ". Предложение: " &amp; M305 &amp; ". Етап: " &amp; N305 &amp; ". Бележки: " &amp; Y305)</x:f>
      </x:c>
      <x:c r="AC305" s="55"/>
    </x:row>
    <x:row r="306">
      <x:c r="A306" s="55"/>
      <x:c r="B306" s="55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55"/>
      <x:c r="S306" s="55" t="str">
        <x:f>IF(C306="","",IFERROR(Q306*R306/100,""))</x:f>
      </x:c>
      <x:c r="T306" s="55"/>
      <x:c r="U306" s="55"/>
      <x:c r="V306" s="55" t="str">
        <x:f>IF(U306="","",U306-TODAY())</x:f>
      </x:c>
      <x:c r="W306" s="55" t="str">
        <x:f>IF(AND(U306&lt;&gt;"",U306&lt;TODAY(),O306="Активен"),"ДА","")</x:f>
      </x:c>
      <x:c r="X306" s="55"/>
      <x:c r="Y306" s="55"/>
      <x:c r="Z306" s="55"/>
      <x:c r="AA306" s="55"/>
      <x:c r="AB306" s="55" t="str">
        <x:f>IF(C306="","", "Напиши " &amp; AA306 &amp; " за бизнес: " &amp; C306 &amp; ". Тип: " &amp; D306 &amp; ". Град: " &amp; E306 &amp; ". Проблем: " &amp; L306 &amp; ". Предложение: " &amp; M306 &amp; ". Етап: " &amp; N306 &amp; ". Бележки: " &amp; Y306)</x:f>
      </x:c>
      <x:c r="AC306" s="55"/>
    </x:row>
    <x:row r="307">
      <x:c r="A307" s="55"/>
      <x:c r="B307" s="55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55"/>
      <x:c r="S307" s="55" t="str">
        <x:f>IF(C307="","",IFERROR(Q307*R307/100,""))</x:f>
      </x:c>
      <x:c r="T307" s="55"/>
      <x:c r="U307" s="55"/>
      <x:c r="V307" s="55" t="str">
        <x:f>IF(U307="","",U307-TODAY())</x:f>
      </x:c>
      <x:c r="W307" s="55" t="str">
        <x:f>IF(AND(U307&lt;&gt;"",U307&lt;TODAY(),O307="Активен"),"ДА","")</x:f>
      </x:c>
      <x:c r="X307" s="55"/>
      <x:c r="Y307" s="55"/>
      <x:c r="Z307" s="55"/>
      <x:c r="AA307" s="55"/>
      <x:c r="AB307" s="55" t="str">
        <x:f>IF(C307="","", "Напиши " &amp; AA307 &amp; " за бизнес: " &amp; C307 &amp; ". Тип: " &amp; D307 &amp; ". Град: " &amp; E307 &amp; ". Проблем: " &amp; L307 &amp; ". Предложение: " &amp; M307 &amp; ". Етап: " &amp; N307 &amp; ". Бележки: " &amp; Y307)</x:f>
      </x:c>
      <x:c r="AC307" s="55"/>
    </x:row>
    <x:row r="308">
      <x:c r="A308" s="55"/>
      <x:c r="B308" s="55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55"/>
      <x:c r="S308" s="55" t="str">
        <x:f>IF(C308="","",IFERROR(Q308*R308/100,""))</x:f>
      </x:c>
      <x:c r="T308" s="55"/>
      <x:c r="U308" s="55"/>
      <x:c r="V308" s="55" t="str">
        <x:f>IF(U308="","",U308-TODAY())</x:f>
      </x:c>
      <x:c r="W308" s="55" t="str">
        <x:f>IF(AND(U308&lt;&gt;"",U308&lt;TODAY(),O308="Активен"),"ДА","")</x:f>
      </x:c>
      <x:c r="X308" s="55"/>
      <x:c r="Y308" s="55"/>
      <x:c r="Z308" s="55"/>
      <x:c r="AA308" s="55"/>
      <x:c r="AB308" s="55" t="str">
        <x:f>IF(C308="","", "Напиши " &amp; AA308 &amp; " за бизнес: " &amp; C308 &amp; ". Тип: " &amp; D308 &amp; ". Град: " &amp; E308 &amp; ". Проблем: " &amp; L308 &amp; ". Предложение: " &amp; M308 &amp; ". Етап: " &amp; N308 &amp; ". Бележки: " &amp; Y308)</x:f>
      </x:c>
      <x:c r="AC308" s="55"/>
    </x:row>
    <x:row r="309">
      <x:c r="A309" s="55"/>
      <x:c r="B309" s="55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55"/>
      <x:c r="S309" s="55" t="str">
        <x:f>IF(C309="","",IFERROR(Q309*R309/100,""))</x:f>
      </x:c>
      <x:c r="T309" s="55"/>
      <x:c r="U309" s="55"/>
      <x:c r="V309" s="55" t="str">
        <x:f>IF(U309="","",U309-TODAY())</x:f>
      </x:c>
      <x:c r="W309" s="55" t="str">
        <x:f>IF(AND(U309&lt;&gt;"",U309&lt;TODAY(),O309="Активен"),"ДА","")</x:f>
      </x:c>
      <x:c r="X309" s="55"/>
      <x:c r="Y309" s="55"/>
      <x:c r="Z309" s="55"/>
      <x:c r="AA309" s="55"/>
      <x:c r="AB309" s="55" t="str">
        <x:f>IF(C309="","", "Напиши " &amp; AA309 &amp; " за бизнес: " &amp; C309 &amp; ". Тип: " &amp; D309 &amp; ". Град: " &amp; E309 &amp; ". Проблем: " &amp; L309 &amp; ". Предложение: " &amp; M309 &amp; ". Етап: " &amp; N309 &amp; ". Бележки: " &amp; Y309)</x:f>
      </x:c>
      <x:c r="AC309" s="55"/>
    </x:row>
    <x:row r="310">
      <x:c r="A310" s="55"/>
      <x:c r="B310" s="55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55"/>
      <x:c r="S310" s="55" t="str">
        <x:f>IF(C310="","",IFERROR(Q310*R310/100,""))</x:f>
      </x:c>
      <x:c r="T310" s="55"/>
      <x:c r="U310" s="55"/>
      <x:c r="V310" s="55" t="str">
        <x:f>IF(U310="","",U310-TODAY())</x:f>
      </x:c>
      <x:c r="W310" s="55" t="str">
        <x:f>IF(AND(U310&lt;&gt;"",U310&lt;TODAY(),O310="Активен"),"ДА","")</x:f>
      </x:c>
      <x:c r="X310" s="55"/>
      <x:c r="Y310" s="55"/>
      <x:c r="Z310" s="55"/>
      <x:c r="AA310" s="55"/>
      <x:c r="AB310" s="55" t="str">
        <x:f>IF(C310="","", "Напиши " &amp; AA310 &amp; " за бизнес: " &amp; C310 &amp; ". Тип: " &amp; D310 &amp; ". Град: " &amp; E310 &amp; ". Проблем: " &amp; L310 &amp; ". Предложение: " &amp; M310 &amp; ". Етап: " &amp; N310 &amp; ". Бележки: " &amp; Y310)</x:f>
      </x:c>
      <x:c r="AC310" s="55"/>
    </x:row>
    <x:row r="311">
      <x:c r="A311" s="55"/>
      <x:c r="B311" s="55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55"/>
      <x:c r="S311" s="55" t="str">
        <x:f>IF(C311="","",IFERROR(Q311*R311/100,""))</x:f>
      </x:c>
      <x:c r="T311" s="55"/>
      <x:c r="U311" s="55"/>
      <x:c r="V311" s="55" t="str">
        <x:f>IF(U311="","",U311-TODAY())</x:f>
      </x:c>
      <x:c r="W311" s="55" t="str">
        <x:f>IF(AND(U311&lt;&gt;"",U311&lt;TODAY(),O311="Активен"),"ДА","")</x:f>
      </x:c>
      <x:c r="X311" s="55"/>
      <x:c r="Y311" s="55"/>
      <x:c r="Z311" s="55"/>
      <x:c r="AA311" s="55"/>
      <x:c r="AB311" s="55" t="str">
        <x:f>IF(C311="","", "Напиши " &amp; AA311 &amp; " за бизнес: " &amp; C311 &amp; ". Тип: " &amp; D311 &amp; ". Град: " &amp; E311 &amp; ". Проблем: " &amp; L311 &amp; ". Предложение: " &amp; M311 &amp; ". Етап: " &amp; N311 &amp; ". Бележки: " &amp; Y311)</x:f>
      </x:c>
      <x:c r="AC311" s="55"/>
    </x:row>
    <x:row r="312">
      <x:c r="A312" s="55"/>
      <x:c r="B312" s="55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55"/>
      <x:c r="S312" s="55" t="str">
        <x:f>IF(C312="","",IFERROR(Q312*R312/100,""))</x:f>
      </x:c>
      <x:c r="T312" s="55"/>
      <x:c r="U312" s="55"/>
      <x:c r="V312" s="55" t="str">
        <x:f>IF(U312="","",U312-TODAY())</x:f>
      </x:c>
      <x:c r="W312" s="55" t="str">
        <x:f>IF(AND(U312&lt;&gt;"",U312&lt;TODAY(),O312="Активен"),"ДА","")</x:f>
      </x:c>
      <x:c r="X312" s="55"/>
      <x:c r="Y312" s="55"/>
      <x:c r="Z312" s="55"/>
      <x:c r="AA312" s="55"/>
      <x:c r="AB312" s="55" t="str">
        <x:f>IF(C312="","", "Напиши " &amp; AA312 &amp; " за бизнес: " &amp; C312 &amp; ". Тип: " &amp; D312 &amp; ". Град: " &amp; E312 &amp; ". Проблем: " &amp; L312 &amp; ". Предложение: " &amp; M312 &amp; ". Етап: " &amp; N312 &amp; ". Бележки: " &amp; Y312)</x:f>
      </x:c>
      <x:c r="AC312" s="55"/>
    </x:row>
    <x:row r="313">
      <x:c r="A313" s="55"/>
      <x:c r="B313" s="55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55"/>
      <x:c r="S313" s="55" t="str">
        <x:f>IF(C313="","",IFERROR(Q313*R313/100,""))</x:f>
      </x:c>
      <x:c r="T313" s="55"/>
      <x:c r="U313" s="55"/>
      <x:c r="V313" s="55" t="str">
        <x:f>IF(U313="","",U313-TODAY())</x:f>
      </x:c>
      <x:c r="W313" s="55" t="str">
        <x:f>IF(AND(U313&lt;&gt;"",U313&lt;TODAY(),O313="Активен"),"ДА","")</x:f>
      </x:c>
      <x:c r="X313" s="55"/>
      <x:c r="Y313" s="55"/>
      <x:c r="Z313" s="55"/>
      <x:c r="AA313" s="55"/>
      <x:c r="AB313" s="55" t="str">
        <x:f>IF(C313="","", "Напиши " &amp; AA313 &amp; " за бизнес: " &amp; C313 &amp; ". Тип: " &amp; D313 &amp; ". Град: " &amp; E313 &amp; ". Проблем: " &amp; L313 &amp; ". Предложение: " &amp; M313 &amp; ". Етап: " &amp; N313 &amp; ". Бележки: " &amp; Y313)</x:f>
      </x:c>
      <x:c r="AC313" s="55"/>
    </x:row>
    <x:row r="314">
      <x:c r="A314" s="55"/>
      <x:c r="B314" s="55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55"/>
      <x:c r="S314" s="55" t="str">
        <x:f>IF(C314="","",IFERROR(Q314*R314/100,""))</x:f>
      </x:c>
      <x:c r="T314" s="55"/>
      <x:c r="U314" s="55"/>
      <x:c r="V314" s="55" t="str">
        <x:f>IF(U314="","",U314-TODAY())</x:f>
      </x:c>
      <x:c r="W314" s="55" t="str">
        <x:f>IF(AND(U314&lt;&gt;"",U314&lt;TODAY(),O314="Активен"),"ДА","")</x:f>
      </x:c>
      <x:c r="X314" s="55"/>
      <x:c r="Y314" s="55"/>
      <x:c r="Z314" s="55"/>
      <x:c r="AA314" s="55"/>
      <x:c r="AB314" s="55" t="str">
        <x:f>IF(C314="","", "Напиши " &amp; AA314 &amp; " за бизнес: " &amp; C314 &amp; ". Тип: " &amp; D314 &amp; ". Град: " &amp; E314 &amp; ". Проблем: " &amp; L314 &amp; ". Предложение: " &amp; M314 &amp; ". Етап: " &amp; N314 &amp; ". Бележки: " &amp; Y314)</x:f>
      </x:c>
      <x:c r="AC314" s="55"/>
    </x:row>
    <x:row r="315">
      <x:c r="A315" s="55"/>
      <x:c r="B315" s="55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55"/>
      <x:c r="S315" s="55" t="str">
        <x:f>IF(C315="","",IFERROR(Q315*R315/100,""))</x:f>
      </x:c>
      <x:c r="T315" s="55"/>
      <x:c r="U315" s="55"/>
      <x:c r="V315" s="55" t="str">
        <x:f>IF(U315="","",U315-TODAY())</x:f>
      </x:c>
      <x:c r="W315" s="55" t="str">
        <x:f>IF(AND(U315&lt;&gt;"",U315&lt;TODAY(),O315="Активен"),"ДА","")</x:f>
      </x:c>
      <x:c r="X315" s="55"/>
      <x:c r="Y315" s="55"/>
      <x:c r="Z315" s="55"/>
      <x:c r="AA315" s="55"/>
      <x:c r="AB315" s="55" t="str">
        <x:f>IF(C315="","", "Напиши " &amp; AA315 &amp; " за бизнес: " &amp; C315 &amp; ". Тип: " &amp; D315 &amp; ". Град: " &amp; E315 &amp; ". Проблем: " &amp; L315 &amp; ". Предложение: " &amp; M315 &amp; ". Етап: " &amp; N315 &amp; ". Бележки: " &amp; Y315)</x:f>
      </x:c>
      <x:c r="AC315" s="55"/>
    </x:row>
    <x:row r="316">
      <x:c r="A316" s="55"/>
      <x:c r="B316" s="55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55"/>
      <x:c r="S316" s="55" t="str">
        <x:f>IF(C316="","",IFERROR(Q316*R316/100,""))</x:f>
      </x:c>
      <x:c r="T316" s="55"/>
      <x:c r="U316" s="55"/>
      <x:c r="V316" s="55" t="str">
        <x:f>IF(U316="","",U316-TODAY())</x:f>
      </x:c>
      <x:c r="W316" s="55" t="str">
        <x:f>IF(AND(U316&lt;&gt;"",U316&lt;TODAY(),O316="Активен"),"ДА","")</x:f>
      </x:c>
      <x:c r="X316" s="55"/>
      <x:c r="Y316" s="55"/>
      <x:c r="Z316" s="55"/>
      <x:c r="AA316" s="55"/>
      <x:c r="AB316" s="55" t="str">
        <x:f>IF(C316="","", "Напиши " &amp; AA316 &amp; " за бизнес: " &amp; C316 &amp; ". Тип: " &amp; D316 &amp; ". Град: " &amp; E316 &amp; ". Проблем: " &amp; L316 &amp; ". Предложение: " &amp; M316 &amp; ". Етап: " &amp; N316 &amp; ". Бележки: " &amp; Y316)</x:f>
      </x:c>
      <x:c r="AC316" s="55"/>
    </x:row>
    <x:row r="317">
      <x:c r="A317" s="55"/>
      <x:c r="B317" s="55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55"/>
      <x:c r="S317" s="55" t="str">
        <x:f>IF(C317="","",IFERROR(Q317*R317/100,""))</x:f>
      </x:c>
      <x:c r="T317" s="55"/>
      <x:c r="U317" s="55"/>
      <x:c r="V317" s="55" t="str">
        <x:f>IF(U317="","",U317-TODAY())</x:f>
      </x:c>
      <x:c r="W317" s="55" t="str">
        <x:f>IF(AND(U317&lt;&gt;"",U317&lt;TODAY(),O317="Активен"),"ДА","")</x:f>
      </x:c>
      <x:c r="X317" s="55"/>
      <x:c r="Y317" s="55"/>
      <x:c r="Z317" s="55"/>
      <x:c r="AA317" s="55"/>
      <x:c r="AB317" s="55" t="str">
        <x:f>IF(C317="","", "Напиши " &amp; AA317 &amp; " за бизнес: " &amp; C317 &amp; ". Тип: " &amp; D317 &amp; ". Град: " &amp; E317 &amp; ". Проблем: " &amp; L317 &amp; ". Предложение: " &amp; M317 &amp; ". Етап: " &amp; N317 &amp; ". Бележки: " &amp; Y317)</x:f>
      </x:c>
      <x:c r="AC317" s="55"/>
    </x:row>
    <x:row r="318">
      <x:c r="A318" s="55"/>
      <x:c r="B318" s="55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55"/>
      <x:c r="S318" s="55" t="str">
        <x:f>IF(C318="","",IFERROR(Q318*R318/100,""))</x:f>
      </x:c>
      <x:c r="T318" s="55"/>
      <x:c r="U318" s="55"/>
      <x:c r="V318" s="55" t="str">
        <x:f>IF(U318="","",U318-TODAY())</x:f>
      </x:c>
      <x:c r="W318" s="55" t="str">
        <x:f>IF(AND(U318&lt;&gt;"",U318&lt;TODAY(),O318="Активен"),"ДА","")</x:f>
      </x:c>
      <x:c r="X318" s="55"/>
      <x:c r="Y318" s="55"/>
      <x:c r="Z318" s="55"/>
      <x:c r="AA318" s="55"/>
      <x:c r="AB318" s="55" t="str">
        <x:f>IF(C318="","", "Напиши " &amp; AA318 &amp; " за бизнес: " &amp; C318 &amp; ". Тип: " &amp; D318 &amp; ". Град: " &amp; E318 &amp; ". Проблем: " &amp; L318 &amp; ". Предложение: " &amp; M318 &amp; ". Етап: " &amp; N318 &amp; ". Бележки: " &amp; Y318)</x:f>
      </x:c>
      <x:c r="AC318" s="55"/>
    </x:row>
    <x:row r="319">
      <x:c r="A319" s="55"/>
      <x:c r="B319" s="55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55"/>
      <x:c r="S319" s="55" t="str">
        <x:f>IF(C319="","",IFERROR(Q319*R319/100,""))</x:f>
      </x:c>
      <x:c r="T319" s="55"/>
      <x:c r="U319" s="55"/>
      <x:c r="V319" s="55" t="str">
        <x:f>IF(U319="","",U319-TODAY())</x:f>
      </x:c>
      <x:c r="W319" s="55" t="str">
        <x:f>IF(AND(U319&lt;&gt;"",U319&lt;TODAY(),O319="Активен"),"ДА","")</x:f>
      </x:c>
      <x:c r="X319" s="55"/>
      <x:c r="Y319" s="55"/>
      <x:c r="Z319" s="55"/>
      <x:c r="AA319" s="55"/>
      <x:c r="AB319" s="55" t="str">
        <x:f>IF(C319="","", "Напиши " &amp; AA319 &amp; " за бизнес: " &amp; C319 &amp; ". Тип: " &amp; D319 &amp; ". Град: " &amp; E319 &amp; ". Проблем: " &amp; L319 &amp; ". Предложение: " &amp; M319 &amp; ". Етап: " &amp; N319 &amp; ". Бележки: " &amp; Y319)</x:f>
      </x:c>
      <x:c r="AC319" s="55"/>
    </x:row>
    <x:row r="320">
      <x:c r="A320" s="55"/>
      <x:c r="B320" s="55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55"/>
      <x:c r="S320" s="55" t="str">
        <x:f>IF(C320="","",IFERROR(Q320*R320/100,""))</x:f>
      </x:c>
      <x:c r="T320" s="55"/>
      <x:c r="U320" s="55"/>
      <x:c r="V320" s="55" t="str">
        <x:f>IF(U320="","",U320-TODAY())</x:f>
      </x:c>
      <x:c r="W320" s="55" t="str">
        <x:f>IF(AND(U320&lt;&gt;"",U320&lt;TODAY(),O320="Активен"),"ДА","")</x:f>
      </x:c>
      <x:c r="X320" s="55"/>
      <x:c r="Y320" s="55"/>
      <x:c r="Z320" s="55"/>
      <x:c r="AA320" s="55"/>
      <x:c r="AB320" s="55" t="str">
        <x:f>IF(C320="","", "Напиши " &amp; AA320 &amp; " за бизнес: " &amp; C320 &amp; ". Тип: " &amp; D320 &amp; ". Град: " &amp; E320 &amp; ". Проблем: " &amp; L320 &amp; ". Предложение: " &amp; M320 &amp; ". Етап: " &amp; N320 &amp; ". Бележки: " &amp; Y320)</x:f>
      </x:c>
      <x:c r="AC320" s="55"/>
    </x:row>
    <x:row r="321">
      <x:c r="A321" s="55"/>
      <x:c r="B321" s="55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55"/>
      <x:c r="S321" s="55" t="str">
        <x:f>IF(C321="","",IFERROR(Q321*R321/100,""))</x:f>
      </x:c>
      <x:c r="T321" s="55"/>
      <x:c r="U321" s="55"/>
      <x:c r="V321" s="55" t="str">
        <x:f>IF(U321="","",U321-TODAY())</x:f>
      </x:c>
      <x:c r="W321" s="55" t="str">
        <x:f>IF(AND(U321&lt;&gt;"",U321&lt;TODAY(),O321="Активен"),"ДА","")</x:f>
      </x:c>
      <x:c r="X321" s="55"/>
      <x:c r="Y321" s="55"/>
      <x:c r="Z321" s="55"/>
      <x:c r="AA321" s="55"/>
      <x:c r="AB321" s="55" t="str">
        <x:f>IF(C321="","", "Напиши " &amp; AA321 &amp; " за бизнес: " &amp; C321 &amp; ". Тип: " &amp; D321 &amp; ". Град: " &amp; E321 &amp; ". Проблем: " &amp; L321 &amp; ". Предложение: " &amp; M321 &amp; ". Етап: " &amp; N321 &amp; ". Бележки: " &amp; Y321)</x:f>
      </x:c>
      <x:c r="AC321" s="55"/>
    </x:row>
    <x:row r="322">
      <x:c r="A322" s="55"/>
      <x:c r="B322" s="55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55"/>
      <x:c r="S322" s="55" t="str">
        <x:f>IF(C322="","",IFERROR(Q322*R322/100,""))</x:f>
      </x:c>
      <x:c r="T322" s="55"/>
      <x:c r="U322" s="55"/>
      <x:c r="V322" s="55" t="str">
        <x:f>IF(U322="","",U322-TODAY())</x:f>
      </x:c>
      <x:c r="W322" s="55" t="str">
        <x:f>IF(AND(U322&lt;&gt;"",U322&lt;TODAY(),O322="Активен"),"ДА","")</x:f>
      </x:c>
      <x:c r="X322" s="55"/>
      <x:c r="Y322" s="55"/>
      <x:c r="Z322" s="55"/>
      <x:c r="AA322" s="55"/>
      <x:c r="AB322" s="55" t="str">
        <x:f>IF(C322="","", "Напиши " &amp; AA322 &amp; " за бизнес: " &amp; C322 &amp; ". Тип: " &amp; D322 &amp; ". Град: " &amp; E322 &amp; ". Проблем: " &amp; L322 &amp; ". Предложение: " &amp; M322 &amp; ". Етап: " &amp; N322 &amp; ". Бележки: " &amp; Y322)</x:f>
      </x:c>
      <x:c r="AC322" s="55"/>
    </x:row>
    <x:row r="323">
      <x:c r="A323" s="55"/>
      <x:c r="B323" s="55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55"/>
      <x:c r="S323" s="55" t="str">
        <x:f>IF(C323="","",IFERROR(Q323*R323/100,""))</x:f>
      </x:c>
      <x:c r="T323" s="55"/>
      <x:c r="U323" s="55"/>
      <x:c r="V323" s="55" t="str">
        <x:f>IF(U323="","",U323-TODAY())</x:f>
      </x:c>
      <x:c r="W323" s="55" t="str">
        <x:f>IF(AND(U323&lt;&gt;"",U323&lt;TODAY(),O323="Активен"),"ДА","")</x:f>
      </x:c>
      <x:c r="X323" s="55"/>
      <x:c r="Y323" s="55"/>
      <x:c r="Z323" s="55"/>
      <x:c r="AA323" s="55"/>
      <x:c r="AB323" s="55" t="str">
        <x:f>IF(C323="","", "Напиши " &amp; AA323 &amp; " за бизнес: " &amp; C323 &amp; ". Тип: " &amp; D323 &amp; ". Град: " &amp; E323 &amp; ". Проблем: " &amp; L323 &amp; ". Предложение: " &amp; M323 &amp; ". Етап: " &amp; N323 &amp; ". Бележки: " &amp; Y323)</x:f>
      </x:c>
      <x:c r="AC323" s="55"/>
    </x:row>
    <x:row r="324">
      <x:c r="A324" s="55"/>
      <x:c r="B324" s="55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55"/>
      <x:c r="S324" s="55" t="str">
        <x:f>IF(C324="","",IFERROR(Q324*R324/100,""))</x:f>
      </x:c>
      <x:c r="T324" s="55"/>
      <x:c r="U324" s="55"/>
      <x:c r="V324" s="55" t="str">
        <x:f>IF(U324="","",U324-TODAY())</x:f>
      </x:c>
      <x:c r="W324" s="55" t="str">
        <x:f>IF(AND(U324&lt;&gt;"",U324&lt;TODAY(),O324="Активен"),"ДА","")</x:f>
      </x:c>
      <x:c r="X324" s="55"/>
      <x:c r="Y324" s="55"/>
      <x:c r="Z324" s="55"/>
      <x:c r="AA324" s="55"/>
      <x:c r="AB324" s="55" t="str">
        <x:f>IF(C324="","", "Напиши " &amp; AA324 &amp; " за бизнес: " &amp; C324 &amp; ". Тип: " &amp; D324 &amp; ". Град: " &amp; E324 &amp; ". Проблем: " &amp; L324 &amp; ". Предложение: " &amp; M324 &amp; ". Етап: " &amp; N324 &amp; ". Бележки: " &amp; Y324)</x:f>
      </x:c>
      <x:c r="AC324" s="55"/>
    </x:row>
    <x:row r="325">
      <x:c r="A325" s="55"/>
      <x:c r="B325" s="55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55"/>
      <x:c r="S325" s="55" t="str">
        <x:f>IF(C325="","",IFERROR(Q325*R325/100,""))</x:f>
      </x:c>
      <x:c r="T325" s="55"/>
      <x:c r="U325" s="55"/>
      <x:c r="V325" s="55" t="str">
        <x:f>IF(U325="","",U325-TODAY())</x:f>
      </x:c>
      <x:c r="W325" s="55" t="str">
        <x:f>IF(AND(U325&lt;&gt;"",U325&lt;TODAY(),O325="Активен"),"ДА","")</x:f>
      </x:c>
      <x:c r="X325" s="55"/>
      <x:c r="Y325" s="55"/>
      <x:c r="Z325" s="55"/>
      <x:c r="AA325" s="55"/>
      <x:c r="AB325" s="55" t="str">
        <x:f>IF(C325="","", "Напиши " &amp; AA325 &amp; " за бизнес: " &amp; C325 &amp; ". Тип: " &amp; D325 &amp; ". Град: " &amp; E325 &amp; ". Проблем: " &amp; L325 &amp; ". Предложение: " &amp; M325 &amp; ". Етап: " &amp; N325 &amp; ". Бележки: " &amp; Y325)</x:f>
      </x:c>
      <x:c r="AC325" s="55"/>
    </x:row>
    <x:row r="326">
      <x:c r="A326" s="55"/>
      <x:c r="B326" s="55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55"/>
      <x:c r="S326" s="55" t="str">
        <x:f>IF(C326="","",IFERROR(Q326*R326/100,""))</x:f>
      </x:c>
      <x:c r="T326" s="55"/>
      <x:c r="U326" s="55"/>
      <x:c r="V326" s="55" t="str">
        <x:f>IF(U326="","",U326-TODAY())</x:f>
      </x:c>
      <x:c r="W326" s="55" t="str">
        <x:f>IF(AND(U326&lt;&gt;"",U326&lt;TODAY(),O326="Активен"),"ДА","")</x:f>
      </x:c>
      <x:c r="X326" s="55"/>
      <x:c r="Y326" s="55"/>
      <x:c r="Z326" s="55"/>
      <x:c r="AA326" s="55"/>
      <x:c r="AB326" s="55" t="str">
        <x:f>IF(C326="","", "Напиши " &amp; AA326 &amp; " за бизнес: " &amp; C326 &amp; ". Тип: " &amp; D326 &amp; ". Град: " &amp; E326 &amp; ". Проблем: " &amp; L326 &amp; ". Предложение: " &amp; M326 &amp; ". Етап: " &amp; N326 &amp; ". Бележки: " &amp; Y326)</x:f>
      </x:c>
      <x:c r="AC326" s="55"/>
    </x:row>
    <x:row r="327">
      <x:c r="A327" s="55"/>
      <x:c r="B327" s="55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55"/>
      <x:c r="S327" s="55" t="str">
        <x:f>IF(C327="","",IFERROR(Q327*R327/100,""))</x:f>
      </x:c>
      <x:c r="T327" s="55"/>
      <x:c r="U327" s="55"/>
      <x:c r="V327" s="55" t="str">
        <x:f>IF(U327="","",U327-TODAY())</x:f>
      </x:c>
      <x:c r="W327" s="55" t="str">
        <x:f>IF(AND(U327&lt;&gt;"",U327&lt;TODAY(),O327="Активен"),"ДА","")</x:f>
      </x:c>
      <x:c r="X327" s="55"/>
      <x:c r="Y327" s="55"/>
      <x:c r="Z327" s="55"/>
      <x:c r="AA327" s="55"/>
      <x:c r="AB327" s="55" t="str">
        <x:f>IF(C327="","", "Напиши " &amp; AA327 &amp; " за бизнес: " &amp; C327 &amp; ". Тип: " &amp; D327 &amp; ". Град: " &amp; E327 &amp; ". Проблем: " &amp; L327 &amp; ". Предложение: " &amp; M327 &amp; ". Етап: " &amp; N327 &amp; ". Бележки: " &amp; Y327)</x:f>
      </x:c>
      <x:c r="AC327" s="55"/>
    </x:row>
    <x:row r="328">
      <x:c r="A328" s="55"/>
      <x:c r="B328" s="55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55"/>
      <x:c r="S328" s="55" t="str">
        <x:f>IF(C328="","",IFERROR(Q328*R328/100,""))</x:f>
      </x:c>
      <x:c r="T328" s="55"/>
      <x:c r="U328" s="55"/>
      <x:c r="V328" s="55" t="str">
        <x:f>IF(U328="","",U328-TODAY())</x:f>
      </x:c>
      <x:c r="W328" s="55" t="str">
        <x:f>IF(AND(U328&lt;&gt;"",U328&lt;TODAY(),O328="Активен"),"ДА","")</x:f>
      </x:c>
      <x:c r="X328" s="55"/>
      <x:c r="Y328" s="55"/>
      <x:c r="Z328" s="55"/>
      <x:c r="AA328" s="55"/>
      <x:c r="AB328" s="55" t="str">
        <x:f>IF(C328="","", "Напиши " &amp; AA328 &amp; " за бизнес: " &amp; C328 &amp; ". Тип: " &amp; D328 &amp; ". Град: " &amp; E328 &amp; ". Проблем: " &amp; L328 &amp; ". Предложение: " &amp; M328 &amp; ". Етап: " &amp; N328 &amp; ". Бележки: " &amp; Y328)</x:f>
      </x:c>
      <x:c r="AC328" s="55"/>
    </x:row>
    <x:row r="329">
      <x:c r="A329" s="55"/>
      <x:c r="B329" s="55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55"/>
      <x:c r="S329" s="55" t="str">
        <x:f>IF(C329="","",IFERROR(Q329*R329/100,""))</x:f>
      </x:c>
      <x:c r="T329" s="55"/>
      <x:c r="U329" s="55"/>
      <x:c r="V329" s="55" t="str">
        <x:f>IF(U329="","",U329-TODAY())</x:f>
      </x:c>
      <x:c r="W329" s="55" t="str">
        <x:f>IF(AND(U329&lt;&gt;"",U329&lt;TODAY(),O329="Активен"),"ДА","")</x:f>
      </x:c>
      <x:c r="X329" s="55"/>
      <x:c r="Y329" s="55"/>
      <x:c r="Z329" s="55"/>
      <x:c r="AA329" s="55"/>
      <x:c r="AB329" s="55" t="str">
        <x:f>IF(C329="","", "Напиши " &amp; AA329 &amp; " за бизнес: " &amp; C329 &amp; ". Тип: " &amp; D329 &amp; ". Град: " &amp; E329 &amp; ". Проблем: " &amp; L329 &amp; ". Предложение: " &amp; M329 &amp; ". Етап: " &amp; N329 &amp; ". Бележки: " &amp; Y329)</x:f>
      </x:c>
      <x:c r="AC329" s="55"/>
    </x:row>
    <x:row r="330">
      <x:c r="A330" s="55"/>
      <x:c r="B330" s="55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55"/>
      <x:c r="S330" s="55" t="str">
        <x:f>IF(C330="","",IFERROR(Q330*R330/100,""))</x:f>
      </x:c>
      <x:c r="T330" s="55"/>
      <x:c r="U330" s="55"/>
      <x:c r="V330" s="55" t="str">
        <x:f>IF(U330="","",U330-TODAY())</x:f>
      </x:c>
      <x:c r="W330" s="55" t="str">
        <x:f>IF(AND(U330&lt;&gt;"",U330&lt;TODAY(),O330="Активен"),"ДА","")</x:f>
      </x:c>
      <x:c r="X330" s="55"/>
      <x:c r="Y330" s="55"/>
      <x:c r="Z330" s="55"/>
      <x:c r="AA330" s="55"/>
      <x:c r="AB330" s="55" t="str">
        <x:f>IF(C330="","", "Напиши " &amp; AA330 &amp; " за бизнес: " &amp; C330 &amp; ". Тип: " &amp; D330 &amp; ". Град: " &amp; E330 &amp; ". Проблем: " &amp; L330 &amp; ". Предложение: " &amp; M330 &amp; ". Етап: " &amp; N330 &amp; ". Бележки: " &amp; Y330)</x:f>
      </x:c>
      <x:c r="AC330" s="55"/>
    </x:row>
    <x:row r="331">
      <x:c r="A331" s="55"/>
      <x:c r="B331" s="55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55"/>
      <x:c r="S331" s="55" t="str">
        <x:f>IF(C331="","",IFERROR(Q331*R331/100,""))</x:f>
      </x:c>
      <x:c r="T331" s="55"/>
      <x:c r="U331" s="55"/>
      <x:c r="V331" s="55" t="str">
        <x:f>IF(U331="","",U331-TODAY())</x:f>
      </x:c>
      <x:c r="W331" s="55" t="str">
        <x:f>IF(AND(U331&lt;&gt;"",U331&lt;TODAY(),O331="Активен"),"ДА","")</x:f>
      </x:c>
      <x:c r="X331" s="55"/>
      <x:c r="Y331" s="55"/>
      <x:c r="Z331" s="55"/>
      <x:c r="AA331" s="55"/>
      <x:c r="AB331" s="55" t="str">
        <x:f>IF(C331="","", "Напиши " &amp; AA331 &amp; " за бизнес: " &amp; C331 &amp; ". Тип: " &amp; D331 &amp; ". Град: " &amp; E331 &amp; ". Проблем: " &amp; L331 &amp; ". Предложение: " &amp; M331 &amp; ". Етап: " &amp; N331 &amp; ". Бележки: " &amp; Y331)</x:f>
      </x:c>
      <x:c r="AC331" s="55"/>
    </x:row>
    <x:row r="332">
      <x:c r="A332" s="55"/>
      <x:c r="B332" s="55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55"/>
      <x:c r="S332" s="55" t="str">
        <x:f>IF(C332="","",IFERROR(Q332*R332/100,""))</x:f>
      </x:c>
      <x:c r="T332" s="55"/>
      <x:c r="U332" s="55"/>
      <x:c r="V332" s="55" t="str">
        <x:f>IF(U332="","",U332-TODAY())</x:f>
      </x:c>
      <x:c r="W332" s="55" t="str">
        <x:f>IF(AND(U332&lt;&gt;"",U332&lt;TODAY(),O332="Активен"),"ДА","")</x:f>
      </x:c>
      <x:c r="X332" s="55"/>
      <x:c r="Y332" s="55"/>
      <x:c r="Z332" s="55"/>
      <x:c r="AA332" s="55"/>
      <x:c r="AB332" s="55" t="str">
        <x:f>IF(C332="","", "Напиши " &amp; AA332 &amp; " за бизнес: " &amp; C332 &amp; ". Тип: " &amp; D332 &amp; ". Град: " &amp; E332 &amp; ". Проблем: " &amp; L332 &amp; ". Предложение: " &amp; M332 &amp; ". Етап: " &amp; N332 &amp; ". Бележки: " &amp; Y332)</x:f>
      </x:c>
      <x:c r="AC332" s="55"/>
    </x:row>
    <x:row r="333">
      <x:c r="A333" s="55"/>
      <x:c r="B333" s="55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55"/>
      <x:c r="S333" s="55" t="str">
        <x:f>IF(C333="","",IFERROR(Q333*R333/100,""))</x:f>
      </x:c>
      <x:c r="T333" s="55"/>
      <x:c r="U333" s="55"/>
      <x:c r="V333" s="55" t="str">
        <x:f>IF(U333="","",U333-TODAY())</x:f>
      </x:c>
      <x:c r="W333" s="55" t="str">
        <x:f>IF(AND(U333&lt;&gt;"",U333&lt;TODAY(),O333="Активен"),"ДА","")</x:f>
      </x:c>
      <x:c r="X333" s="55"/>
      <x:c r="Y333" s="55"/>
      <x:c r="Z333" s="55"/>
      <x:c r="AA333" s="55"/>
      <x:c r="AB333" s="55" t="str">
        <x:f>IF(C333="","", "Напиши " &amp; AA333 &amp; " за бизнес: " &amp; C333 &amp; ". Тип: " &amp; D333 &amp; ". Град: " &amp; E333 &amp; ". Проблем: " &amp; L333 &amp; ". Предложение: " &amp; M333 &amp; ". Етап: " &amp; N333 &amp; ". Бележки: " &amp; Y333)</x:f>
      </x:c>
      <x:c r="AC333" s="55"/>
    </x:row>
    <x:row r="334">
      <x:c r="A334" s="55"/>
      <x:c r="B334" s="55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55"/>
      <x:c r="S334" s="55" t="str">
        <x:f>IF(C334="","",IFERROR(Q334*R334/100,""))</x:f>
      </x:c>
      <x:c r="T334" s="55"/>
      <x:c r="U334" s="55"/>
      <x:c r="V334" s="55" t="str">
        <x:f>IF(U334="","",U334-TODAY())</x:f>
      </x:c>
      <x:c r="W334" s="55" t="str">
        <x:f>IF(AND(U334&lt;&gt;"",U334&lt;TODAY(),O334="Активен"),"ДА","")</x:f>
      </x:c>
      <x:c r="X334" s="55"/>
      <x:c r="Y334" s="55"/>
      <x:c r="Z334" s="55"/>
      <x:c r="AA334" s="55"/>
      <x:c r="AB334" s="55" t="str">
        <x:f>IF(C334="","", "Напиши " &amp; AA334 &amp; " за бизнес: " &amp; C334 &amp; ". Тип: " &amp; D334 &amp; ". Град: " &amp; E334 &amp; ". Проблем: " &amp; L334 &amp; ". Предложение: " &amp; M334 &amp; ". Етап: " &amp; N334 &amp; ". Бележки: " &amp; Y334)</x:f>
      </x:c>
      <x:c r="AC334" s="55"/>
    </x:row>
    <x:row r="335">
      <x:c r="A335" s="55"/>
      <x:c r="B335" s="55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55"/>
      <x:c r="S335" s="55" t="str">
        <x:f>IF(C335="","",IFERROR(Q335*R335/100,""))</x:f>
      </x:c>
      <x:c r="T335" s="55"/>
      <x:c r="U335" s="55"/>
      <x:c r="V335" s="55" t="str">
        <x:f>IF(U335="","",U335-TODAY())</x:f>
      </x:c>
      <x:c r="W335" s="55" t="str">
        <x:f>IF(AND(U335&lt;&gt;"",U335&lt;TODAY(),O335="Активен"),"ДА","")</x:f>
      </x:c>
      <x:c r="X335" s="55"/>
      <x:c r="Y335" s="55"/>
      <x:c r="Z335" s="55"/>
      <x:c r="AA335" s="55"/>
      <x:c r="AB335" s="55" t="str">
        <x:f>IF(C335="","", "Напиши " &amp; AA335 &amp; " за бизнес: " &amp; C335 &amp; ". Тип: " &amp; D335 &amp; ". Град: " &amp; E335 &amp; ". Проблем: " &amp; L335 &amp; ". Предложение: " &amp; M335 &amp; ". Етап: " &amp; N335 &amp; ". Бележки: " &amp; Y335)</x:f>
      </x:c>
      <x:c r="AC335" s="55"/>
    </x:row>
    <x:row r="336">
      <x:c r="A336" s="55"/>
      <x:c r="B336" s="55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55"/>
      <x:c r="S336" s="55" t="str">
        <x:f>IF(C336="","",IFERROR(Q336*R336/100,""))</x:f>
      </x:c>
      <x:c r="T336" s="55"/>
      <x:c r="U336" s="55"/>
      <x:c r="V336" s="55" t="str">
        <x:f>IF(U336="","",U336-TODAY())</x:f>
      </x:c>
      <x:c r="W336" s="55" t="str">
        <x:f>IF(AND(U336&lt;&gt;"",U336&lt;TODAY(),O336="Активен"),"ДА","")</x:f>
      </x:c>
      <x:c r="X336" s="55"/>
      <x:c r="Y336" s="55"/>
      <x:c r="Z336" s="55"/>
      <x:c r="AA336" s="55"/>
      <x:c r="AB336" s="55" t="str">
        <x:f>IF(C336="","", "Напиши " &amp; AA336 &amp; " за бизнес: " &amp; C336 &amp; ". Тип: " &amp; D336 &amp; ". Град: " &amp; E336 &amp; ". Проблем: " &amp; L336 &amp; ". Предложение: " &amp; M336 &amp; ". Етап: " &amp; N336 &amp; ". Бележки: " &amp; Y336)</x:f>
      </x:c>
      <x:c r="AC336" s="55"/>
    </x:row>
    <x:row r="337">
      <x:c r="A337" s="55"/>
      <x:c r="B337" s="55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55"/>
      <x:c r="S337" s="55" t="str">
        <x:f>IF(C337="","",IFERROR(Q337*R337/100,""))</x:f>
      </x:c>
      <x:c r="T337" s="55"/>
      <x:c r="U337" s="55"/>
      <x:c r="V337" s="55" t="str">
        <x:f>IF(U337="","",U337-TODAY())</x:f>
      </x:c>
      <x:c r="W337" s="55" t="str">
        <x:f>IF(AND(U337&lt;&gt;"",U337&lt;TODAY(),O337="Активен"),"ДА","")</x:f>
      </x:c>
      <x:c r="X337" s="55"/>
      <x:c r="Y337" s="55"/>
      <x:c r="Z337" s="55"/>
      <x:c r="AA337" s="55"/>
      <x:c r="AB337" s="55" t="str">
        <x:f>IF(C337="","", "Напиши " &amp; AA337 &amp; " за бизнес: " &amp; C337 &amp; ". Тип: " &amp; D337 &amp; ". Град: " &amp; E337 &amp; ". Проблем: " &amp; L337 &amp; ". Предложение: " &amp; M337 &amp; ". Етап: " &amp; N337 &amp; ". Бележки: " &amp; Y337)</x:f>
      </x:c>
      <x:c r="AC337" s="55"/>
    </x:row>
    <x:row r="338">
      <x:c r="A338" s="55"/>
      <x:c r="B338" s="55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55"/>
      <x:c r="S338" s="55" t="str">
        <x:f>IF(C338="","",IFERROR(Q338*R338/100,""))</x:f>
      </x:c>
      <x:c r="T338" s="55"/>
      <x:c r="U338" s="55"/>
      <x:c r="V338" s="55" t="str">
        <x:f>IF(U338="","",U338-TODAY())</x:f>
      </x:c>
      <x:c r="W338" s="55" t="str">
        <x:f>IF(AND(U338&lt;&gt;"",U338&lt;TODAY(),O338="Активен"),"ДА","")</x:f>
      </x:c>
      <x:c r="X338" s="55"/>
      <x:c r="Y338" s="55"/>
      <x:c r="Z338" s="55"/>
      <x:c r="AA338" s="55"/>
      <x:c r="AB338" s="55" t="str">
        <x:f>IF(C338="","", "Напиши " &amp; AA338 &amp; " за бизнес: " &amp; C338 &amp; ". Тип: " &amp; D338 &amp; ". Град: " &amp; E338 &amp; ". Проблем: " &amp; L338 &amp; ". Предложение: " &amp; M338 &amp; ". Етап: " &amp; N338 &amp; ". Бележки: " &amp; Y338)</x:f>
      </x:c>
      <x:c r="AC338" s="55"/>
    </x:row>
    <x:row r="339">
      <x:c r="A339" s="55"/>
      <x:c r="B339" s="55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55"/>
      <x:c r="S339" s="55" t="str">
        <x:f>IF(C339="","",IFERROR(Q339*R339/100,""))</x:f>
      </x:c>
      <x:c r="T339" s="55"/>
      <x:c r="U339" s="55"/>
      <x:c r="V339" s="55" t="str">
        <x:f>IF(U339="","",U339-TODAY())</x:f>
      </x:c>
      <x:c r="W339" s="55" t="str">
        <x:f>IF(AND(U339&lt;&gt;"",U339&lt;TODAY(),O339="Активен"),"ДА","")</x:f>
      </x:c>
      <x:c r="X339" s="55"/>
      <x:c r="Y339" s="55"/>
      <x:c r="Z339" s="55"/>
      <x:c r="AA339" s="55"/>
      <x:c r="AB339" s="55" t="str">
        <x:f>IF(C339="","", "Напиши " &amp; AA339 &amp; " за бизнес: " &amp; C339 &amp; ". Тип: " &amp; D339 &amp; ". Град: " &amp; E339 &amp; ". Проблем: " &amp; L339 &amp; ". Предложение: " &amp; M339 &amp; ". Етап: " &amp; N339 &amp; ". Бележки: " &amp; Y339)</x:f>
      </x:c>
      <x:c r="AC339" s="55"/>
    </x:row>
    <x:row r="340">
      <x:c r="A340" s="55"/>
      <x:c r="B340" s="55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55"/>
      <x:c r="S340" s="55" t="str">
        <x:f>IF(C340="","",IFERROR(Q340*R340/100,""))</x:f>
      </x:c>
      <x:c r="T340" s="55"/>
      <x:c r="U340" s="55"/>
      <x:c r="V340" s="55" t="str">
        <x:f>IF(U340="","",U340-TODAY())</x:f>
      </x:c>
      <x:c r="W340" s="55" t="str">
        <x:f>IF(AND(U340&lt;&gt;"",U340&lt;TODAY(),O340="Активен"),"ДА","")</x:f>
      </x:c>
      <x:c r="X340" s="55"/>
      <x:c r="Y340" s="55"/>
      <x:c r="Z340" s="55"/>
      <x:c r="AA340" s="55"/>
      <x:c r="AB340" s="55" t="str">
        <x:f>IF(C340="","", "Напиши " &amp; AA340 &amp; " за бизнес: " &amp; C340 &amp; ". Тип: " &amp; D340 &amp; ". Град: " &amp; E340 &amp; ". Проблем: " &amp; L340 &amp; ". Предложение: " &amp; M340 &amp; ". Етап: " &amp; N340 &amp; ". Бележки: " &amp; Y340)</x:f>
      </x:c>
      <x:c r="AC340" s="55"/>
    </x:row>
    <x:row r="341">
      <x:c r="A341" s="55"/>
      <x:c r="B341" s="55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55"/>
      <x:c r="S341" s="55" t="str">
        <x:f>IF(C341="","",IFERROR(Q341*R341/100,""))</x:f>
      </x:c>
      <x:c r="T341" s="55"/>
      <x:c r="U341" s="55"/>
      <x:c r="V341" s="55" t="str">
        <x:f>IF(U341="","",U341-TODAY())</x:f>
      </x:c>
      <x:c r="W341" s="55" t="str">
        <x:f>IF(AND(U341&lt;&gt;"",U341&lt;TODAY(),O341="Активен"),"ДА","")</x:f>
      </x:c>
      <x:c r="X341" s="55"/>
      <x:c r="Y341" s="55"/>
      <x:c r="Z341" s="55"/>
      <x:c r="AA341" s="55"/>
      <x:c r="AB341" s="55" t="str">
        <x:f>IF(C341="","", "Напиши " &amp; AA341 &amp; " за бизнес: " &amp; C341 &amp; ". Тип: " &amp; D341 &amp; ". Град: " &amp; E341 &amp; ". Проблем: " &amp; L341 &amp; ". Предложение: " &amp; M341 &amp; ". Етап: " &amp; N341 &amp; ". Бележки: " &amp; Y341)</x:f>
      </x:c>
      <x:c r="AC341" s="55"/>
    </x:row>
    <x:row r="342">
      <x:c r="A342" s="55"/>
      <x:c r="B342" s="55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55"/>
      <x:c r="S342" s="55" t="str">
        <x:f>IF(C342="","",IFERROR(Q342*R342/100,""))</x:f>
      </x:c>
      <x:c r="T342" s="55"/>
      <x:c r="U342" s="55"/>
      <x:c r="V342" s="55" t="str">
        <x:f>IF(U342="","",U342-TODAY())</x:f>
      </x:c>
      <x:c r="W342" s="55" t="str">
        <x:f>IF(AND(U342&lt;&gt;"",U342&lt;TODAY(),O342="Активен"),"ДА","")</x:f>
      </x:c>
      <x:c r="X342" s="55"/>
      <x:c r="Y342" s="55"/>
      <x:c r="Z342" s="55"/>
      <x:c r="AA342" s="55"/>
      <x:c r="AB342" s="55" t="str">
        <x:f>IF(C342="","", "Напиши " &amp; AA342 &amp; " за бизнес: " &amp; C342 &amp; ". Тип: " &amp; D342 &amp; ". Град: " &amp; E342 &amp; ". Проблем: " &amp; L342 &amp; ". Предложение: " &amp; M342 &amp; ". Етап: " &amp; N342 &amp; ". Бележки: " &amp; Y342)</x:f>
      </x:c>
      <x:c r="AC342" s="55"/>
    </x:row>
    <x:row r="343">
      <x:c r="A343" s="55"/>
      <x:c r="B343" s="55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55"/>
      <x:c r="S343" s="55" t="str">
        <x:f>IF(C343="","",IFERROR(Q343*R343/100,""))</x:f>
      </x:c>
      <x:c r="T343" s="55"/>
      <x:c r="U343" s="55"/>
      <x:c r="V343" s="55" t="str">
        <x:f>IF(U343="","",U343-TODAY())</x:f>
      </x:c>
      <x:c r="W343" s="55" t="str">
        <x:f>IF(AND(U343&lt;&gt;"",U343&lt;TODAY(),O343="Активен"),"ДА","")</x:f>
      </x:c>
      <x:c r="X343" s="55"/>
      <x:c r="Y343" s="55"/>
      <x:c r="Z343" s="55"/>
      <x:c r="AA343" s="55"/>
      <x:c r="AB343" s="55" t="str">
        <x:f>IF(C343="","", "Напиши " &amp; AA343 &amp; " за бизнес: " &amp; C343 &amp; ". Тип: " &amp; D343 &amp; ". Град: " &amp; E343 &amp; ". Проблем: " &amp; L343 &amp; ". Предложение: " &amp; M343 &amp; ". Етап: " &amp; N343 &amp; ". Бележки: " &amp; Y343)</x:f>
      </x:c>
      <x:c r="AC343" s="55"/>
    </x:row>
    <x:row r="344">
      <x:c r="A344" s="55"/>
      <x:c r="B344" s="55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55"/>
      <x:c r="S344" s="55" t="str">
        <x:f>IF(C344="","",IFERROR(Q344*R344/100,""))</x:f>
      </x:c>
      <x:c r="T344" s="55"/>
      <x:c r="U344" s="55"/>
      <x:c r="V344" s="55" t="str">
        <x:f>IF(U344="","",U344-TODAY())</x:f>
      </x:c>
      <x:c r="W344" s="55" t="str">
        <x:f>IF(AND(U344&lt;&gt;"",U344&lt;TODAY(),O344="Активен"),"ДА","")</x:f>
      </x:c>
      <x:c r="X344" s="55"/>
      <x:c r="Y344" s="55"/>
      <x:c r="Z344" s="55"/>
      <x:c r="AA344" s="55"/>
      <x:c r="AB344" s="55" t="str">
        <x:f>IF(C344="","", "Напиши " &amp; AA344 &amp; " за бизнес: " &amp; C344 &amp; ". Тип: " &amp; D344 &amp; ". Град: " &amp; E344 &amp; ". Проблем: " &amp; L344 &amp; ". Предложение: " &amp; M344 &amp; ". Етап: " &amp; N344 &amp; ". Бележки: " &amp; Y344)</x:f>
      </x:c>
      <x:c r="AC344" s="55"/>
    </x:row>
    <x:row r="345">
      <x:c r="A345" s="55"/>
      <x:c r="B345" s="55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55"/>
      <x:c r="S345" s="55" t="str">
        <x:f>IF(C345="","",IFERROR(Q345*R345/100,""))</x:f>
      </x:c>
      <x:c r="T345" s="55"/>
      <x:c r="U345" s="55"/>
      <x:c r="V345" s="55" t="str">
        <x:f>IF(U345="","",U345-TODAY())</x:f>
      </x:c>
      <x:c r="W345" s="55" t="str">
        <x:f>IF(AND(U345&lt;&gt;"",U345&lt;TODAY(),O345="Активен"),"ДА","")</x:f>
      </x:c>
      <x:c r="X345" s="55"/>
      <x:c r="Y345" s="55"/>
      <x:c r="Z345" s="55"/>
      <x:c r="AA345" s="55"/>
      <x:c r="AB345" s="55" t="str">
        <x:f>IF(C345="","", "Напиши " &amp; AA345 &amp; " за бизнес: " &amp; C345 &amp; ". Тип: " &amp; D345 &amp; ". Град: " &amp; E345 &amp; ". Проблем: " &amp; L345 &amp; ". Предложение: " &amp; M345 &amp; ". Етап: " &amp; N345 &amp; ". Бележки: " &amp; Y345)</x:f>
      </x:c>
      <x:c r="AC345" s="55"/>
    </x:row>
    <x:row r="346">
      <x:c r="A346" s="55"/>
      <x:c r="B346" s="55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55"/>
      <x:c r="S346" s="55" t="str">
        <x:f>IF(C346="","",IFERROR(Q346*R346/100,""))</x:f>
      </x:c>
      <x:c r="T346" s="55"/>
      <x:c r="U346" s="55"/>
      <x:c r="V346" s="55" t="str">
        <x:f>IF(U346="","",U346-TODAY())</x:f>
      </x:c>
      <x:c r="W346" s="55" t="str">
        <x:f>IF(AND(U346&lt;&gt;"",U346&lt;TODAY(),O346="Активен"),"ДА","")</x:f>
      </x:c>
      <x:c r="X346" s="55"/>
      <x:c r="Y346" s="55"/>
      <x:c r="Z346" s="55"/>
      <x:c r="AA346" s="55"/>
      <x:c r="AB346" s="55" t="str">
        <x:f>IF(C346="","", "Напиши " &amp; AA346 &amp; " за бизнес: " &amp; C346 &amp; ". Тип: " &amp; D346 &amp; ". Град: " &amp; E346 &amp; ". Проблем: " &amp; L346 &amp; ". Предложение: " &amp; M346 &amp; ". Етап: " &amp; N346 &amp; ". Бележки: " &amp; Y346)</x:f>
      </x:c>
      <x:c r="AC346" s="55"/>
    </x:row>
    <x:row r="347">
      <x:c r="A347" s="55"/>
      <x:c r="B347" s="55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55"/>
      <x:c r="S347" s="55" t="str">
        <x:f>IF(C347="","",IFERROR(Q347*R347/100,""))</x:f>
      </x:c>
      <x:c r="T347" s="55"/>
      <x:c r="U347" s="55"/>
      <x:c r="V347" s="55" t="str">
        <x:f>IF(U347="","",U347-TODAY())</x:f>
      </x:c>
      <x:c r="W347" s="55" t="str">
        <x:f>IF(AND(U347&lt;&gt;"",U347&lt;TODAY(),O347="Активен"),"ДА","")</x:f>
      </x:c>
      <x:c r="X347" s="55"/>
      <x:c r="Y347" s="55"/>
      <x:c r="Z347" s="55"/>
      <x:c r="AA347" s="55"/>
      <x:c r="AB347" s="55" t="str">
        <x:f>IF(C347="","", "Напиши " &amp; AA347 &amp; " за бизнес: " &amp; C347 &amp; ". Тип: " &amp; D347 &amp; ". Град: " &amp; E347 &amp; ". Проблем: " &amp; L347 &amp; ". Предложение: " &amp; M347 &amp; ". Етап: " &amp; N347 &amp; ". Бележки: " &amp; Y347)</x:f>
      </x:c>
      <x:c r="AC347" s="55"/>
    </x:row>
    <x:row r="348">
      <x:c r="A348" s="55"/>
      <x:c r="B348" s="55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55"/>
      <x:c r="S348" s="55" t="str">
        <x:f>IF(C348="","",IFERROR(Q348*R348/100,""))</x:f>
      </x:c>
      <x:c r="T348" s="55"/>
      <x:c r="U348" s="55"/>
      <x:c r="V348" s="55" t="str">
        <x:f>IF(U348="","",U348-TODAY())</x:f>
      </x:c>
      <x:c r="W348" s="55" t="str">
        <x:f>IF(AND(U348&lt;&gt;"",U348&lt;TODAY(),O348="Активен"),"ДА","")</x:f>
      </x:c>
      <x:c r="X348" s="55"/>
      <x:c r="Y348" s="55"/>
      <x:c r="Z348" s="55"/>
      <x:c r="AA348" s="55"/>
      <x:c r="AB348" s="55" t="str">
        <x:f>IF(C348="","", "Напиши " &amp; AA348 &amp; " за бизнес: " &amp; C348 &amp; ". Тип: " &amp; D348 &amp; ". Град: " &amp; E348 &amp; ". Проблем: " &amp; L348 &amp; ". Предложение: " &amp; M348 &amp; ". Етап: " &amp; N348 &amp; ". Бележки: " &amp; Y348)</x:f>
      </x:c>
      <x:c r="AC348" s="55"/>
    </x:row>
    <x:row r="349">
      <x:c r="A349" s="55"/>
      <x:c r="B349" s="55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55"/>
      <x:c r="S349" s="55" t="str">
        <x:f>IF(C349="","",IFERROR(Q349*R349/100,""))</x:f>
      </x:c>
      <x:c r="T349" s="55"/>
      <x:c r="U349" s="55"/>
      <x:c r="V349" s="55" t="str">
        <x:f>IF(U349="","",U349-TODAY())</x:f>
      </x:c>
      <x:c r="W349" s="55" t="str">
        <x:f>IF(AND(U349&lt;&gt;"",U349&lt;TODAY(),O349="Активен"),"ДА","")</x:f>
      </x:c>
      <x:c r="X349" s="55"/>
      <x:c r="Y349" s="55"/>
      <x:c r="Z349" s="55"/>
      <x:c r="AA349" s="55"/>
      <x:c r="AB349" s="55" t="str">
        <x:f>IF(C349="","", "Напиши " &amp; AA349 &amp; " за бизнес: " &amp; C349 &amp; ". Тип: " &amp; D349 &amp; ". Град: " &amp; E349 &amp; ". Проблем: " &amp; L349 &amp; ". Предложение: " &amp; M349 &amp; ". Етап: " &amp; N349 &amp; ". Бележки: " &amp; Y349)</x:f>
      </x:c>
      <x:c r="AC349" s="55"/>
    </x:row>
    <x:row r="350">
      <x:c r="A350" s="55"/>
      <x:c r="B350" s="55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55"/>
      <x:c r="S350" s="55" t="str">
        <x:f>IF(C350="","",IFERROR(Q350*R350/100,""))</x:f>
      </x:c>
      <x:c r="T350" s="55"/>
      <x:c r="U350" s="55"/>
      <x:c r="V350" s="55" t="str">
        <x:f>IF(U350="","",U350-TODAY())</x:f>
      </x:c>
      <x:c r="W350" s="55" t="str">
        <x:f>IF(AND(U350&lt;&gt;"",U350&lt;TODAY(),O350="Активен"),"ДА","")</x:f>
      </x:c>
      <x:c r="X350" s="55"/>
      <x:c r="Y350" s="55"/>
      <x:c r="Z350" s="55"/>
      <x:c r="AA350" s="55"/>
      <x:c r="AB350" s="55" t="str">
        <x:f>IF(C350="","", "Напиши " &amp; AA350 &amp; " за бизнес: " &amp; C350 &amp; ". Тип: " &amp; D350 &amp; ". Град: " &amp; E350 &amp; ". Проблем: " &amp; L350 &amp; ". Предложение: " &amp; M350 &amp; ". Етап: " &amp; N350 &amp; ". Бележки: " &amp; Y350)</x:f>
      </x:c>
      <x:c r="AC350" s="55"/>
    </x:row>
    <x:row r="351">
      <x:c r="A351" s="55"/>
      <x:c r="B351" s="55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55"/>
      <x:c r="S351" s="55" t="str">
        <x:f>IF(C351="","",IFERROR(Q351*R351/100,""))</x:f>
      </x:c>
      <x:c r="T351" s="55"/>
      <x:c r="U351" s="55"/>
      <x:c r="V351" s="55" t="str">
        <x:f>IF(U351="","",U351-TODAY())</x:f>
      </x:c>
      <x:c r="W351" s="55" t="str">
        <x:f>IF(AND(U351&lt;&gt;"",U351&lt;TODAY(),O351="Активен"),"ДА","")</x:f>
      </x:c>
      <x:c r="X351" s="55"/>
      <x:c r="Y351" s="55"/>
      <x:c r="Z351" s="55"/>
      <x:c r="AA351" s="55"/>
      <x:c r="AB351" s="55" t="str">
        <x:f>IF(C351="","", "Напиши " &amp; AA351 &amp; " за бизнес: " &amp; C351 &amp; ". Тип: " &amp; D351 &amp; ". Град: " &amp; E351 &amp; ". Проблем: " &amp; L351 &amp; ". Предложение: " &amp; M351 &amp; ". Етап: " &amp; N351 &amp; ". Бележки: " &amp; Y351)</x:f>
      </x:c>
      <x:c r="AC351" s="55"/>
    </x:row>
    <x:row r="352">
      <x:c r="A352" s="55"/>
      <x:c r="B352" s="55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55"/>
      <x:c r="S352" s="55" t="str">
        <x:f>IF(C352="","",IFERROR(Q352*R352/100,""))</x:f>
      </x:c>
      <x:c r="T352" s="55"/>
      <x:c r="U352" s="55"/>
      <x:c r="V352" s="55" t="str">
        <x:f>IF(U352="","",U352-TODAY())</x:f>
      </x:c>
      <x:c r="W352" s="55" t="str">
        <x:f>IF(AND(U352&lt;&gt;"",U352&lt;TODAY(),O352="Активен"),"ДА","")</x:f>
      </x:c>
      <x:c r="X352" s="55"/>
      <x:c r="Y352" s="55"/>
      <x:c r="Z352" s="55"/>
      <x:c r="AA352" s="55"/>
      <x:c r="AB352" s="55" t="str">
        <x:f>IF(C352="","", "Напиши " &amp; AA352 &amp; " за бизнес: " &amp; C352 &amp; ". Тип: " &amp; D352 &amp; ". Град: " &amp; E352 &amp; ". Проблем: " &amp; L352 &amp; ". Предложение: " &amp; M352 &amp; ". Етап: " &amp; N352 &amp; ". Бележки: " &amp; Y352)</x:f>
      </x:c>
      <x:c r="AC352" s="55"/>
    </x:row>
    <x:row r="353">
      <x:c r="A353" s="55"/>
      <x:c r="B353" s="55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55"/>
      <x:c r="S353" s="55" t="str">
        <x:f>IF(C353="","",IFERROR(Q353*R353/100,""))</x:f>
      </x:c>
      <x:c r="T353" s="55"/>
      <x:c r="U353" s="55"/>
      <x:c r="V353" s="55" t="str">
        <x:f>IF(U353="","",U353-TODAY())</x:f>
      </x:c>
      <x:c r="W353" s="55" t="str">
        <x:f>IF(AND(U353&lt;&gt;"",U353&lt;TODAY(),O353="Активен"),"ДА","")</x:f>
      </x:c>
      <x:c r="X353" s="55"/>
      <x:c r="Y353" s="55"/>
      <x:c r="Z353" s="55"/>
      <x:c r="AA353" s="55"/>
      <x:c r="AB353" s="55" t="str">
        <x:f>IF(C353="","", "Напиши " &amp; AA353 &amp; " за бизнес: " &amp; C353 &amp; ". Тип: " &amp; D353 &amp; ". Град: " &amp; E353 &amp; ". Проблем: " &amp; L353 &amp; ". Предложение: " &amp; M353 &amp; ". Етап: " &amp; N353 &amp; ". Бележки: " &amp; Y353)</x:f>
      </x:c>
      <x:c r="AC353" s="55"/>
    </x:row>
    <x:row r="354">
      <x:c r="A354" s="55"/>
      <x:c r="B354" s="55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55"/>
      <x:c r="S354" s="55" t="str">
        <x:f>IF(C354="","",IFERROR(Q354*R354/100,""))</x:f>
      </x:c>
      <x:c r="T354" s="55"/>
      <x:c r="U354" s="55"/>
      <x:c r="V354" s="55" t="str">
        <x:f>IF(U354="","",U354-TODAY())</x:f>
      </x:c>
      <x:c r="W354" s="55" t="str">
        <x:f>IF(AND(U354&lt;&gt;"",U354&lt;TODAY(),O354="Активен"),"ДА","")</x:f>
      </x:c>
      <x:c r="X354" s="55"/>
      <x:c r="Y354" s="55"/>
      <x:c r="Z354" s="55"/>
      <x:c r="AA354" s="55"/>
      <x:c r="AB354" s="55" t="str">
        <x:f>IF(C354="","", "Напиши " &amp; AA354 &amp; " за бизнес: " &amp; C354 &amp; ". Тип: " &amp; D354 &amp; ". Град: " &amp; E354 &amp; ". Проблем: " &amp; L354 &amp; ". Предложение: " &amp; M354 &amp; ". Етап: " &amp; N354 &amp; ". Бележки: " &amp; Y354)</x:f>
      </x:c>
      <x:c r="AC354" s="55"/>
    </x:row>
    <x:row r="355">
      <x:c r="A355" s="55"/>
      <x:c r="B355" s="55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55"/>
      <x:c r="S355" s="55" t="str">
        <x:f>IF(C355="","",IFERROR(Q355*R355/100,""))</x:f>
      </x:c>
      <x:c r="T355" s="55"/>
      <x:c r="U355" s="55"/>
      <x:c r="V355" s="55" t="str">
        <x:f>IF(U355="","",U355-TODAY())</x:f>
      </x:c>
      <x:c r="W355" s="55" t="str">
        <x:f>IF(AND(U355&lt;&gt;"",U355&lt;TODAY(),O355="Активен"),"ДА","")</x:f>
      </x:c>
      <x:c r="X355" s="55"/>
      <x:c r="Y355" s="55"/>
      <x:c r="Z355" s="55"/>
      <x:c r="AA355" s="55"/>
      <x:c r="AB355" s="55" t="str">
        <x:f>IF(C355="","", "Напиши " &amp; AA355 &amp; " за бизнес: " &amp; C355 &amp; ". Тип: " &amp; D355 &amp; ". Град: " &amp; E355 &amp; ". Проблем: " &amp; L355 &amp; ". Предложение: " &amp; M355 &amp; ". Етап: " &amp; N355 &amp; ". Бележки: " &amp; Y355)</x:f>
      </x:c>
      <x:c r="AC355" s="55"/>
    </x:row>
    <x:row r="356">
      <x:c r="A356" s="55"/>
      <x:c r="B356" s="55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55"/>
      <x:c r="S356" s="55" t="str">
        <x:f>IF(C356="","",IFERROR(Q356*R356/100,""))</x:f>
      </x:c>
      <x:c r="T356" s="55"/>
      <x:c r="U356" s="55"/>
      <x:c r="V356" s="55" t="str">
        <x:f>IF(U356="","",U356-TODAY())</x:f>
      </x:c>
      <x:c r="W356" s="55" t="str">
        <x:f>IF(AND(U356&lt;&gt;"",U356&lt;TODAY(),O356="Активен"),"ДА","")</x:f>
      </x:c>
      <x:c r="X356" s="55"/>
      <x:c r="Y356" s="55"/>
      <x:c r="Z356" s="55"/>
      <x:c r="AA356" s="55"/>
      <x:c r="AB356" s="55" t="str">
        <x:f>IF(C356="","", "Напиши " &amp; AA356 &amp; " за бизнес: " &amp; C356 &amp; ". Тип: " &amp; D356 &amp; ". Град: " &amp; E356 &amp; ". Проблем: " &amp; L356 &amp; ". Предложение: " &amp; M356 &amp; ". Етап: " &amp; N356 &amp; ". Бележки: " &amp; Y356)</x:f>
      </x:c>
      <x:c r="AC356" s="55"/>
    </x:row>
    <x:row r="357">
      <x:c r="A357" s="55"/>
      <x:c r="B357" s="55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55"/>
      <x:c r="S357" s="55" t="str">
        <x:f>IF(C357="","",IFERROR(Q357*R357/100,""))</x:f>
      </x:c>
      <x:c r="T357" s="55"/>
      <x:c r="U357" s="55"/>
      <x:c r="V357" s="55" t="str">
        <x:f>IF(U357="","",U357-TODAY())</x:f>
      </x:c>
      <x:c r="W357" s="55" t="str">
        <x:f>IF(AND(U357&lt;&gt;"",U357&lt;TODAY(),O357="Активен"),"ДА","")</x:f>
      </x:c>
      <x:c r="X357" s="55"/>
      <x:c r="Y357" s="55"/>
      <x:c r="Z357" s="55"/>
      <x:c r="AA357" s="55"/>
      <x:c r="AB357" s="55" t="str">
        <x:f>IF(C357="","", "Напиши " &amp; AA357 &amp; " за бизнес: " &amp; C357 &amp; ". Тип: " &amp; D357 &amp; ". Град: " &amp; E357 &amp; ". Проблем: " &amp; L357 &amp; ". Предложение: " &amp; M357 &amp; ". Етап: " &amp; N357 &amp; ". Бележки: " &amp; Y357)</x:f>
      </x:c>
      <x:c r="AC357" s="55"/>
    </x:row>
    <x:row r="358">
      <x:c r="A358" s="55"/>
      <x:c r="B358" s="55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55"/>
      <x:c r="S358" s="55" t="str">
        <x:f>IF(C358="","",IFERROR(Q358*R358/100,""))</x:f>
      </x:c>
      <x:c r="T358" s="55"/>
      <x:c r="U358" s="55"/>
      <x:c r="V358" s="55" t="str">
        <x:f>IF(U358="","",U358-TODAY())</x:f>
      </x:c>
      <x:c r="W358" s="55" t="str">
        <x:f>IF(AND(U358&lt;&gt;"",U358&lt;TODAY(),O358="Активен"),"ДА","")</x:f>
      </x:c>
      <x:c r="X358" s="55"/>
      <x:c r="Y358" s="55"/>
      <x:c r="Z358" s="55"/>
      <x:c r="AA358" s="55"/>
      <x:c r="AB358" s="55" t="str">
        <x:f>IF(C358="","", "Напиши " &amp; AA358 &amp; " за бизнес: " &amp; C358 &amp; ". Тип: " &amp; D358 &amp; ". Град: " &amp; E358 &amp; ". Проблем: " &amp; L358 &amp; ". Предложение: " &amp; M358 &amp; ". Етап: " &amp; N358 &amp; ". Бележки: " &amp; Y358)</x:f>
      </x:c>
      <x:c r="AC358" s="55"/>
    </x:row>
    <x:row r="359">
      <x:c r="A359" s="55"/>
      <x:c r="B359" s="55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55"/>
      <x:c r="S359" s="55" t="str">
        <x:f>IF(C359="","",IFERROR(Q359*R359/100,""))</x:f>
      </x:c>
      <x:c r="T359" s="55"/>
      <x:c r="U359" s="55"/>
      <x:c r="V359" s="55" t="str">
        <x:f>IF(U359="","",U359-TODAY())</x:f>
      </x:c>
      <x:c r="W359" s="55" t="str">
        <x:f>IF(AND(U359&lt;&gt;"",U359&lt;TODAY(),O359="Активен"),"ДА","")</x:f>
      </x:c>
      <x:c r="X359" s="55"/>
      <x:c r="Y359" s="55"/>
      <x:c r="Z359" s="55"/>
      <x:c r="AA359" s="55"/>
      <x:c r="AB359" s="55" t="str">
        <x:f>IF(C359="","", "Напиши " &amp; AA359 &amp; " за бизнес: " &amp; C359 &amp; ". Тип: " &amp; D359 &amp; ". Град: " &amp; E359 &amp; ". Проблем: " &amp; L359 &amp; ". Предложение: " &amp; M359 &amp; ". Етап: " &amp; N359 &amp; ". Бележки: " &amp; Y359)</x:f>
      </x:c>
      <x:c r="AC359" s="55"/>
    </x:row>
    <x:row r="360">
      <x:c r="A360" s="55"/>
      <x:c r="B360" s="55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55"/>
      <x:c r="S360" s="55" t="str">
        <x:f>IF(C360="","",IFERROR(Q360*R360/100,""))</x:f>
      </x:c>
      <x:c r="T360" s="55"/>
      <x:c r="U360" s="55"/>
      <x:c r="V360" s="55" t="str">
        <x:f>IF(U360="","",U360-TODAY())</x:f>
      </x:c>
      <x:c r="W360" s="55" t="str">
        <x:f>IF(AND(U360&lt;&gt;"",U360&lt;TODAY(),O360="Активен"),"ДА","")</x:f>
      </x:c>
      <x:c r="X360" s="55"/>
      <x:c r="Y360" s="55"/>
      <x:c r="Z360" s="55"/>
      <x:c r="AA360" s="55"/>
      <x:c r="AB360" s="55" t="str">
        <x:f>IF(C360="","", "Напиши " &amp; AA360 &amp; " за бизнес: " &amp; C360 &amp; ". Тип: " &amp; D360 &amp; ". Град: " &amp; E360 &amp; ". Проблем: " &amp; L360 &amp; ". Предложение: " &amp; M360 &amp; ". Етап: " &amp; N360 &amp; ". Бележки: " &amp; Y360)</x:f>
      </x:c>
      <x:c r="AC360" s="55"/>
    </x:row>
    <x:row r="361">
      <x:c r="A361" s="55"/>
      <x:c r="B361" s="55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55"/>
      <x:c r="S361" s="55" t="str">
        <x:f>IF(C361="","",IFERROR(Q361*R361/100,""))</x:f>
      </x:c>
      <x:c r="T361" s="55"/>
      <x:c r="U361" s="55"/>
      <x:c r="V361" s="55" t="str">
        <x:f>IF(U361="","",U361-TODAY())</x:f>
      </x:c>
      <x:c r="W361" s="55" t="str">
        <x:f>IF(AND(U361&lt;&gt;"",U361&lt;TODAY(),O361="Активен"),"ДА","")</x:f>
      </x:c>
      <x:c r="X361" s="55"/>
      <x:c r="Y361" s="55"/>
      <x:c r="Z361" s="55"/>
      <x:c r="AA361" s="55"/>
      <x:c r="AB361" s="55" t="str">
        <x:f>IF(C361="","", "Напиши " &amp; AA361 &amp; " за бизнес: " &amp; C361 &amp; ". Тип: " &amp; D361 &amp; ". Град: " &amp; E361 &amp; ". Проблем: " &amp; L361 &amp; ". Предложение: " &amp; M361 &amp; ". Етап: " &amp; N361 &amp; ". Бележки: " &amp; Y361)</x:f>
      </x:c>
      <x:c r="AC361" s="55"/>
    </x:row>
    <x:row r="362">
      <x:c r="A362" s="55"/>
      <x:c r="B362" s="55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55"/>
      <x:c r="S362" s="55" t="str">
        <x:f>IF(C362="","",IFERROR(Q362*R362/100,""))</x:f>
      </x:c>
      <x:c r="T362" s="55"/>
      <x:c r="U362" s="55"/>
      <x:c r="V362" s="55" t="str">
        <x:f>IF(U362="","",U362-TODAY())</x:f>
      </x:c>
      <x:c r="W362" s="55" t="str">
        <x:f>IF(AND(U362&lt;&gt;"",U362&lt;TODAY(),O362="Активен"),"ДА","")</x:f>
      </x:c>
      <x:c r="X362" s="55"/>
      <x:c r="Y362" s="55"/>
      <x:c r="Z362" s="55"/>
      <x:c r="AA362" s="55"/>
      <x:c r="AB362" s="55" t="str">
        <x:f>IF(C362="","", "Напиши " &amp; AA362 &amp; " за бизнес: " &amp; C362 &amp; ". Тип: " &amp; D362 &amp; ". Град: " &amp; E362 &amp; ". Проблем: " &amp; L362 &amp; ". Предложение: " &amp; M362 &amp; ". Етап: " &amp; N362 &amp; ". Бележки: " &amp; Y362)</x:f>
      </x:c>
      <x:c r="AC362" s="55"/>
    </x:row>
    <x:row r="363">
      <x:c r="A363" s="55"/>
      <x:c r="B363" s="55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55"/>
      <x:c r="S363" s="55" t="str">
        <x:f>IF(C363="","",IFERROR(Q363*R363/100,""))</x:f>
      </x:c>
      <x:c r="T363" s="55"/>
      <x:c r="U363" s="55"/>
      <x:c r="V363" s="55" t="str">
        <x:f>IF(U363="","",U363-TODAY())</x:f>
      </x:c>
      <x:c r="W363" s="55" t="str">
        <x:f>IF(AND(U363&lt;&gt;"",U363&lt;TODAY(),O363="Активен"),"ДА","")</x:f>
      </x:c>
      <x:c r="X363" s="55"/>
      <x:c r="Y363" s="55"/>
      <x:c r="Z363" s="55"/>
      <x:c r="AA363" s="55"/>
      <x:c r="AB363" s="55" t="str">
        <x:f>IF(C363="","", "Напиши " &amp; AA363 &amp; " за бизнес: " &amp; C363 &amp; ". Тип: " &amp; D363 &amp; ". Град: " &amp; E363 &amp; ". Проблем: " &amp; L363 &amp; ". Предложение: " &amp; M363 &amp; ". Етап: " &amp; N363 &amp; ". Бележки: " &amp; Y363)</x:f>
      </x:c>
      <x:c r="AC363" s="55"/>
    </x:row>
    <x:row r="364">
      <x:c r="A364" s="55"/>
      <x:c r="B364" s="55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55"/>
      <x:c r="S364" s="55" t="str">
        <x:f>IF(C364="","",IFERROR(Q364*R364/100,""))</x:f>
      </x:c>
      <x:c r="T364" s="55"/>
      <x:c r="U364" s="55"/>
      <x:c r="V364" s="55" t="str">
        <x:f>IF(U364="","",U364-TODAY())</x:f>
      </x:c>
      <x:c r="W364" s="55" t="str">
        <x:f>IF(AND(U364&lt;&gt;"",U364&lt;TODAY(),O364="Активен"),"ДА","")</x:f>
      </x:c>
      <x:c r="X364" s="55"/>
      <x:c r="Y364" s="55"/>
      <x:c r="Z364" s="55"/>
      <x:c r="AA364" s="55"/>
      <x:c r="AB364" s="55" t="str">
        <x:f>IF(C364="","", "Напиши " &amp; AA364 &amp; " за бизнес: " &amp; C364 &amp; ". Тип: " &amp; D364 &amp; ". Град: " &amp; E364 &amp; ". Проблем: " &amp; L364 &amp; ". Предложение: " &amp; M364 &amp; ". Етап: " &amp; N364 &amp; ". Бележки: " &amp; Y364)</x:f>
      </x:c>
      <x:c r="AC364" s="55"/>
    </x:row>
    <x:row r="365">
      <x:c r="A365" s="55"/>
      <x:c r="B365" s="55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55"/>
      <x:c r="S365" s="55" t="str">
        <x:f>IF(C365="","",IFERROR(Q365*R365/100,""))</x:f>
      </x:c>
      <x:c r="T365" s="55"/>
      <x:c r="U365" s="55"/>
      <x:c r="V365" s="55" t="str">
        <x:f>IF(U365="","",U365-TODAY())</x:f>
      </x:c>
      <x:c r="W365" s="55" t="str">
        <x:f>IF(AND(U365&lt;&gt;"",U365&lt;TODAY(),O365="Активен"),"ДА","")</x:f>
      </x:c>
      <x:c r="X365" s="55"/>
      <x:c r="Y365" s="55"/>
      <x:c r="Z365" s="55"/>
      <x:c r="AA365" s="55"/>
      <x:c r="AB365" s="55" t="str">
        <x:f>IF(C365="","", "Напиши " &amp; AA365 &amp; " за бизнес: " &amp; C365 &amp; ". Тип: " &amp; D365 &amp; ". Град: " &amp; E365 &amp; ". Проблем: " &amp; L365 &amp; ". Предложение: " &amp; M365 &amp; ". Етап: " &amp; N365 &amp; ". Бележки: " &amp; Y365)</x:f>
      </x:c>
      <x:c r="AC365" s="55"/>
    </x:row>
    <x:row r="366">
      <x:c r="A366" s="55"/>
      <x:c r="B366" s="55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55"/>
      <x:c r="S366" s="55" t="str">
        <x:f>IF(C366="","",IFERROR(Q366*R366/100,""))</x:f>
      </x:c>
      <x:c r="T366" s="55"/>
      <x:c r="U366" s="55"/>
      <x:c r="V366" s="55" t="str">
        <x:f>IF(U366="","",U366-TODAY())</x:f>
      </x:c>
      <x:c r="W366" s="55" t="str">
        <x:f>IF(AND(U366&lt;&gt;"",U366&lt;TODAY(),O366="Активен"),"ДА","")</x:f>
      </x:c>
      <x:c r="X366" s="55"/>
      <x:c r="Y366" s="55"/>
      <x:c r="Z366" s="55"/>
      <x:c r="AA366" s="55"/>
      <x:c r="AB366" s="55" t="str">
        <x:f>IF(C366="","", "Напиши " &amp; AA366 &amp; " за бизнес: " &amp; C366 &amp; ". Тип: " &amp; D366 &amp; ". Град: " &amp; E366 &amp; ". Проблем: " &amp; L366 &amp; ". Предложение: " &amp; M366 &amp; ". Етап: " &amp; N366 &amp; ". Бележки: " &amp; Y366)</x:f>
      </x:c>
      <x:c r="AC366" s="55"/>
    </x:row>
    <x:row r="367">
      <x:c r="A367" s="55"/>
      <x:c r="B367" s="55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55"/>
      <x:c r="S367" s="55" t="str">
        <x:f>IF(C367="","",IFERROR(Q367*R367/100,""))</x:f>
      </x:c>
      <x:c r="T367" s="55"/>
      <x:c r="U367" s="55"/>
      <x:c r="V367" s="55" t="str">
        <x:f>IF(U367="","",U367-TODAY())</x:f>
      </x:c>
      <x:c r="W367" s="55" t="str">
        <x:f>IF(AND(U367&lt;&gt;"",U367&lt;TODAY(),O367="Активен"),"ДА","")</x:f>
      </x:c>
      <x:c r="X367" s="55"/>
      <x:c r="Y367" s="55"/>
      <x:c r="Z367" s="55"/>
      <x:c r="AA367" s="55"/>
      <x:c r="AB367" s="55" t="str">
        <x:f>IF(C367="","", "Напиши " &amp; AA367 &amp; " за бизнес: " &amp; C367 &amp; ". Тип: " &amp; D367 &amp; ". Град: " &amp; E367 &amp; ". Проблем: " &amp; L367 &amp; ". Предложение: " &amp; M367 &amp; ". Етап: " &amp; N367 &amp; ". Бележки: " &amp; Y367)</x:f>
      </x:c>
      <x:c r="AC367" s="55"/>
    </x:row>
    <x:row r="368">
      <x:c r="A368" s="55"/>
      <x:c r="B368" s="55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55"/>
      <x:c r="S368" s="55" t="str">
        <x:f>IF(C368="","",IFERROR(Q368*R368/100,""))</x:f>
      </x:c>
      <x:c r="T368" s="55"/>
      <x:c r="U368" s="55"/>
      <x:c r="V368" s="55" t="str">
        <x:f>IF(U368="","",U368-TODAY())</x:f>
      </x:c>
      <x:c r="W368" s="55" t="str">
        <x:f>IF(AND(U368&lt;&gt;"",U368&lt;TODAY(),O368="Активен"),"ДА","")</x:f>
      </x:c>
      <x:c r="X368" s="55"/>
      <x:c r="Y368" s="55"/>
      <x:c r="Z368" s="55"/>
      <x:c r="AA368" s="55"/>
      <x:c r="AB368" s="55" t="str">
        <x:f>IF(C368="","", "Напиши " &amp; AA368 &amp; " за бизнес: " &amp; C368 &amp; ". Тип: " &amp; D368 &amp; ". Град: " &amp; E368 &amp; ". Проблем: " &amp; L368 &amp; ". Предложение: " &amp; M368 &amp; ". Етап: " &amp; N368 &amp; ". Бележки: " &amp; Y368)</x:f>
      </x:c>
      <x:c r="AC368" s="55"/>
    </x:row>
    <x:row r="369">
      <x:c r="A369" s="55"/>
      <x:c r="B369" s="55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55"/>
      <x:c r="S369" s="55" t="str">
        <x:f>IF(C369="","",IFERROR(Q369*R369/100,""))</x:f>
      </x:c>
      <x:c r="T369" s="55"/>
      <x:c r="U369" s="55"/>
      <x:c r="V369" s="55" t="str">
        <x:f>IF(U369="","",U369-TODAY())</x:f>
      </x:c>
      <x:c r="W369" s="55" t="str">
        <x:f>IF(AND(U369&lt;&gt;"",U369&lt;TODAY(),O369="Активен"),"ДА","")</x:f>
      </x:c>
      <x:c r="X369" s="55"/>
      <x:c r="Y369" s="55"/>
      <x:c r="Z369" s="55"/>
      <x:c r="AA369" s="55"/>
      <x:c r="AB369" s="55" t="str">
        <x:f>IF(C369="","", "Напиши " &amp; AA369 &amp; " за бизнес: " &amp; C369 &amp; ". Тип: " &amp; D369 &amp; ". Град: " &amp; E369 &amp; ". Проблем: " &amp; L369 &amp; ". Предложение: " &amp; M369 &amp; ". Етап: " &amp; N369 &amp; ". Бележки: " &amp; Y369)</x:f>
      </x:c>
      <x:c r="AC369" s="55"/>
    </x:row>
    <x:row r="370">
      <x:c r="A370" s="55"/>
      <x:c r="B370" s="55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55"/>
      <x:c r="S370" s="55" t="str">
        <x:f>IF(C370="","",IFERROR(Q370*R370/100,""))</x:f>
      </x:c>
      <x:c r="T370" s="55"/>
      <x:c r="U370" s="55"/>
      <x:c r="V370" s="55" t="str">
        <x:f>IF(U370="","",U370-TODAY())</x:f>
      </x:c>
      <x:c r="W370" s="55" t="str">
        <x:f>IF(AND(U370&lt;&gt;"",U370&lt;TODAY(),O370="Активен"),"ДА","")</x:f>
      </x:c>
      <x:c r="X370" s="55"/>
      <x:c r="Y370" s="55"/>
      <x:c r="Z370" s="55"/>
      <x:c r="AA370" s="55"/>
      <x:c r="AB370" s="55" t="str">
        <x:f>IF(C370="","", "Напиши " &amp; AA370 &amp; " за бизнес: " &amp; C370 &amp; ". Тип: " &amp; D370 &amp; ". Град: " &amp; E370 &amp; ". Проблем: " &amp; L370 &amp; ". Предложение: " &amp; M370 &amp; ". Етап: " &amp; N370 &amp; ". Бележки: " &amp; Y370)</x:f>
      </x:c>
      <x:c r="AC370" s="55"/>
    </x:row>
    <x:row r="371">
      <x:c r="A371" s="55"/>
      <x:c r="B371" s="55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55"/>
      <x:c r="S371" s="55" t="str">
        <x:f>IF(C371="","",IFERROR(Q371*R371/100,""))</x:f>
      </x:c>
      <x:c r="T371" s="55"/>
      <x:c r="U371" s="55"/>
      <x:c r="V371" s="55" t="str">
        <x:f>IF(U371="","",U371-TODAY())</x:f>
      </x:c>
      <x:c r="W371" s="55" t="str">
        <x:f>IF(AND(U371&lt;&gt;"",U371&lt;TODAY(),O371="Активен"),"ДА","")</x:f>
      </x:c>
      <x:c r="X371" s="55"/>
      <x:c r="Y371" s="55"/>
      <x:c r="Z371" s="55"/>
      <x:c r="AA371" s="55"/>
      <x:c r="AB371" s="55" t="str">
        <x:f>IF(C371="","", "Напиши " &amp; AA371 &amp; " за бизнес: " &amp; C371 &amp; ". Тип: " &amp; D371 &amp; ". Град: " &amp; E371 &amp; ". Проблем: " &amp; L371 &amp; ". Предложение: " &amp; M371 &amp; ". Етап: " &amp; N371 &amp; ". Бележки: " &amp; Y371)</x:f>
      </x:c>
      <x:c r="AC371" s="55"/>
    </x:row>
    <x:row r="372">
      <x:c r="A372" s="55"/>
      <x:c r="B372" s="55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55"/>
      <x:c r="S372" s="55" t="str">
        <x:f>IF(C372="","",IFERROR(Q372*R372/100,""))</x:f>
      </x:c>
      <x:c r="T372" s="55"/>
      <x:c r="U372" s="55"/>
      <x:c r="V372" s="55" t="str">
        <x:f>IF(U372="","",U372-TODAY())</x:f>
      </x:c>
      <x:c r="W372" s="55" t="str">
        <x:f>IF(AND(U372&lt;&gt;"",U372&lt;TODAY(),O372="Активен"),"ДА","")</x:f>
      </x:c>
      <x:c r="X372" s="55"/>
      <x:c r="Y372" s="55"/>
      <x:c r="Z372" s="55"/>
      <x:c r="AA372" s="55"/>
      <x:c r="AB372" s="55" t="str">
        <x:f>IF(C372="","", "Напиши " &amp; AA372 &amp; " за бизнес: " &amp; C372 &amp; ". Тип: " &amp; D372 &amp; ". Град: " &amp; E372 &amp; ". Проблем: " &amp; L372 &amp; ". Предложение: " &amp; M372 &amp; ". Етап: " &amp; N372 &amp; ". Бележки: " &amp; Y372)</x:f>
      </x:c>
      <x:c r="AC372" s="55"/>
    </x:row>
    <x:row r="373">
      <x:c r="A373" s="55"/>
      <x:c r="B373" s="55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55"/>
      <x:c r="S373" s="55" t="str">
        <x:f>IF(C373="","",IFERROR(Q373*R373/100,""))</x:f>
      </x:c>
      <x:c r="T373" s="55"/>
      <x:c r="U373" s="55"/>
      <x:c r="V373" s="55" t="str">
        <x:f>IF(U373="","",U373-TODAY())</x:f>
      </x:c>
      <x:c r="W373" s="55" t="str">
        <x:f>IF(AND(U373&lt;&gt;"",U373&lt;TODAY(),O373="Активен"),"ДА","")</x:f>
      </x:c>
      <x:c r="X373" s="55"/>
      <x:c r="Y373" s="55"/>
      <x:c r="Z373" s="55"/>
      <x:c r="AA373" s="55"/>
      <x:c r="AB373" s="55" t="str">
        <x:f>IF(C373="","", "Напиши " &amp; AA373 &amp; " за бизнес: " &amp; C373 &amp; ". Тип: " &amp; D373 &amp; ". Град: " &amp; E373 &amp; ". Проблем: " &amp; L373 &amp; ". Предложение: " &amp; M373 &amp; ". Етап: " &amp; N373 &amp; ". Бележки: " &amp; Y373)</x:f>
      </x:c>
      <x:c r="AC373" s="55"/>
    </x:row>
    <x:row r="374">
      <x:c r="A374" s="55"/>
      <x:c r="B374" s="55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55"/>
      <x:c r="S374" s="55" t="str">
        <x:f>IF(C374="","",IFERROR(Q374*R374/100,""))</x:f>
      </x:c>
      <x:c r="T374" s="55"/>
      <x:c r="U374" s="55"/>
      <x:c r="V374" s="55" t="str">
        <x:f>IF(U374="","",U374-TODAY())</x:f>
      </x:c>
      <x:c r="W374" s="55" t="str">
        <x:f>IF(AND(U374&lt;&gt;"",U374&lt;TODAY(),O374="Активен"),"ДА","")</x:f>
      </x:c>
      <x:c r="X374" s="55"/>
      <x:c r="Y374" s="55"/>
      <x:c r="Z374" s="55"/>
      <x:c r="AA374" s="55"/>
      <x:c r="AB374" s="55" t="str">
        <x:f>IF(C374="","", "Напиши " &amp; AA374 &amp; " за бизнес: " &amp; C374 &amp; ". Тип: " &amp; D374 &amp; ". Град: " &amp; E374 &amp; ". Проблем: " &amp; L374 &amp; ". Предложение: " &amp; M374 &amp; ". Етап: " &amp; N374 &amp; ". Бележки: " &amp; Y374)</x:f>
      </x:c>
      <x:c r="AC374" s="55"/>
    </x:row>
    <x:row r="375">
      <x:c r="A375" s="55"/>
      <x:c r="B375" s="55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55"/>
      <x:c r="S375" s="55" t="str">
        <x:f>IF(C375="","",IFERROR(Q375*R375/100,""))</x:f>
      </x:c>
      <x:c r="T375" s="55"/>
      <x:c r="U375" s="55"/>
      <x:c r="V375" s="55" t="str">
        <x:f>IF(U375="","",U375-TODAY())</x:f>
      </x:c>
      <x:c r="W375" s="55" t="str">
        <x:f>IF(AND(U375&lt;&gt;"",U375&lt;TODAY(),O375="Активен"),"ДА","")</x:f>
      </x:c>
      <x:c r="X375" s="55"/>
      <x:c r="Y375" s="55"/>
      <x:c r="Z375" s="55"/>
      <x:c r="AA375" s="55"/>
      <x:c r="AB375" s="55" t="str">
        <x:f>IF(C375="","", "Напиши " &amp; AA375 &amp; " за бизнес: " &amp; C375 &amp; ". Тип: " &amp; D375 &amp; ". Град: " &amp; E375 &amp; ". Проблем: " &amp; L375 &amp; ". Предложение: " &amp; M375 &amp; ". Етап: " &amp; N375 &amp; ". Бележки: " &amp; Y375)</x:f>
      </x:c>
      <x:c r="AC375" s="55"/>
    </x:row>
    <x:row r="376">
      <x:c r="A376" s="55"/>
      <x:c r="B376" s="55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55"/>
      <x:c r="S376" s="55" t="str">
        <x:f>IF(C376="","",IFERROR(Q376*R376/100,""))</x:f>
      </x:c>
      <x:c r="T376" s="55"/>
      <x:c r="U376" s="55"/>
      <x:c r="V376" s="55" t="str">
        <x:f>IF(U376="","",U376-TODAY())</x:f>
      </x:c>
      <x:c r="W376" s="55" t="str">
        <x:f>IF(AND(U376&lt;&gt;"",U376&lt;TODAY(),O376="Активен"),"ДА","")</x:f>
      </x:c>
      <x:c r="X376" s="55"/>
      <x:c r="Y376" s="55"/>
      <x:c r="Z376" s="55"/>
      <x:c r="AA376" s="55"/>
      <x:c r="AB376" s="55" t="str">
        <x:f>IF(C376="","", "Напиши " &amp; AA376 &amp; " за бизнес: " &amp; C376 &amp; ". Тип: " &amp; D376 &amp; ". Град: " &amp; E376 &amp; ". Проблем: " &amp; L376 &amp; ". Предложение: " &amp; M376 &amp; ". Етап: " &amp; N376 &amp; ". Бележки: " &amp; Y376)</x:f>
      </x:c>
      <x:c r="AC376" s="55"/>
    </x:row>
    <x:row r="377">
      <x:c r="A377" s="55"/>
      <x:c r="B377" s="55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55"/>
      <x:c r="S377" s="55" t="str">
        <x:f>IF(C377="","",IFERROR(Q377*R377/100,""))</x:f>
      </x:c>
      <x:c r="T377" s="55"/>
      <x:c r="U377" s="55"/>
      <x:c r="V377" s="55" t="str">
        <x:f>IF(U377="","",U377-TODAY())</x:f>
      </x:c>
      <x:c r="W377" s="55" t="str">
        <x:f>IF(AND(U377&lt;&gt;"",U377&lt;TODAY(),O377="Активен"),"ДА","")</x:f>
      </x:c>
      <x:c r="X377" s="55"/>
      <x:c r="Y377" s="55"/>
      <x:c r="Z377" s="55"/>
      <x:c r="AA377" s="55"/>
      <x:c r="AB377" s="55" t="str">
        <x:f>IF(C377="","", "Напиши " &amp; AA377 &amp; " за бизнес: " &amp; C377 &amp; ". Тип: " &amp; D377 &amp; ". Град: " &amp; E377 &amp; ". Проблем: " &amp; L377 &amp; ". Предложение: " &amp; M377 &amp; ". Етап: " &amp; N377 &amp; ". Бележки: " &amp; Y377)</x:f>
      </x:c>
      <x:c r="AC377" s="55"/>
    </x:row>
    <x:row r="378">
      <x:c r="A378" s="55"/>
      <x:c r="B378" s="55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55"/>
      <x:c r="S378" s="55" t="str">
        <x:f>IF(C378="","",IFERROR(Q378*R378/100,""))</x:f>
      </x:c>
      <x:c r="T378" s="55"/>
      <x:c r="U378" s="55"/>
      <x:c r="V378" s="55" t="str">
        <x:f>IF(U378="","",U378-TODAY())</x:f>
      </x:c>
      <x:c r="W378" s="55" t="str">
        <x:f>IF(AND(U378&lt;&gt;"",U378&lt;TODAY(),O378="Активен"),"ДА","")</x:f>
      </x:c>
      <x:c r="X378" s="55"/>
      <x:c r="Y378" s="55"/>
      <x:c r="Z378" s="55"/>
      <x:c r="AA378" s="55"/>
      <x:c r="AB378" s="55" t="str">
        <x:f>IF(C378="","", "Напиши " &amp; AA378 &amp; " за бизнес: " &amp; C378 &amp; ". Тип: " &amp; D378 &amp; ". Град: " &amp; E378 &amp; ". Проблем: " &amp; L378 &amp; ". Предложение: " &amp; M378 &amp; ". Етап: " &amp; N378 &amp; ". Бележки: " &amp; Y378)</x:f>
      </x:c>
      <x:c r="AC378" s="55"/>
    </x:row>
    <x:row r="379">
      <x:c r="A379" s="55"/>
      <x:c r="B379" s="55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55"/>
      <x:c r="S379" s="55" t="str">
        <x:f>IF(C379="","",IFERROR(Q379*R379/100,""))</x:f>
      </x:c>
      <x:c r="T379" s="55"/>
      <x:c r="U379" s="55"/>
      <x:c r="V379" s="55" t="str">
        <x:f>IF(U379="","",U379-TODAY())</x:f>
      </x:c>
      <x:c r="W379" s="55" t="str">
        <x:f>IF(AND(U379&lt;&gt;"",U379&lt;TODAY(),O379="Активен"),"ДА","")</x:f>
      </x:c>
      <x:c r="X379" s="55"/>
      <x:c r="Y379" s="55"/>
      <x:c r="Z379" s="55"/>
      <x:c r="AA379" s="55"/>
      <x:c r="AB379" s="55" t="str">
        <x:f>IF(C379="","", "Напиши " &amp; AA379 &amp; " за бизнес: " &amp; C379 &amp; ". Тип: " &amp; D379 &amp; ". Град: " &amp; E379 &amp; ". Проблем: " &amp; L379 &amp; ". Предложение: " &amp; M379 &amp; ". Етап: " &amp; N379 &amp; ". Бележки: " &amp; Y379)</x:f>
      </x:c>
      <x:c r="AC379" s="55"/>
    </x:row>
    <x:row r="380">
      <x:c r="A380" s="55"/>
      <x:c r="B380" s="55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55"/>
      <x:c r="S380" s="55" t="str">
        <x:f>IF(C380="","",IFERROR(Q380*R380/100,""))</x:f>
      </x:c>
      <x:c r="T380" s="55"/>
      <x:c r="U380" s="55"/>
      <x:c r="V380" s="55" t="str">
        <x:f>IF(U380="","",U380-TODAY())</x:f>
      </x:c>
      <x:c r="W380" s="55" t="str">
        <x:f>IF(AND(U380&lt;&gt;"",U380&lt;TODAY(),O380="Активен"),"ДА","")</x:f>
      </x:c>
      <x:c r="X380" s="55"/>
      <x:c r="Y380" s="55"/>
      <x:c r="Z380" s="55"/>
      <x:c r="AA380" s="55"/>
      <x:c r="AB380" s="55" t="str">
        <x:f>IF(C380="","", "Напиши " &amp; AA380 &amp; " за бизнес: " &amp; C380 &amp; ". Тип: " &amp; D380 &amp; ". Град: " &amp; E380 &amp; ". Проблем: " &amp; L380 &amp; ". Предложение: " &amp; M380 &amp; ". Етап: " &amp; N380 &amp; ". Бележки: " &amp; Y380)</x:f>
      </x:c>
      <x:c r="AC380" s="55"/>
    </x:row>
    <x:row r="381">
      <x:c r="A381" s="55"/>
      <x:c r="B381" s="55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55"/>
      <x:c r="S381" s="55" t="str">
        <x:f>IF(C381="","",IFERROR(Q381*R381/100,""))</x:f>
      </x:c>
      <x:c r="T381" s="55"/>
      <x:c r="U381" s="55"/>
      <x:c r="V381" s="55" t="str">
        <x:f>IF(U381="","",U381-TODAY())</x:f>
      </x:c>
      <x:c r="W381" s="55" t="str">
        <x:f>IF(AND(U381&lt;&gt;"",U381&lt;TODAY(),O381="Активен"),"ДА","")</x:f>
      </x:c>
      <x:c r="X381" s="55"/>
      <x:c r="Y381" s="55"/>
      <x:c r="Z381" s="55"/>
      <x:c r="AA381" s="55"/>
      <x:c r="AB381" s="55" t="str">
        <x:f>IF(C381="","", "Напиши " &amp; AA381 &amp; " за бизнес: " &amp; C381 &amp; ". Тип: " &amp; D381 &amp; ". Град: " &amp; E381 &amp; ". Проблем: " &amp; L381 &amp; ". Предложение: " &amp; M381 &amp; ". Етап: " &amp; N381 &amp; ". Бележки: " &amp; Y381)</x:f>
      </x:c>
      <x:c r="AC381" s="55"/>
    </x:row>
    <x:row r="382">
      <x:c r="A382" s="55"/>
      <x:c r="B382" s="55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55"/>
      <x:c r="S382" s="55" t="str">
        <x:f>IF(C382="","",IFERROR(Q382*R382/100,""))</x:f>
      </x:c>
      <x:c r="T382" s="55"/>
      <x:c r="U382" s="55"/>
      <x:c r="V382" s="55" t="str">
        <x:f>IF(U382="","",U382-TODAY())</x:f>
      </x:c>
      <x:c r="W382" s="55" t="str">
        <x:f>IF(AND(U382&lt;&gt;"",U382&lt;TODAY(),O382="Активен"),"ДА","")</x:f>
      </x:c>
      <x:c r="X382" s="55"/>
      <x:c r="Y382" s="55"/>
      <x:c r="Z382" s="55"/>
      <x:c r="AA382" s="55"/>
      <x:c r="AB382" s="55" t="str">
        <x:f>IF(C382="","", "Напиши " &amp; AA382 &amp; " за бизнес: " &amp; C382 &amp; ". Тип: " &amp; D382 &amp; ". Град: " &amp; E382 &amp; ". Проблем: " &amp; L382 &amp; ". Предложение: " &amp; M382 &amp; ". Етап: " &amp; N382 &amp; ". Бележки: " &amp; Y382)</x:f>
      </x:c>
      <x:c r="AC382" s="55"/>
    </x:row>
    <x:row r="383">
      <x:c r="A383" s="55"/>
      <x:c r="B383" s="55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55"/>
      <x:c r="S383" s="55" t="str">
        <x:f>IF(C383="","",IFERROR(Q383*R383/100,""))</x:f>
      </x:c>
      <x:c r="T383" s="55"/>
      <x:c r="U383" s="55"/>
      <x:c r="V383" s="55" t="str">
        <x:f>IF(U383="","",U383-TODAY())</x:f>
      </x:c>
      <x:c r="W383" s="55" t="str">
        <x:f>IF(AND(U383&lt;&gt;"",U383&lt;TODAY(),O383="Активен"),"ДА","")</x:f>
      </x:c>
      <x:c r="X383" s="55"/>
      <x:c r="Y383" s="55"/>
      <x:c r="Z383" s="55"/>
      <x:c r="AA383" s="55"/>
      <x:c r="AB383" s="55" t="str">
        <x:f>IF(C383="","", "Напиши " &amp; AA383 &amp; " за бизнес: " &amp; C383 &amp; ". Тип: " &amp; D383 &amp; ". Град: " &amp; E383 &amp; ". Проблем: " &amp; L383 &amp; ". Предложение: " &amp; M383 &amp; ". Етап: " &amp; N383 &amp; ". Бележки: " &amp; Y383)</x:f>
      </x:c>
      <x:c r="AC383" s="55"/>
    </x:row>
    <x:row r="384">
      <x:c r="A384" s="55"/>
      <x:c r="B384" s="55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55"/>
      <x:c r="S384" s="55" t="str">
        <x:f>IF(C384="","",IFERROR(Q384*R384/100,""))</x:f>
      </x:c>
      <x:c r="T384" s="55"/>
      <x:c r="U384" s="55"/>
      <x:c r="V384" s="55" t="str">
        <x:f>IF(U384="","",U384-TODAY())</x:f>
      </x:c>
      <x:c r="W384" s="55" t="str">
        <x:f>IF(AND(U384&lt;&gt;"",U384&lt;TODAY(),O384="Активен"),"ДА","")</x:f>
      </x:c>
      <x:c r="X384" s="55"/>
      <x:c r="Y384" s="55"/>
      <x:c r="Z384" s="55"/>
      <x:c r="AA384" s="55"/>
      <x:c r="AB384" s="55" t="str">
        <x:f>IF(C384="","", "Напиши " &amp; AA384 &amp; " за бизнес: " &amp; C384 &amp; ". Тип: " &amp; D384 &amp; ". Град: " &amp; E384 &amp; ". Проблем: " &amp; L384 &amp; ". Предложение: " &amp; M384 &amp; ". Етап: " &amp; N384 &amp; ". Бележки: " &amp; Y384)</x:f>
      </x:c>
      <x:c r="AC384" s="55"/>
    </x:row>
    <x:row r="385">
      <x:c r="A385" s="55"/>
      <x:c r="B385" s="55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55"/>
      <x:c r="S385" s="55" t="str">
        <x:f>IF(C385="","",IFERROR(Q385*R385/100,""))</x:f>
      </x:c>
      <x:c r="T385" s="55"/>
      <x:c r="U385" s="55"/>
      <x:c r="V385" s="55" t="str">
        <x:f>IF(U385="","",U385-TODAY())</x:f>
      </x:c>
      <x:c r="W385" s="55" t="str">
        <x:f>IF(AND(U385&lt;&gt;"",U385&lt;TODAY(),O385="Активен"),"ДА","")</x:f>
      </x:c>
      <x:c r="X385" s="55"/>
      <x:c r="Y385" s="55"/>
      <x:c r="Z385" s="55"/>
      <x:c r="AA385" s="55"/>
      <x:c r="AB385" s="55" t="str">
        <x:f>IF(C385="","", "Напиши " &amp; AA385 &amp; " за бизнес: " &amp; C385 &amp; ". Тип: " &amp; D385 &amp; ". Град: " &amp; E385 &amp; ". Проблем: " &amp; L385 &amp; ". Предложение: " &amp; M385 &amp; ". Етап: " &amp; N385 &amp; ". Бележки: " &amp; Y385)</x:f>
      </x:c>
      <x:c r="AC385" s="55"/>
    </x:row>
    <x:row r="386">
      <x:c r="A386" s="55"/>
      <x:c r="B386" s="55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55"/>
      <x:c r="S386" s="55" t="str">
        <x:f>IF(C386="","",IFERROR(Q386*R386/100,""))</x:f>
      </x:c>
      <x:c r="T386" s="55"/>
      <x:c r="U386" s="55"/>
      <x:c r="V386" s="55" t="str">
        <x:f>IF(U386="","",U386-TODAY())</x:f>
      </x:c>
      <x:c r="W386" s="55" t="str">
        <x:f>IF(AND(U386&lt;&gt;"",U386&lt;TODAY(),O386="Активен"),"ДА","")</x:f>
      </x:c>
      <x:c r="X386" s="55"/>
      <x:c r="Y386" s="55"/>
      <x:c r="Z386" s="55"/>
      <x:c r="AA386" s="55"/>
      <x:c r="AB386" s="55" t="str">
        <x:f>IF(C386="","", "Напиши " &amp; AA386 &amp; " за бизнес: " &amp; C386 &amp; ". Тип: " &amp; D386 &amp; ". Град: " &amp; E386 &amp; ". Проблем: " &amp; L386 &amp; ". Предложение: " &amp; M386 &amp; ". Етап: " &amp; N386 &amp; ". Бележки: " &amp; Y386)</x:f>
      </x:c>
      <x:c r="AC386" s="55"/>
    </x:row>
    <x:row r="387">
      <x:c r="A387" s="55"/>
      <x:c r="B387" s="55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55"/>
      <x:c r="S387" s="55" t="str">
        <x:f>IF(C387="","",IFERROR(Q387*R387/100,""))</x:f>
      </x:c>
      <x:c r="T387" s="55"/>
      <x:c r="U387" s="55"/>
      <x:c r="V387" s="55" t="str">
        <x:f>IF(U387="","",U387-TODAY())</x:f>
      </x:c>
      <x:c r="W387" s="55" t="str">
        <x:f>IF(AND(U387&lt;&gt;"",U387&lt;TODAY(),O387="Активен"),"ДА","")</x:f>
      </x:c>
      <x:c r="X387" s="55"/>
      <x:c r="Y387" s="55"/>
      <x:c r="Z387" s="55"/>
      <x:c r="AA387" s="55"/>
      <x:c r="AB387" s="55" t="str">
        <x:f>IF(C387="","", "Напиши " &amp; AA387 &amp; " за бизнес: " &amp; C387 &amp; ". Тип: " &amp; D387 &amp; ". Град: " &amp; E387 &amp; ". Проблем: " &amp; L387 &amp; ". Предложение: " &amp; M387 &amp; ". Етап: " &amp; N387 &amp; ". Бележки: " &amp; Y387)</x:f>
      </x:c>
      <x:c r="AC387" s="55"/>
    </x:row>
    <x:row r="388">
      <x:c r="A388" s="55"/>
      <x:c r="B388" s="55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55"/>
      <x:c r="S388" s="55" t="str">
        <x:f>IF(C388="","",IFERROR(Q388*R388/100,""))</x:f>
      </x:c>
      <x:c r="T388" s="55"/>
      <x:c r="U388" s="55"/>
      <x:c r="V388" s="55" t="str">
        <x:f>IF(U388="","",U388-TODAY())</x:f>
      </x:c>
      <x:c r="W388" s="55" t="str">
        <x:f>IF(AND(U388&lt;&gt;"",U388&lt;TODAY(),O388="Активен"),"ДА","")</x:f>
      </x:c>
      <x:c r="X388" s="55"/>
      <x:c r="Y388" s="55"/>
      <x:c r="Z388" s="55"/>
      <x:c r="AA388" s="55"/>
      <x:c r="AB388" s="55" t="str">
        <x:f>IF(C388="","", "Напиши " &amp; AA388 &amp; " за бизнес: " &amp; C388 &amp; ". Тип: " &amp; D388 &amp; ". Град: " &amp; E388 &amp; ". Проблем: " &amp; L388 &amp; ". Предложение: " &amp; M388 &amp; ". Етап: " &amp; N388 &amp; ". Бележки: " &amp; Y388)</x:f>
      </x:c>
      <x:c r="AC388" s="55"/>
    </x:row>
    <x:row r="389">
      <x:c r="A389" s="55"/>
      <x:c r="B389" s="55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55"/>
      <x:c r="S389" s="55" t="str">
        <x:f>IF(C389="","",IFERROR(Q389*R389/100,""))</x:f>
      </x:c>
      <x:c r="T389" s="55"/>
      <x:c r="U389" s="55"/>
      <x:c r="V389" s="55" t="str">
        <x:f>IF(U389="","",U389-TODAY())</x:f>
      </x:c>
      <x:c r="W389" s="55" t="str">
        <x:f>IF(AND(U389&lt;&gt;"",U389&lt;TODAY(),O389="Активен"),"ДА","")</x:f>
      </x:c>
      <x:c r="X389" s="55"/>
      <x:c r="Y389" s="55"/>
      <x:c r="Z389" s="55"/>
      <x:c r="AA389" s="55"/>
      <x:c r="AB389" s="55" t="str">
        <x:f>IF(C389="","", "Напиши " &amp; AA389 &amp; " за бизнес: " &amp; C389 &amp; ". Тип: " &amp; D389 &amp; ". Град: " &amp; E389 &amp; ". Проблем: " &amp; L389 &amp; ". Предложение: " &amp; M389 &amp; ". Етап: " &amp; N389 &amp; ". Бележки: " &amp; Y389)</x:f>
      </x:c>
      <x:c r="AC389" s="55"/>
    </x:row>
    <x:row r="390">
      <x:c r="A390" s="55"/>
      <x:c r="B390" s="55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55"/>
      <x:c r="S390" s="55" t="str">
        <x:f>IF(C390="","",IFERROR(Q390*R390/100,""))</x:f>
      </x:c>
      <x:c r="T390" s="55"/>
      <x:c r="U390" s="55"/>
      <x:c r="V390" s="55" t="str">
        <x:f>IF(U390="","",U390-TODAY())</x:f>
      </x:c>
      <x:c r="W390" s="55" t="str">
        <x:f>IF(AND(U390&lt;&gt;"",U390&lt;TODAY(),O390="Активен"),"ДА","")</x:f>
      </x:c>
      <x:c r="X390" s="55"/>
      <x:c r="Y390" s="55"/>
      <x:c r="Z390" s="55"/>
      <x:c r="AA390" s="55"/>
      <x:c r="AB390" s="55" t="str">
        <x:f>IF(C390="","", "Напиши " &amp; AA390 &amp; " за бизнес: " &amp; C390 &amp; ". Тип: " &amp; D390 &amp; ". Град: " &amp; E390 &amp; ". Проблем: " &amp; L390 &amp; ". Предложение: " &amp; M390 &amp; ". Етап: " &amp; N390 &amp; ". Бележки: " &amp; Y390)</x:f>
      </x:c>
      <x:c r="AC390" s="55"/>
    </x:row>
    <x:row r="391">
      <x:c r="A391" s="55"/>
      <x:c r="B391" s="55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55"/>
      <x:c r="S391" s="55" t="str">
        <x:f>IF(C391="","",IFERROR(Q391*R391/100,""))</x:f>
      </x:c>
      <x:c r="T391" s="55"/>
      <x:c r="U391" s="55"/>
      <x:c r="V391" s="55" t="str">
        <x:f>IF(U391="","",U391-TODAY())</x:f>
      </x:c>
      <x:c r="W391" s="55" t="str">
        <x:f>IF(AND(U391&lt;&gt;"",U391&lt;TODAY(),O391="Активен"),"ДА","")</x:f>
      </x:c>
      <x:c r="X391" s="55"/>
      <x:c r="Y391" s="55"/>
      <x:c r="Z391" s="55"/>
      <x:c r="AA391" s="55"/>
      <x:c r="AB391" s="55" t="str">
        <x:f>IF(C391="","", "Напиши " &amp; AA391 &amp; " за бизнес: " &amp; C391 &amp; ". Тип: " &amp; D391 &amp; ". Град: " &amp; E391 &amp; ". Проблем: " &amp; L391 &amp; ". Предложение: " &amp; M391 &amp; ". Етап: " &amp; N391 &amp; ". Бележки: " &amp; Y391)</x:f>
      </x:c>
      <x:c r="AC391" s="55"/>
    </x:row>
    <x:row r="392">
      <x:c r="A392" s="55"/>
      <x:c r="B392" s="55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55"/>
      <x:c r="S392" s="55" t="str">
        <x:f>IF(C392="","",IFERROR(Q392*R392/100,""))</x:f>
      </x:c>
      <x:c r="T392" s="55"/>
      <x:c r="U392" s="55"/>
      <x:c r="V392" s="55" t="str">
        <x:f>IF(U392="","",U392-TODAY())</x:f>
      </x:c>
      <x:c r="W392" s="55" t="str">
        <x:f>IF(AND(U392&lt;&gt;"",U392&lt;TODAY(),O392="Активен"),"ДА","")</x:f>
      </x:c>
      <x:c r="X392" s="55"/>
      <x:c r="Y392" s="55"/>
      <x:c r="Z392" s="55"/>
      <x:c r="AA392" s="55"/>
      <x:c r="AB392" s="55" t="str">
        <x:f>IF(C392="","", "Напиши " &amp; AA392 &amp; " за бизнес: " &amp; C392 &amp; ". Тип: " &amp; D392 &amp; ". Град: " &amp; E392 &amp; ". Проблем: " &amp; L392 &amp; ". Предложение: " &amp; M392 &amp; ". Етап: " &amp; N392 &amp; ". Бележки: " &amp; Y392)</x:f>
      </x:c>
      <x:c r="AC392" s="55"/>
    </x:row>
    <x:row r="393">
      <x:c r="A393" s="55"/>
      <x:c r="B393" s="55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55"/>
      <x:c r="S393" s="55" t="str">
        <x:f>IF(C393="","",IFERROR(Q393*R393/100,""))</x:f>
      </x:c>
      <x:c r="T393" s="55"/>
      <x:c r="U393" s="55"/>
      <x:c r="V393" s="55" t="str">
        <x:f>IF(U393="","",U393-TODAY())</x:f>
      </x:c>
      <x:c r="W393" s="55" t="str">
        <x:f>IF(AND(U393&lt;&gt;"",U393&lt;TODAY(),O393="Активен"),"ДА","")</x:f>
      </x:c>
      <x:c r="X393" s="55"/>
      <x:c r="Y393" s="55"/>
      <x:c r="Z393" s="55"/>
      <x:c r="AA393" s="55"/>
      <x:c r="AB393" s="55" t="str">
        <x:f>IF(C393="","", "Напиши " &amp; AA393 &amp; " за бизнес: " &amp; C393 &amp; ". Тип: " &amp; D393 &amp; ". Град: " &amp; E393 &amp; ". Проблем: " &amp; L393 &amp; ". Предложение: " &amp; M393 &amp; ". Етап: " &amp; N393 &amp; ". Бележки: " &amp; Y393)</x:f>
      </x:c>
      <x:c r="AC393" s="55"/>
    </x:row>
    <x:row r="394">
      <x:c r="A394" s="55"/>
      <x:c r="B394" s="55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55"/>
      <x:c r="S394" s="55" t="str">
        <x:f>IF(C394="","",IFERROR(Q394*R394/100,""))</x:f>
      </x:c>
      <x:c r="T394" s="55"/>
      <x:c r="U394" s="55"/>
      <x:c r="V394" s="55" t="str">
        <x:f>IF(U394="","",U394-TODAY())</x:f>
      </x:c>
      <x:c r="W394" s="55" t="str">
        <x:f>IF(AND(U394&lt;&gt;"",U394&lt;TODAY(),O394="Активен"),"ДА","")</x:f>
      </x:c>
      <x:c r="X394" s="55"/>
      <x:c r="Y394" s="55"/>
      <x:c r="Z394" s="55"/>
      <x:c r="AA394" s="55"/>
      <x:c r="AB394" s="55" t="str">
        <x:f>IF(C394="","", "Напиши " &amp; AA394 &amp; " за бизнес: " &amp; C394 &amp; ". Тип: " &amp; D394 &amp; ". Град: " &amp; E394 &amp; ". Проблем: " &amp; L394 &amp; ". Предложение: " &amp; M394 &amp; ". Етап: " &amp; N394 &amp; ". Бележки: " &amp; Y394)</x:f>
      </x:c>
      <x:c r="AC394" s="55"/>
    </x:row>
    <x:row r="395">
      <x:c r="A395" s="55"/>
      <x:c r="B395" s="55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55"/>
      <x:c r="S395" s="55" t="str">
        <x:f>IF(C395="","",IFERROR(Q395*R395/100,""))</x:f>
      </x:c>
      <x:c r="T395" s="55"/>
      <x:c r="U395" s="55"/>
      <x:c r="V395" s="55" t="str">
        <x:f>IF(U395="","",U395-TODAY())</x:f>
      </x:c>
      <x:c r="W395" s="55" t="str">
        <x:f>IF(AND(U395&lt;&gt;"",U395&lt;TODAY(),O395="Активен"),"ДА","")</x:f>
      </x:c>
      <x:c r="X395" s="55"/>
      <x:c r="Y395" s="55"/>
      <x:c r="Z395" s="55"/>
      <x:c r="AA395" s="55"/>
      <x:c r="AB395" s="55" t="str">
        <x:f>IF(C395="","", "Напиши " &amp; AA395 &amp; " за бизнес: " &amp; C395 &amp; ". Тип: " &amp; D395 &amp; ". Град: " &amp; E395 &amp; ". Проблем: " &amp; L395 &amp; ". Предложение: " &amp; M395 &amp; ". Етап: " &amp; N395 &amp; ". Бележки: " &amp; Y395)</x:f>
      </x:c>
      <x:c r="AC395" s="55"/>
    </x:row>
    <x:row r="396">
      <x:c r="A396" s="55"/>
      <x:c r="B396" s="55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55"/>
      <x:c r="S396" s="55" t="str">
        <x:f>IF(C396="","",IFERROR(Q396*R396/100,""))</x:f>
      </x:c>
      <x:c r="T396" s="55"/>
      <x:c r="U396" s="55"/>
      <x:c r="V396" s="55" t="str">
        <x:f>IF(U396="","",U396-TODAY())</x:f>
      </x:c>
      <x:c r="W396" s="55" t="str">
        <x:f>IF(AND(U396&lt;&gt;"",U396&lt;TODAY(),O396="Активен"),"ДА","")</x:f>
      </x:c>
      <x:c r="X396" s="55"/>
      <x:c r="Y396" s="55"/>
      <x:c r="Z396" s="55"/>
      <x:c r="AA396" s="55"/>
      <x:c r="AB396" s="55" t="str">
        <x:f>IF(C396="","", "Напиши " &amp; AA396 &amp; " за бизнес: " &amp; C396 &amp; ". Тип: " &amp; D396 &amp; ". Град: " &amp; E396 &amp; ". Проблем: " &amp; L396 &amp; ". Предложение: " &amp; M396 &amp; ". Етап: " &amp; N396 &amp; ". Бележки: " &amp; Y396)</x:f>
      </x:c>
      <x:c r="AC396" s="55"/>
    </x:row>
    <x:row r="397">
      <x:c r="A397" s="55"/>
      <x:c r="B397" s="55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55"/>
      <x:c r="S397" s="55" t="str">
        <x:f>IF(C397="","",IFERROR(Q397*R397/100,""))</x:f>
      </x:c>
      <x:c r="T397" s="55"/>
      <x:c r="U397" s="55"/>
      <x:c r="V397" s="55" t="str">
        <x:f>IF(U397="","",U397-TODAY())</x:f>
      </x:c>
      <x:c r="W397" s="55" t="str">
        <x:f>IF(AND(U397&lt;&gt;"",U397&lt;TODAY(),O397="Активен"),"ДА","")</x:f>
      </x:c>
      <x:c r="X397" s="55"/>
      <x:c r="Y397" s="55"/>
      <x:c r="Z397" s="55"/>
      <x:c r="AA397" s="55"/>
      <x:c r="AB397" s="55" t="str">
        <x:f>IF(C397="","", "Напиши " &amp; AA397 &amp; " за бизнес: " &amp; C397 &amp; ". Тип: " &amp; D397 &amp; ". Град: " &amp; E397 &amp; ". Проблем: " &amp; L397 &amp; ". Предложение: " &amp; M397 &amp; ". Етап: " &amp; N397 &amp; ". Бележки: " &amp; Y397)</x:f>
      </x:c>
      <x:c r="AC397" s="55"/>
    </x:row>
    <x:row r="398">
      <x:c r="A398" s="55"/>
      <x:c r="B398" s="55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55"/>
      <x:c r="S398" s="55" t="str">
        <x:f>IF(C398="","",IFERROR(Q398*R398/100,""))</x:f>
      </x:c>
      <x:c r="T398" s="55"/>
      <x:c r="U398" s="55"/>
      <x:c r="V398" s="55" t="str">
        <x:f>IF(U398="","",U398-TODAY())</x:f>
      </x:c>
      <x:c r="W398" s="55" t="str">
        <x:f>IF(AND(U398&lt;&gt;"",U398&lt;TODAY(),O398="Активен"),"ДА","")</x:f>
      </x:c>
      <x:c r="X398" s="55"/>
      <x:c r="Y398" s="55"/>
      <x:c r="Z398" s="55"/>
      <x:c r="AA398" s="55"/>
      <x:c r="AB398" s="55" t="str">
        <x:f>IF(C398="","", "Напиши " &amp; AA398 &amp; " за бизнес: " &amp; C398 &amp; ". Тип: " &amp; D398 &amp; ". Град: " &amp; E398 &amp; ". Проблем: " &amp; L398 &amp; ". Предложение: " &amp; M398 &amp; ". Етап: " &amp; N398 &amp; ". Бележки: " &amp; Y398)</x:f>
      </x:c>
      <x:c r="AC398" s="55"/>
    </x:row>
    <x:row r="399">
      <x:c r="A399" s="55"/>
      <x:c r="B399" s="55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55"/>
      <x:c r="S399" s="55" t="str">
        <x:f>IF(C399="","",IFERROR(Q399*R399/100,""))</x:f>
      </x:c>
      <x:c r="T399" s="55"/>
      <x:c r="U399" s="55"/>
      <x:c r="V399" s="55" t="str">
        <x:f>IF(U399="","",U399-TODAY())</x:f>
      </x:c>
      <x:c r="W399" s="55" t="str">
        <x:f>IF(AND(U399&lt;&gt;"",U399&lt;TODAY(),O399="Активен"),"ДА","")</x:f>
      </x:c>
      <x:c r="X399" s="55"/>
      <x:c r="Y399" s="55"/>
      <x:c r="Z399" s="55"/>
      <x:c r="AA399" s="55"/>
      <x:c r="AB399" s="55" t="str">
        <x:f>IF(C399="","", "Напиши " &amp; AA399 &amp; " за бизнес: " &amp; C399 &amp; ". Тип: " &amp; D399 &amp; ". Град: " &amp; E399 &amp; ". Проблем: " &amp; L399 &amp; ". Предложение: " &amp; M399 &amp; ". Етап: " &amp; N399 &amp; ". Бележки: " &amp; Y399)</x:f>
      </x:c>
      <x:c r="AC399" s="55"/>
    </x:row>
    <x:row r="400">
      <x:c r="A400" s="55"/>
      <x:c r="B400" s="55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55"/>
      <x:c r="S400" s="55" t="str">
        <x:f>IF(C400="","",IFERROR(Q400*R400/100,""))</x:f>
      </x:c>
      <x:c r="T400" s="55"/>
      <x:c r="U400" s="55"/>
      <x:c r="V400" s="55" t="str">
        <x:f>IF(U400="","",U400-TODAY())</x:f>
      </x:c>
      <x:c r="W400" s="55" t="str">
        <x:f>IF(AND(U400&lt;&gt;"",U400&lt;TODAY(),O400="Активен"),"ДА","")</x:f>
      </x:c>
      <x:c r="X400" s="55"/>
      <x:c r="Y400" s="55"/>
      <x:c r="Z400" s="55"/>
      <x:c r="AA400" s="55"/>
      <x:c r="AB400" s="55" t="str">
        <x:f>IF(C400="","", "Напиши " &amp; AA400 &amp; " за бизнес: " &amp; C400 &amp; ". Тип: " &amp; D400 &amp; ". Град: " &amp; E400 &amp; ". Проблем: " &amp; L400 &amp; ". Предложение: " &amp; M400 &amp; ". Етап: " &amp; N400 &amp; ". Бележки: " &amp; Y400)</x:f>
      </x:c>
      <x:c r="AC400" s="55"/>
    </x:row>
    <x:row r="401">
      <x:c r="A401" s="55"/>
      <x:c r="B401" s="55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55"/>
      <x:c r="S401" s="55" t="str">
        <x:f>IF(C401="","",IFERROR(Q401*R401/100,""))</x:f>
      </x:c>
      <x:c r="T401" s="55"/>
      <x:c r="U401" s="55"/>
      <x:c r="V401" s="55" t="str">
        <x:f>IF(U401="","",U401-TODAY())</x:f>
      </x:c>
      <x:c r="W401" s="55" t="str">
        <x:f>IF(AND(U401&lt;&gt;"",U401&lt;TODAY(),O401="Активен"),"ДА","")</x:f>
      </x:c>
      <x:c r="X401" s="55"/>
      <x:c r="Y401" s="55"/>
      <x:c r="Z401" s="55"/>
      <x:c r="AA401" s="55"/>
      <x:c r="AB401" s="55" t="str">
        <x:f>IF(C401="","", "Напиши " &amp; AA401 &amp; " за бизнес: " &amp; C401 &amp; ". Тип: " &amp; D401 &amp; ". Град: " &amp; E401 &amp; ". Проблем: " &amp; L401 &amp; ". Предложение: " &amp; M401 &amp; ". Етап: " &amp; N401 &amp; ". Бележки: " &amp; Y401)</x:f>
      </x:c>
      <x:c r="AC401" s="55"/>
    </x:row>
    <x:row r="402">
      <x:c r="A402" s="55"/>
      <x:c r="B402" s="55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55"/>
      <x:c r="S402" s="55" t="str">
        <x:f>IF(C402="","",IFERROR(Q402*R402/100,""))</x:f>
      </x:c>
      <x:c r="T402" s="55"/>
      <x:c r="U402" s="55"/>
      <x:c r="V402" s="55" t="str">
        <x:f>IF(U402="","",U402-TODAY())</x:f>
      </x:c>
      <x:c r="W402" s="55" t="str">
        <x:f>IF(AND(U402&lt;&gt;"",U402&lt;TODAY(),O402="Активен"),"ДА","")</x:f>
      </x:c>
      <x:c r="X402" s="55"/>
      <x:c r="Y402" s="55"/>
      <x:c r="Z402" s="55"/>
      <x:c r="AA402" s="55"/>
      <x:c r="AB402" s="55" t="str">
        <x:f>IF(C402="","", "Напиши " &amp; AA402 &amp; " за бизнес: " &amp; C402 &amp; ". Тип: " &amp; D402 &amp; ". Град: " &amp; E402 &amp; ". Проблем: " &amp; L402 &amp; ". Предложение: " &amp; M402 &amp; ". Етап: " &amp; N402 &amp; ". Бележки: " &amp; Y402)</x:f>
      </x:c>
      <x:c r="AC402" s="55"/>
    </x:row>
    <x:row r="403">
      <x:c r="A403" s="55"/>
      <x:c r="B403" s="55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55"/>
      <x:c r="S403" s="55" t="str">
        <x:f>IF(C403="","",IFERROR(Q403*R403/100,""))</x:f>
      </x:c>
      <x:c r="T403" s="55"/>
      <x:c r="U403" s="55"/>
      <x:c r="V403" s="55" t="str">
        <x:f>IF(U403="","",U403-TODAY())</x:f>
      </x:c>
      <x:c r="W403" s="55" t="str">
        <x:f>IF(AND(U403&lt;&gt;"",U403&lt;TODAY(),O403="Активен"),"ДА","")</x:f>
      </x:c>
      <x:c r="X403" s="55"/>
      <x:c r="Y403" s="55"/>
      <x:c r="Z403" s="55"/>
      <x:c r="AA403" s="55"/>
      <x:c r="AB403" s="55" t="str">
        <x:f>IF(C403="","", "Напиши " &amp; AA403 &amp; " за бизнес: " &amp; C403 &amp; ". Тип: " &amp; D403 &amp; ". Град: " &amp; E403 &amp; ". Проблем: " &amp; L403 &amp; ". Предложение: " &amp; M403 &amp; ". Етап: " &amp; N403 &amp; ". Бележки: " &amp; Y403)</x:f>
      </x:c>
      <x:c r="AC403" s="55"/>
    </x:row>
    <x:row r="404">
      <x:c r="A404" s="55"/>
      <x:c r="B404" s="55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55"/>
      <x:c r="S404" s="55" t="str">
        <x:f>IF(C404="","",IFERROR(Q404*R404/100,""))</x:f>
      </x:c>
      <x:c r="T404" s="55"/>
      <x:c r="U404" s="55"/>
      <x:c r="V404" s="55" t="str">
        <x:f>IF(U404="","",U404-TODAY())</x:f>
      </x:c>
      <x:c r="W404" s="55" t="str">
        <x:f>IF(AND(U404&lt;&gt;"",U404&lt;TODAY(),O404="Активен"),"ДА","")</x:f>
      </x:c>
      <x:c r="X404" s="55"/>
      <x:c r="Y404" s="55"/>
      <x:c r="Z404" s="55"/>
      <x:c r="AA404" s="55"/>
      <x:c r="AB404" s="55" t="str">
        <x:f>IF(C404="","", "Напиши " &amp; AA404 &amp; " за бизнес: " &amp; C404 &amp; ". Тип: " &amp; D404 &amp; ". Град: " &amp; E404 &amp; ". Проблем: " &amp; L404 &amp; ". Предложение: " &amp; M404 &amp; ". Етап: " &amp; N404 &amp; ". Бележки: " &amp; Y404)</x:f>
      </x:c>
      <x:c r="AC404" s="55"/>
    </x:row>
    <x:row r="405">
      <x:c r="A405" s="55"/>
      <x:c r="B405" s="55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55"/>
      <x:c r="S405" s="55" t="str">
        <x:f>IF(C405="","",IFERROR(Q405*R405/100,""))</x:f>
      </x:c>
      <x:c r="T405" s="55"/>
      <x:c r="U405" s="55"/>
      <x:c r="V405" s="55" t="str">
        <x:f>IF(U405="","",U405-TODAY())</x:f>
      </x:c>
      <x:c r="W405" s="55" t="str">
        <x:f>IF(AND(U405&lt;&gt;"",U405&lt;TODAY(),O405="Активен"),"ДА","")</x:f>
      </x:c>
      <x:c r="X405" s="55"/>
      <x:c r="Y405" s="55"/>
      <x:c r="Z405" s="55"/>
      <x:c r="AA405" s="55"/>
      <x:c r="AB405" s="55" t="str">
        <x:f>IF(C405="","", "Напиши " &amp; AA405 &amp; " за бизнес: " &amp; C405 &amp; ". Тип: " &amp; D405 &amp; ". Град: " &amp; E405 &amp; ". Проблем: " &amp; L405 &amp; ". Предложение: " &amp; M405 &amp; ". Етап: " &amp; N405 &amp; ". Бележки: " &amp; Y405)</x:f>
      </x:c>
      <x:c r="AC405" s="55"/>
    </x:row>
    <x:row r="406">
      <x:c r="A406" s="55"/>
      <x:c r="B406" s="55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55"/>
      <x:c r="S406" s="55" t="str">
        <x:f>IF(C406="","",IFERROR(Q406*R406/100,""))</x:f>
      </x:c>
      <x:c r="T406" s="55"/>
      <x:c r="U406" s="55"/>
      <x:c r="V406" s="55" t="str">
        <x:f>IF(U406="","",U406-TODAY())</x:f>
      </x:c>
      <x:c r="W406" s="55" t="str">
        <x:f>IF(AND(U406&lt;&gt;"",U406&lt;TODAY(),O406="Активен"),"ДА","")</x:f>
      </x:c>
      <x:c r="X406" s="55"/>
      <x:c r="Y406" s="55"/>
      <x:c r="Z406" s="55"/>
      <x:c r="AA406" s="55"/>
      <x:c r="AB406" s="55" t="str">
        <x:f>IF(C406="","", "Напиши " &amp; AA406 &amp; " за бизнес: " &amp; C406 &amp; ". Тип: " &amp; D406 &amp; ". Град: " &amp; E406 &amp; ". Проблем: " &amp; L406 &amp; ". Предложение: " &amp; M406 &amp; ". Етап: " &amp; N406 &amp; ". Бележки: " &amp; Y406)</x:f>
      </x:c>
      <x:c r="AC406" s="55"/>
    </x:row>
    <x:row r="407">
      <x:c r="A407" s="55"/>
      <x:c r="B407" s="55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55"/>
      <x:c r="S407" s="55" t="str">
        <x:f>IF(C407="","",IFERROR(Q407*R407/100,""))</x:f>
      </x:c>
      <x:c r="T407" s="55"/>
      <x:c r="U407" s="55"/>
      <x:c r="V407" s="55" t="str">
        <x:f>IF(U407="","",U407-TODAY())</x:f>
      </x:c>
      <x:c r="W407" s="55" t="str">
        <x:f>IF(AND(U407&lt;&gt;"",U407&lt;TODAY(),O407="Активен"),"ДА","")</x:f>
      </x:c>
      <x:c r="X407" s="55"/>
      <x:c r="Y407" s="55"/>
      <x:c r="Z407" s="55"/>
      <x:c r="AA407" s="55"/>
      <x:c r="AB407" s="55" t="str">
        <x:f>IF(C407="","", "Напиши " &amp; AA407 &amp; " за бизнес: " &amp; C407 &amp; ". Тип: " &amp; D407 &amp; ". Град: " &amp; E407 &amp; ". Проблем: " &amp; L407 &amp; ". Предложение: " &amp; M407 &amp; ". Етап: " &amp; N407 &amp; ". Бележки: " &amp; Y407)</x:f>
      </x:c>
      <x:c r="AC407" s="55"/>
    </x:row>
    <x:row r="408">
      <x:c r="A408" s="55"/>
      <x:c r="B408" s="55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55"/>
      <x:c r="S408" s="55" t="str">
        <x:f>IF(C408="","",IFERROR(Q408*R408/100,""))</x:f>
      </x:c>
      <x:c r="T408" s="55"/>
      <x:c r="U408" s="55"/>
      <x:c r="V408" s="55" t="str">
        <x:f>IF(U408="","",U408-TODAY())</x:f>
      </x:c>
      <x:c r="W408" s="55" t="str">
        <x:f>IF(AND(U408&lt;&gt;"",U408&lt;TODAY(),O408="Активен"),"ДА","")</x:f>
      </x:c>
      <x:c r="X408" s="55"/>
      <x:c r="Y408" s="55"/>
      <x:c r="Z408" s="55"/>
      <x:c r="AA408" s="55"/>
      <x:c r="AB408" s="55" t="str">
        <x:f>IF(C408="","", "Напиши " &amp; AA408 &amp; " за бизнес: " &amp; C408 &amp; ". Тип: " &amp; D408 &amp; ". Град: " &amp; E408 &amp; ". Проблем: " &amp; L408 &amp; ". Предложение: " &amp; M408 &amp; ". Етап: " &amp; N408 &amp; ". Бележки: " &amp; Y408)</x:f>
      </x:c>
      <x:c r="AC408" s="55"/>
    </x:row>
    <x:row r="409">
      <x:c r="A409" s="55"/>
      <x:c r="B409" s="55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55"/>
      <x:c r="S409" s="55" t="str">
        <x:f>IF(C409="","",IFERROR(Q409*R409/100,""))</x:f>
      </x:c>
      <x:c r="T409" s="55"/>
      <x:c r="U409" s="55"/>
      <x:c r="V409" s="55" t="str">
        <x:f>IF(U409="","",U409-TODAY())</x:f>
      </x:c>
      <x:c r="W409" s="55" t="str">
        <x:f>IF(AND(U409&lt;&gt;"",U409&lt;TODAY(),O409="Активен"),"ДА","")</x:f>
      </x:c>
      <x:c r="X409" s="55"/>
      <x:c r="Y409" s="55"/>
      <x:c r="Z409" s="55"/>
      <x:c r="AA409" s="55"/>
      <x:c r="AB409" s="55" t="str">
        <x:f>IF(C409="","", "Напиши " &amp; AA409 &amp; " за бизнес: " &amp; C409 &amp; ". Тип: " &amp; D409 &amp; ". Град: " &amp; E409 &amp; ". Проблем: " &amp; L409 &amp; ". Предложение: " &amp; M409 &amp; ". Етап: " &amp; N409 &amp; ". Бележки: " &amp; Y409)</x:f>
      </x:c>
      <x:c r="AC409" s="55"/>
    </x:row>
    <x:row r="410">
      <x:c r="A410" s="55"/>
      <x:c r="B410" s="55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55"/>
      <x:c r="S410" s="55" t="str">
        <x:f>IF(C410="","",IFERROR(Q410*R410/100,""))</x:f>
      </x:c>
      <x:c r="T410" s="55"/>
      <x:c r="U410" s="55"/>
      <x:c r="V410" s="55" t="str">
        <x:f>IF(U410="","",U410-TODAY())</x:f>
      </x:c>
      <x:c r="W410" s="55" t="str">
        <x:f>IF(AND(U410&lt;&gt;"",U410&lt;TODAY(),O410="Активен"),"ДА","")</x:f>
      </x:c>
      <x:c r="X410" s="55"/>
      <x:c r="Y410" s="55"/>
      <x:c r="Z410" s="55"/>
      <x:c r="AA410" s="55"/>
      <x:c r="AB410" s="55" t="str">
        <x:f>IF(C410="","", "Напиши " &amp; AA410 &amp; " за бизнес: " &amp; C410 &amp; ". Тип: " &amp; D410 &amp; ". Град: " &amp; E410 &amp; ". Проблем: " &amp; L410 &amp; ". Предложение: " &amp; M410 &amp; ". Етап: " &amp; N410 &amp; ". Бележки: " &amp; Y410)</x:f>
      </x:c>
      <x:c r="AC410" s="55"/>
    </x:row>
    <x:row r="411">
      <x:c r="A411" s="55"/>
      <x:c r="B411" s="55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55"/>
      <x:c r="S411" s="55" t="str">
        <x:f>IF(C411="","",IFERROR(Q411*R411/100,""))</x:f>
      </x:c>
      <x:c r="T411" s="55"/>
      <x:c r="U411" s="55"/>
      <x:c r="V411" s="55" t="str">
        <x:f>IF(U411="","",U411-TODAY())</x:f>
      </x:c>
      <x:c r="W411" s="55" t="str">
        <x:f>IF(AND(U411&lt;&gt;"",U411&lt;TODAY(),O411="Активен"),"ДА","")</x:f>
      </x:c>
      <x:c r="X411" s="55"/>
      <x:c r="Y411" s="55"/>
      <x:c r="Z411" s="55"/>
      <x:c r="AA411" s="55"/>
      <x:c r="AB411" s="55" t="str">
        <x:f>IF(C411="","", "Напиши " &amp; AA411 &amp; " за бизнес: " &amp; C411 &amp; ". Тип: " &amp; D411 &amp; ". Град: " &amp; E411 &amp; ". Проблем: " &amp; L411 &amp; ". Предложение: " &amp; M411 &amp; ". Етап: " &amp; N411 &amp; ". Бележки: " &amp; Y411)</x:f>
      </x:c>
      <x:c r="AC411" s="55"/>
    </x:row>
    <x:row r="412">
      <x:c r="A412" s="55"/>
      <x:c r="B412" s="55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55"/>
      <x:c r="S412" s="55" t="str">
        <x:f>IF(C412="","",IFERROR(Q412*R412/100,""))</x:f>
      </x:c>
      <x:c r="T412" s="55"/>
      <x:c r="U412" s="55"/>
      <x:c r="V412" s="55" t="str">
        <x:f>IF(U412="","",U412-TODAY())</x:f>
      </x:c>
      <x:c r="W412" s="55" t="str">
        <x:f>IF(AND(U412&lt;&gt;"",U412&lt;TODAY(),O412="Активен"),"ДА","")</x:f>
      </x:c>
      <x:c r="X412" s="55"/>
      <x:c r="Y412" s="55"/>
      <x:c r="Z412" s="55"/>
      <x:c r="AA412" s="55"/>
      <x:c r="AB412" s="55" t="str">
        <x:f>IF(C412="","", "Напиши " &amp; AA412 &amp; " за бизнес: " &amp; C412 &amp; ". Тип: " &amp; D412 &amp; ". Град: " &amp; E412 &amp; ". Проблем: " &amp; L412 &amp; ". Предложение: " &amp; M412 &amp; ". Етап: " &amp; N412 &amp; ". Бележки: " &amp; Y412)</x:f>
      </x:c>
      <x:c r="AC412" s="55"/>
    </x:row>
    <x:row r="413">
      <x:c r="A413" s="55"/>
      <x:c r="B413" s="55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55"/>
      <x:c r="S413" s="55" t="str">
        <x:f>IF(C413="","",IFERROR(Q413*R413/100,""))</x:f>
      </x:c>
      <x:c r="T413" s="55"/>
      <x:c r="U413" s="55"/>
      <x:c r="V413" s="55" t="str">
        <x:f>IF(U413="","",U413-TODAY())</x:f>
      </x:c>
      <x:c r="W413" s="55" t="str">
        <x:f>IF(AND(U413&lt;&gt;"",U413&lt;TODAY(),O413="Активен"),"ДА","")</x:f>
      </x:c>
      <x:c r="X413" s="55"/>
      <x:c r="Y413" s="55"/>
      <x:c r="Z413" s="55"/>
      <x:c r="AA413" s="55"/>
      <x:c r="AB413" s="55" t="str">
        <x:f>IF(C413="","", "Напиши " &amp; AA413 &amp; " за бизнес: " &amp; C413 &amp; ". Тип: " &amp; D413 &amp; ". Град: " &amp; E413 &amp; ". Проблем: " &amp; L413 &amp; ". Предложение: " &amp; M413 &amp; ". Етап: " &amp; N413 &amp; ". Бележки: " &amp; Y413)</x:f>
      </x:c>
      <x:c r="AC413" s="55"/>
    </x:row>
    <x:row r="414">
      <x:c r="A414" s="55"/>
      <x:c r="B414" s="55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55"/>
      <x:c r="S414" s="55" t="str">
        <x:f>IF(C414="","",IFERROR(Q414*R414/100,""))</x:f>
      </x:c>
      <x:c r="T414" s="55"/>
      <x:c r="U414" s="55"/>
      <x:c r="V414" s="55" t="str">
        <x:f>IF(U414="","",U414-TODAY())</x:f>
      </x:c>
      <x:c r="W414" s="55" t="str">
        <x:f>IF(AND(U414&lt;&gt;"",U414&lt;TODAY(),O414="Активен"),"ДА","")</x:f>
      </x:c>
      <x:c r="X414" s="55"/>
      <x:c r="Y414" s="55"/>
      <x:c r="Z414" s="55"/>
      <x:c r="AA414" s="55"/>
      <x:c r="AB414" s="55" t="str">
        <x:f>IF(C414="","", "Напиши " &amp; AA414 &amp; " за бизнес: " &amp; C414 &amp; ". Тип: " &amp; D414 &amp; ". Град: " &amp; E414 &amp; ". Проблем: " &amp; L414 &amp; ". Предложение: " &amp; M414 &amp; ". Етап: " &amp; N414 &amp; ". Бележки: " &amp; Y414)</x:f>
      </x:c>
      <x:c r="AC414" s="55"/>
    </x:row>
    <x:row r="415">
      <x:c r="A415" s="55"/>
      <x:c r="B415" s="55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55"/>
      <x:c r="S415" s="55" t="str">
        <x:f>IF(C415="","",IFERROR(Q415*R415/100,""))</x:f>
      </x:c>
      <x:c r="T415" s="55"/>
      <x:c r="U415" s="55"/>
      <x:c r="V415" s="55" t="str">
        <x:f>IF(U415="","",U415-TODAY())</x:f>
      </x:c>
      <x:c r="W415" s="55" t="str">
        <x:f>IF(AND(U415&lt;&gt;"",U415&lt;TODAY(),O415="Активен"),"ДА","")</x:f>
      </x:c>
      <x:c r="X415" s="55"/>
      <x:c r="Y415" s="55"/>
      <x:c r="Z415" s="55"/>
      <x:c r="AA415" s="55"/>
      <x:c r="AB415" s="55" t="str">
        <x:f>IF(C415="","", "Напиши " &amp; AA415 &amp; " за бизнес: " &amp; C415 &amp; ". Тип: " &amp; D415 &amp; ". Град: " &amp; E415 &amp; ". Проблем: " &amp; L415 &amp; ". Предложение: " &amp; M415 &amp; ". Етап: " &amp; N415 &amp; ". Бележки: " &amp; Y415)</x:f>
      </x:c>
      <x:c r="AC415" s="55"/>
    </x:row>
    <x:row r="416">
      <x:c r="A416" s="55"/>
      <x:c r="B416" s="55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55"/>
      <x:c r="S416" s="55" t="str">
        <x:f>IF(C416="","",IFERROR(Q416*R416/100,""))</x:f>
      </x:c>
      <x:c r="T416" s="55"/>
      <x:c r="U416" s="55"/>
      <x:c r="V416" s="55" t="str">
        <x:f>IF(U416="","",U416-TODAY())</x:f>
      </x:c>
      <x:c r="W416" s="55" t="str">
        <x:f>IF(AND(U416&lt;&gt;"",U416&lt;TODAY(),O416="Активен"),"ДА","")</x:f>
      </x:c>
      <x:c r="X416" s="55"/>
      <x:c r="Y416" s="55"/>
      <x:c r="Z416" s="55"/>
      <x:c r="AA416" s="55"/>
      <x:c r="AB416" s="55" t="str">
        <x:f>IF(C416="","", "Напиши " &amp; AA416 &amp; " за бизнес: " &amp; C416 &amp; ". Тип: " &amp; D416 &amp; ". Град: " &amp; E416 &amp; ". Проблем: " &amp; L416 &amp; ". Предложение: " &amp; M416 &amp; ". Етап: " &amp; N416 &amp; ". Бележки: " &amp; Y416)</x:f>
      </x:c>
      <x:c r="AC416" s="55"/>
    </x:row>
    <x:row r="417">
      <x:c r="A417" s="55"/>
      <x:c r="B417" s="55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55"/>
      <x:c r="S417" s="55" t="str">
        <x:f>IF(C417="","",IFERROR(Q417*R417/100,""))</x:f>
      </x:c>
      <x:c r="T417" s="55"/>
      <x:c r="U417" s="55"/>
      <x:c r="V417" s="55" t="str">
        <x:f>IF(U417="","",U417-TODAY())</x:f>
      </x:c>
      <x:c r="W417" s="55" t="str">
        <x:f>IF(AND(U417&lt;&gt;"",U417&lt;TODAY(),O417="Активен"),"ДА","")</x:f>
      </x:c>
      <x:c r="X417" s="55"/>
      <x:c r="Y417" s="55"/>
      <x:c r="Z417" s="55"/>
      <x:c r="AA417" s="55"/>
      <x:c r="AB417" s="55" t="str">
        <x:f>IF(C417="","", "Напиши " &amp; AA417 &amp; " за бизнес: " &amp; C417 &amp; ". Тип: " &amp; D417 &amp; ". Град: " &amp; E417 &amp; ". Проблем: " &amp; L417 &amp; ". Предложение: " &amp; M417 &amp; ". Етап: " &amp; N417 &amp; ". Бележки: " &amp; Y417)</x:f>
      </x:c>
      <x:c r="AC417" s="55"/>
    </x:row>
    <x:row r="418">
      <x:c r="A418" s="55"/>
      <x:c r="B418" s="55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55"/>
      <x:c r="S418" s="55" t="str">
        <x:f>IF(C418="","",IFERROR(Q418*R418/100,""))</x:f>
      </x:c>
      <x:c r="T418" s="55"/>
      <x:c r="U418" s="55"/>
      <x:c r="V418" s="55" t="str">
        <x:f>IF(U418="","",U418-TODAY())</x:f>
      </x:c>
      <x:c r="W418" s="55" t="str">
        <x:f>IF(AND(U418&lt;&gt;"",U418&lt;TODAY(),O418="Активен"),"ДА","")</x:f>
      </x:c>
      <x:c r="X418" s="55"/>
      <x:c r="Y418" s="55"/>
      <x:c r="Z418" s="55"/>
      <x:c r="AA418" s="55"/>
      <x:c r="AB418" s="55" t="str">
        <x:f>IF(C418="","", "Напиши " &amp; AA418 &amp; " за бизнес: " &amp; C418 &amp; ". Тип: " &amp; D418 &amp; ". Град: " &amp; E418 &amp; ". Проблем: " &amp; L418 &amp; ". Предложение: " &amp; M418 &amp; ". Етап: " &amp; N418 &amp; ". Бележки: " &amp; Y418)</x:f>
      </x:c>
      <x:c r="AC418" s="55"/>
    </x:row>
    <x:row r="419">
      <x:c r="A419" s="55"/>
      <x:c r="B419" s="55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55"/>
      <x:c r="S419" s="55" t="str">
        <x:f>IF(C419="","",IFERROR(Q419*R419/100,""))</x:f>
      </x:c>
      <x:c r="T419" s="55"/>
      <x:c r="U419" s="55"/>
      <x:c r="V419" s="55" t="str">
        <x:f>IF(U419="","",U419-TODAY())</x:f>
      </x:c>
      <x:c r="W419" s="55" t="str">
        <x:f>IF(AND(U419&lt;&gt;"",U419&lt;TODAY(),O419="Активен"),"ДА","")</x:f>
      </x:c>
      <x:c r="X419" s="55"/>
      <x:c r="Y419" s="55"/>
      <x:c r="Z419" s="55"/>
      <x:c r="AA419" s="55"/>
      <x:c r="AB419" s="55" t="str">
        <x:f>IF(C419="","", "Напиши " &amp; AA419 &amp; " за бизнес: " &amp; C419 &amp; ". Тип: " &amp; D419 &amp; ". Град: " &amp; E419 &amp; ". Проблем: " &amp; L419 &amp; ". Предложение: " &amp; M419 &amp; ". Етап: " &amp; N419 &amp; ". Бележки: " &amp; Y419)</x:f>
      </x:c>
      <x:c r="AC419" s="55"/>
    </x:row>
    <x:row r="420">
      <x:c r="A420" s="55"/>
      <x:c r="B420" s="55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55"/>
      <x:c r="S420" s="55" t="str">
        <x:f>IF(C420="","",IFERROR(Q420*R420/100,""))</x:f>
      </x:c>
      <x:c r="T420" s="55"/>
      <x:c r="U420" s="55"/>
      <x:c r="V420" s="55" t="str">
        <x:f>IF(U420="","",U420-TODAY())</x:f>
      </x:c>
      <x:c r="W420" s="55" t="str">
        <x:f>IF(AND(U420&lt;&gt;"",U420&lt;TODAY(),O420="Активен"),"ДА","")</x:f>
      </x:c>
      <x:c r="X420" s="55"/>
      <x:c r="Y420" s="55"/>
      <x:c r="Z420" s="55"/>
      <x:c r="AA420" s="55"/>
      <x:c r="AB420" s="55" t="str">
        <x:f>IF(C420="","", "Напиши " &amp; AA420 &amp; " за бизнес: " &amp; C420 &amp; ". Тип: " &amp; D420 &amp; ". Град: " &amp; E420 &amp; ". Проблем: " &amp; L420 &amp; ". Предложение: " &amp; M420 &amp; ". Етап: " &amp; N420 &amp; ". Бележки: " &amp; Y420)</x:f>
      </x:c>
      <x:c r="AC420" s="55"/>
    </x:row>
    <x:row r="421">
      <x:c r="A421" s="55"/>
      <x:c r="B421" s="55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55"/>
      <x:c r="S421" s="55" t="str">
        <x:f>IF(C421="","",IFERROR(Q421*R421/100,""))</x:f>
      </x:c>
      <x:c r="T421" s="55"/>
      <x:c r="U421" s="55"/>
      <x:c r="V421" s="55" t="str">
        <x:f>IF(U421="","",U421-TODAY())</x:f>
      </x:c>
      <x:c r="W421" s="55" t="str">
        <x:f>IF(AND(U421&lt;&gt;"",U421&lt;TODAY(),O421="Активен"),"ДА","")</x:f>
      </x:c>
      <x:c r="X421" s="55"/>
      <x:c r="Y421" s="55"/>
      <x:c r="Z421" s="55"/>
      <x:c r="AA421" s="55"/>
      <x:c r="AB421" s="55" t="str">
        <x:f>IF(C421="","", "Напиши " &amp; AA421 &amp; " за бизнес: " &amp; C421 &amp; ". Тип: " &amp; D421 &amp; ". Град: " &amp; E421 &amp; ". Проблем: " &amp; L421 &amp; ". Предложение: " &amp; M421 &amp; ". Етап: " &amp; N421 &amp; ". Бележки: " &amp; Y421)</x:f>
      </x:c>
      <x:c r="AC421" s="55"/>
    </x:row>
    <x:row r="422">
      <x:c r="A422" s="55"/>
      <x:c r="B422" s="55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55"/>
      <x:c r="S422" s="55" t="str">
        <x:f>IF(C422="","",IFERROR(Q422*R422/100,""))</x:f>
      </x:c>
      <x:c r="T422" s="55"/>
      <x:c r="U422" s="55"/>
      <x:c r="V422" s="55" t="str">
        <x:f>IF(U422="","",U422-TODAY())</x:f>
      </x:c>
      <x:c r="W422" s="55" t="str">
        <x:f>IF(AND(U422&lt;&gt;"",U422&lt;TODAY(),O422="Активен"),"ДА","")</x:f>
      </x:c>
      <x:c r="X422" s="55"/>
      <x:c r="Y422" s="55"/>
      <x:c r="Z422" s="55"/>
      <x:c r="AA422" s="55"/>
      <x:c r="AB422" s="55" t="str">
        <x:f>IF(C422="","", "Напиши " &amp; AA422 &amp; " за бизнес: " &amp; C422 &amp; ". Тип: " &amp; D422 &amp; ". Град: " &amp; E422 &amp; ". Проблем: " &amp; L422 &amp; ". Предложение: " &amp; M422 &amp; ". Етап: " &amp; N422 &amp; ". Бележки: " &amp; Y422)</x:f>
      </x:c>
      <x:c r="AC422" s="55"/>
    </x:row>
    <x:row r="423">
      <x:c r="A423" s="55"/>
      <x:c r="B423" s="55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55"/>
      <x:c r="S423" s="55" t="str">
        <x:f>IF(C423="","",IFERROR(Q423*R423/100,""))</x:f>
      </x:c>
      <x:c r="T423" s="55"/>
      <x:c r="U423" s="55"/>
      <x:c r="V423" s="55" t="str">
        <x:f>IF(U423="","",U423-TODAY())</x:f>
      </x:c>
      <x:c r="W423" s="55" t="str">
        <x:f>IF(AND(U423&lt;&gt;"",U423&lt;TODAY(),O423="Активен"),"ДА","")</x:f>
      </x:c>
      <x:c r="X423" s="55"/>
      <x:c r="Y423" s="55"/>
      <x:c r="Z423" s="55"/>
      <x:c r="AA423" s="55"/>
      <x:c r="AB423" s="55" t="str">
        <x:f>IF(C423="","", "Напиши " &amp; AA423 &amp; " за бизнес: " &amp; C423 &amp; ". Тип: " &amp; D423 &amp; ". Град: " &amp; E423 &amp; ". Проблем: " &amp; L423 &amp; ". Предложение: " &amp; M423 &amp; ". Етап: " &amp; N423 &amp; ". Бележки: " &amp; Y423)</x:f>
      </x:c>
      <x:c r="AC423" s="55"/>
    </x:row>
    <x:row r="424">
      <x:c r="A424" s="55"/>
      <x:c r="B424" s="55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55"/>
      <x:c r="S424" s="55" t="str">
        <x:f>IF(C424="","",IFERROR(Q424*R424/100,""))</x:f>
      </x:c>
      <x:c r="T424" s="55"/>
      <x:c r="U424" s="55"/>
      <x:c r="V424" s="55" t="str">
        <x:f>IF(U424="","",U424-TODAY())</x:f>
      </x:c>
      <x:c r="W424" s="55" t="str">
        <x:f>IF(AND(U424&lt;&gt;"",U424&lt;TODAY(),O424="Активен"),"ДА","")</x:f>
      </x:c>
      <x:c r="X424" s="55"/>
      <x:c r="Y424" s="55"/>
      <x:c r="Z424" s="55"/>
      <x:c r="AA424" s="55"/>
      <x:c r="AB424" s="55" t="str">
        <x:f>IF(C424="","", "Напиши " &amp; AA424 &amp; " за бизнес: " &amp; C424 &amp; ". Тип: " &amp; D424 &amp; ". Град: " &amp; E424 &amp; ". Проблем: " &amp; L424 &amp; ". Предложение: " &amp; M424 &amp; ". Етап: " &amp; N424 &amp; ". Бележки: " &amp; Y424)</x:f>
      </x:c>
      <x:c r="AC424" s="55"/>
    </x:row>
    <x:row r="425">
      <x:c r="A425" s="55"/>
      <x:c r="B425" s="55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55"/>
      <x:c r="S425" s="55" t="str">
        <x:f>IF(C425="","",IFERROR(Q425*R425/100,""))</x:f>
      </x:c>
      <x:c r="T425" s="55"/>
      <x:c r="U425" s="55"/>
      <x:c r="V425" s="55" t="str">
        <x:f>IF(U425="","",U425-TODAY())</x:f>
      </x:c>
      <x:c r="W425" s="55" t="str">
        <x:f>IF(AND(U425&lt;&gt;"",U425&lt;TODAY(),O425="Активен"),"ДА","")</x:f>
      </x:c>
      <x:c r="X425" s="55"/>
      <x:c r="Y425" s="55"/>
      <x:c r="Z425" s="55"/>
      <x:c r="AA425" s="55"/>
      <x:c r="AB425" s="55" t="str">
        <x:f>IF(C425="","", "Напиши " &amp; AA425 &amp; " за бизнес: " &amp; C425 &amp; ". Тип: " &amp; D425 &amp; ". Град: " &amp; E425 &amp; ". Проблем: " &amp; L425 &amp; ". Предложение: " &amp; M425 &amp; ". Етап: " &amp; N425 &amp; ". Бележки: " &amp; Y425)</x:f>
      </x:c>
      <x:c r="AC425" s="55"/>
    </x:row>
    <x:row r="426">
      <x:c r="A426" s="55"/>
      <x:c r="B426" s="55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55"/>
      <x:c r="S426" s="55" t="str">
        <x:f>IF(C426="","",IFERROR(Q426*R426/100,""))</x:f>
      </x:c>
      <x:c r="T426" s="55"/>
      <x:c r="U426" s="55"/>
      <x:c r="V426" s="55" t="str">
        <x:f>IF(U426="","",U426-TODAY())</x:f>
      </x:c>
      <x:c r="W426" s="55" t="str">
        <x:f>IF(AND(U426&lt;&gt;"",U426&lt;TODAY(),O426="Активен"),"ДА","")</x:f>
      </x:c>
      <x:c r="X426" s="55"/>
      <x:c r="Y426" s="55"/>
      <x:c r="Z426" s="55"/>
      <x:c r="AA426" s="55"/>
      <x:c r="AB426" s="55" t="str">
        <x:f>IF(C426="","", "Напиши " &amp; AA426 &amp; " за бизнес: " &amp; C426 &amp; ". Тип: " &amp; D426 &amp; ". Град: " &amp; E426 &amp; ". Проблем: " &amp; L426 &amp; ". Предложение: " &amp; M426 &amp; ". Етап: " &amp; N426 &amp; ". Бележки: " &amp; Y426)</x:f>
      </x:c>
      <x:c r="AC426" s="55"/>
    </x:row>
    <x:row r="427">
      <x:c r="A427" s="55"/>
      <x:c r="B427" s="55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55"/>
      <x:c r="S427" s="55" t="str">
        <x:f>IF(C427="","",IFERROR(Q427*R427/100,""))</x:f>
      </x:c>
      <x:c r="T427" s="55"/>
      <x:c r="U427" s="55"/>
      <x:c r="V427" s="55" t="str">
        <x:f>IF(U427="","",U427-TODAY())</x:f>
      </x:c>
      <x:c r="W427" s="55" t="str">
        <x:f>IF(AND(U427&lt;&gt;"",U427&lt;TODAY(),O427="Активен"),"ДА","")</x:f>
      </x:c>
      <x:c r="X427" s="55"/>
      <x:c r="Y427" s="55"/>
      <x:c r="Z427" s="55"/>
      <x:c r="AA427" s="55"/>
      <x:c r="AB427" s="55" t="str">
        <x:f>IF(C427="","", "Напиши " &amp; AA427 &amp; " за бизнес: " &amp; C427 &amp; ". Тип: " &amp; D427 &amp; ". Град: " &amp; E427 &amp; ". Проблем: " &amp; L427 &amp; ". Предложение: " &amp; M427 &amp; ". Етап: " &amp; N427 &amp; ". Бележки: " &amp; Y427)</x:f>
      </x:c>
      <x:c r="AC427" s="55"/>
    </x:row>
    <x:row r="428">
      <x:c r="A428" s="55"/>
      <x:c r="B428" s="55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55"/>
      <x:c r="S428" s="55" t="str">
        <x:f>IF(C428="","",IFERROR(Q428*R428/100,""))</x:f>
      </x:c>
      <x:c r="T428" s="55"/>
      <x:c r="U428" s="55"/>
      <x:c r="V428" s="55" t="str">
        <x:f>IF(U428="","",U428-TODAY())</x:f>
      </x:c>
      <x:c r="W428" s="55" t="str">
        <x:f>IF(AND(U428&lt;&gt;"",U428&lt;TODAY(),O428="Активен"),"ДА","")</x:f>
      </x:c>
      <x:c r="X428" s="55"/>
      <x:c r="Y428" s="55"/>
      <x:c r="Z428" s="55"/>
      <x:c r="AA428" s="55"/>
      <x:c r="AB428" s="55" t="str">
        <x:f>IF(C428="","", "Напиши " &amp; AA428 &amp; " за бизнес: " &amp; C428 &amp; ". Тип: " &amp; D428 &amp; ". Град: " &amp; E428 &amp; ". Проблем: " &amp; L428 &amp; ". Предложение: " &amp; M428 &amp; ". Етап: " &amp; N428 &amp; ". Бележки: " &amp; Y428)</x:f>
      </x:c>
      <x:c r="AC428" s="55"/>
    </x:row>
    <x:row r="429">
      <x:c r="A429" s="55"/>
      <x:c r="B429" s="55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55"/>
      <x:c r="S429" s="55" t="str">
        <x:f>IF(C429="","",IFERROR(Q429*R429/100,""))</x:f>
      </x:c>
      <x:c r="T429" s="55"/>
      <x:c r="U429" s="55"/>
      <x:c r="V429" s="55" t="str">
        <x:f>IF(U429="","",U429-TODAY())</x:f>
      </x:c>
      <x:c r="W429" s="55" t="str">
        <x:f>IF(AND(U429&lt;&gt;"",U429&lt;TODAY(),O429="Активен"),"ДА","")</x:f>
      </x:c>
      <x:c r="X429" s="55"/>
      <x:c r="Y429" s="55"/>
      <x:c r="Z429" s="55"/>
      <x:c r="AA429" s="55"/>
      <x:c r="AB429" s="55" t="str">
        <x:f>IF(C429="","", "Напиши " &amp; AA429 &amp; " за бизнес: " &amp; C429 &amp; ". Тип: " &amp; D429 &amp; ". Град: " &amp; E429 &amp; ". Проблем: " &amp; L429 &amp; ". Предложение: " &amp; M429 &amp; ". Етап: " &amp; N429 &amp; ". Бележки: " &amp; Y429)</x:f>
      </x:c>
      <x:c r="AC429" s="55"/>
    </x:row>
    <x:row r="430">
      <x:c r="A430" s="55"/>
      <x:c r="B430" s="55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55"/>
      <x:c r="S430" s="55" t="str">
        <x:f>IF(C430="","",IFERROR(Q430*R430/100,""))</x:f>
      </x:c>
      <x:c r="T430" s="55"/>
      <x:c r="U430" s="55"/>
      <x:c r="V430" s="55" t="str">
        <x:f>IF(U430="","",U430-TODAY())</x:f>
      </x:c>
      <x:c r="W430" s="55" t="str">
        <x:f>IF(AND(U430&lt;&gt;"",U430&lt;TODAY(),O430="Активен"),"ДА","")</x:f>
      </x:c>
      <x:c r="X430" s="55"/>
      <x:c r="Y430" s="55"/>
      <x:c r="Z430" s="55"/>
      <x:c r="AA430" s="55"/>
      <x:c r="AB430" s="55" t="str">
        <x:f>IF(C430="","", "Напиши " &amp; AA430 &amp; " за бизнес: " &amp; C430 &amp; ". Тип: " &amp; D430 &amp; ". Град: " &amp; E430 &amp; ". Проблем: " &amp; L430 &amp; ". Предложение: " &amp; M430 &amp; ". Етап: " &amp; N430 &amp; ". Бележки: " &amp; Y430)</x:f>
      </x:c>
      <x:c r="AC430" s="55"/>
    </x:row>
    <x:row r="431">
      <x:c r="A431" s="55"/>
      <x:c r="B431" s="55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55"/>
      <x:c r="S431" s="55" t="str">
        <x:f>IF(C431="","",IFERROR(Q431*R431/100,""))</x:f>
      </x:c>
      <x:c r="T431" s="55"/>
      <x:c r="U431" s="55"/>
      <x:c r="V431" s="55" t="str">
        <x:f>IF(U431="","",U431-TODAY())</x:f>
      </x:c>
      <x:c r="W431" s="55" t="str">
        <x:f>IF(AND(U431&lt;&gt;"",U431&lt;TODAY(),O431="Активен"),"ДА","")</x:f>
      </x:c>
      <x:c r="X431" s="55"/>
      <x:c r="Y431" s="55"/>
      <x:c r="Z431" s="55"/>
      <x:c r="AA431" s="55"/>
      <x:c r="AB431" s="55" t="str">
        <x:f>IF(C431="","", "Напиши " &amp; AA431 &amp; " за бизнес: " &amp; C431 &amp; ". Тип: " &amp; D431 &amp; ". Град: " &amp; E431 &amp; ". Проблем: " &amp; L431 &amp; ". Предложение: " &amp; M431 &amp; ". Етап: " &amp; N431 &amp; ". Бележки: " &amp; Y431)</x:f>
      </x:c>
      <x:c r="AC431" s="55"/>
    </x:row>
    <x:row r="432">
      <x:c r="A432" s="55"/>
      <x:c r="B432" s="55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55"/>
      <x:c r="S432" s="55" t="str">
        <x:f>IF(C432="","",IFERROR(Q432*R432/100,""))</x:f>
      </x:c>
      <x:c r="T432" s="55"/>
      <x:c r="U432" s="55"/>
      <x:c r="V432" s="55" t="str">
        <x:f>IF(U432="","",U432-TODAY())</x:f>
      </x:c>
      <x:c r="W432" s="55" t="str">
        <x:f>IF(AND(U432&lt;&gt;"",U432&lt;TODAY(),O432="Активен"),"ДА","")</x:f>
      </x:c>
      <x:c r="X432" s="55"/>
      <x:c r="Y432" s="55"/>
      <x:c r="Z432" s="55"/>
      <x:c r="AA432" s="55"/>
      <x:c r="AB432" s="55" t="str">
        <x:f>IF(C432="","", "Напиши " &amp; AA432 &amp; " за бизнес: " &amp; C432 &amp; ". Тип: " &amp; D432 &amp; ". Град: " &amp; E432 &amp; ". Проблем: " &amp; L432 &amp; ". Предложение: " &amp; M432 &amp; ". Етап: " &amp; N432 &amp; ". Бележки: " &amp; Y432)</x:f>
      </x:c>
      <x:c r="AC432" s="55"/>
    </x:row>
    <x:row r="433">
      <x:c r="A433" s="55"/>
      <x:c r="B433" s="55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55"/>
      <x:c r="S433" s="55" t="str">
        <x:f>IF(C433="","",IFERROR(Q433*R433/100,""))</x:f>
      </x:c>
      <x:c r="T433" s="55"/>
      <x:c r="U433" s="55"/>
      <x:c r="V433" s="55" t="str">
        <x:f>IF(U433="","",U433-TODAY())</x:f>
      </x:c>
      <x:c r="W433" s="55" t="str">
        <x:f>IF(AND(U433&lt;&gt;"",U433&lt;TODAY(),O433="Активен"),"ДА","")</x:f>
      </x:c>
      <x:c r="X433" s="55"/>
      <x:c r="Y433" s="55"/>
      <x:c r="Z433" s="55"/>
      <x:c r="AA433" s="55"/>
      <x:c r="AB433" s="55" t="str">
        <x:f>IF(C433="","", "Напиши " &amp; AA433 &amp; " за бизнес: " &amp; C433 &amp; ". Тип: " &amp; D433 &amp; ". Град: " &amp; E433 &amp; ". Проблем: " &amp; L433 &amp; ". Предложение: " &amp; M433 &amp; ". Етап: " &amp; N433 &amp; ". Бележки: " &amp; Y433)</x:f>
      </x:c>
      <x:c r="AC433" s="55"/>
    </x:row>
    <x:row r="434">
      <x:c r="A434" s="55"/>
      <x:c r="B434" s="55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55"/>
      <x:c r="S434" s="55" t="str">
        <x:f>IF(C434="","",IFERROR(Q434*R434/100,""))</x:f>
      </x:c>
      <x:c r="T434" s="55"/>
      <x:c r="U434" s="55"/>
      <x:c r="V434" s="55" t="str">
        <x:f>IF(U434="","",U434-TODAY())</x:f>
      </x:c>
      <x:c r="W434" s="55" t="str">
        <x:f>IF(AND(U434&lt;&gt;"",U434&lt;TODAY(),O434="Активен"),"ДА","")</x:f>
      </x:c>
      <x:c r="X434" s="55"/>
      <x:c r="Y434" s="55"/>
      <x:c r="Z434" s="55"/>
      <x:c r="AA434" s="55"/>
      <x:c r="AB434" s="55" t="str">
        <x:f>IF(C434="","", "Напиши " &amp; AA434 &amp; " за бизнес: " &amp; C434 &amp; ". Тип: " &amp; D434 &amp; ". Град: " &amp; E434 &amp; ". Проблем: " &amp; L434 &amp; ". Предложение: " &amp; M434 &amp; ". Етап: " &amp; N434 &amp; ". Бележки: " &amp; Y434)</x:f>
      </x:c>
      <x:c r="AC434" s="55"/>
    </x:row>
    <x:row r="435">
      <x:c r="A435" s="55"/>
      <x:c r="B435" s="55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55"/>
      <x:c r="S435" s="55" t="str">
        <x:f>IF(C435="","",IFERROR(Q435*R435/100,""))</x:f>
      </x:c>
      <x:c r="T435" s="55"/>
      <x:c r="U435" s="55"/>
      <x:c r="V435" s="55" t="str">
        <x:f>IF(U435="","",U435-TODAY())</x:f>
      </x:c>
      <x:c r="W435" s="55" t="str">
        <x:f>IF(AND(U435&lt;&gt;"",U435&lt;TODAY(),O435="Активен"),"ДА","")</x:f>
      </x:c>
      <x:c r="X435" s="55"/>
      <x:c r="Y435" s="55"/>
      <x:c r="Z435" s="55"/>
      <x:c r="AA435" s="55"/>
      <x:c r="AB435" s="55" t="str">
        <x:f>IF(C435="","", "Напиши " &amp; AA435 &amp; " за бизнес: " &amp; C435 &amp; ". Тип: " &amp; D435 &amp; ". Град: " &amp; E435 &amp; ". Проблем: " &amp; L435 &amp; ". Предложение: " &amp; M435 &amp; ". Етап: " &amp; N435 &amp; ". Бележки: " &amp; Y435)</x:f>
      </x:c>
      <x:c r="AC435" s="55"/>
    </x:row>
    <x:row r="436">
      <x:c r="A436" s="55"/>
      <x:c r="B436" s="55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55"/>
      <x:c r="S436" s="55" t="str">
        <x:f>IF(C436="","",IFERROR(Q436*R436/100,""))</x:f>
      </x:c>
      <x:c r="T436" s="55"/>
      <x:c r="U436" s="55"/>
      <x:c r="V436" s="55" t="str">
        <x:f>IF(U436="","",U436-TODAY())</x:f>
      </x:c>
      <x:c r="W436" s="55" t="str">
        <x:f>IF(AND(U436&lt;&gt;"",U436&lt;TODAY(),O436="Активен"),"ДА","")</x:f>
      </x:c>
      <x:c r="X436" s="55"/>
      <x:c r="Y436" s="55"/>
      <x:c r="Z436" s="55"/>
      <x:c r="AA436" s="55"/>
      <x:c r="AB436" s="55" t="str">
        <x:f>IF(C436="","", "Напиши " &amp; AA436 &amp; " за бизнес: " &amp; C436 &amp; ". Тип: " &amp; D436 &amp; ". Град: " &amp; E436 &amp; ". Проблем: " &amp; L436 &amp; ". Предложение: " &amp; M436 &amp; ". Етап: " &amp; N436 &amp; ". Бележки: " &amp; Y436)</x:f>
      </x:c>
      <x:c r="AC436" s="55"/>
    </x:row>
    <x:row r="437">
      <x:c r="A437" s="55"/>
      <x:c r="B437" s="55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55"/>
      <x:c r="S437" s="55" t="str">
        <x:f>IF(C437="","",IFERROR(Q437*R437/100,""))</x:f>
      </x:c>
      <x:c r="T437" s="55"/>
      <x:c r="U437" s="55"/>
      <x:c r="V437" s="55" t="str">
        <x:f>IF(U437="","",U437-TODAY())</x:f>
      </x:c>
      <x:c r="W437" s="55" t="str">
        <x:f>IF(AND(U437&lt;&gt;"",U437&lt;TODAY(),O437="Активен"),"ДА","")</x:f>
      </x:c>
      <x:c r="X437" s="55"/>
      <x:c r="Y437" s="55"/>
      <x:c r="Z437" s="55"/>
      <x:c r="AA437" s="55"/>
      <x:c r="AB437" s="55" t="str">
        <x:f>IF(C437="","", "Напиши " &amp; AA437 &amp; " за бизнес: " &amp; C437 &amp; ". Тип: " &amp; D437 &amp; ". Град: " &amp; E437 &amp; ". Проблем: " &amp; L437 &amp; ". Предложение: " &amp; M437 &amp; ". Етап: " &amp; N437 &amp; ". Бележки: " &amp; Y437)</x:f>
      </x:c>
      <x:c r="AC437" s="55"/>
    </x:row>
    <x:row r="438">
      <x:c r="A438" s="55"/>
      <x:c r="B438" s="55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55"/>
      <x:c r="S438" s="55" t="str">
        <x:f>IF(C438="","",IFERROR(Q438*R438/100,""))</x:f>
      </x:c>
      <x:c r="T438" s="55"/>
      <x:c r="U438" s="55"/>
      <x:c r="V438" s="55" t="str">
        <x:f>IF(U438="","",U438-TODAY())</x:f>
      </x:c>
      <x:c r="W438" s="55" t="str">
        <x:f>IF(AND(U438&lt;&gt;"",U438&lt;TODAY(),O438="Активен"),"ДА","")</x:f>
      </x:c>
      <x:c r="X438" s="55"/>
      <x:c r="Y438" s="55"/>
      <x:c r="Z438" s="55"/>
      <x:c r="AA438" s="55"/>
      <x:c r="AB438" s="55" t="str">
        <x:f>IF(C438="","", "Напиши " &amp; AA438 &amp; " за бизнес: " &amp; C438 &amp; ". Тип: " &amp; D438 &amp; ". Град: " &amp; E438 &amp; ". Проблем: " &amp; L438 &amp; ". Предложение: " &amp; M438 &amp; ". Етап: " &amp; N438 &amp; ". Бележки: " &amp; Y438)</x:f>
      </x:c>
      <x:c r="AC438" s="55"/>
    </x:row>
    <x:row r="439">
      <x:c r="A439" s="55"/>
      <x:c r="B439" s="55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55"/>
      <x:c r="S439" s="55" t="str">
        <x:f>IF(C439="","",IFERROR(Q439*R439/100,""))</x:f>
      </x:c>
      <x:c r="T439" s="55"/>
      <x:c r="U439" s="55"/>
      <x:c r="V439" s="55" t="str">
        <x:f>IF(U439="","",U439-TODAY())</x:f>
      </x:c>
      <x:c r="W439" s="55" t="str">
        <x:f>IF(AND(U439&lt;&gt;"",U439&lt;TODAY(),O439="Активен"),"ДА","")</x:f>
      </x:c>
      <x:c r="X439" s="55"/>
      <x:c r="Y439" s="55"/>
      <x:c r="Z439" s="55"/>
      <x:c r="AA439" s="55"/>
      <x:c r="AB439" s="55" t="str">
        <x:f>IF(C439="","", "Напиши " &amp; AA439 &amp; " за бизнес: " &amp; C439 &amp; ". Тип: " &amp; D439 &amp; ". Град: " &amp; E439 &amp; ". Проблем: " &amp; L439 &amp; ". Предложение: " &amp; M439 &amp; ". Етап: " &amp; N439 &amp; ". Бележки: " &amp; Y439)</x:f>
      </x:c>
      <x:c r="AC439" s="55"/>
    </x:row>
    <x:row r="440">
      <x:c r="A440" s="55"/>
      <x:c r="B440" s="55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55"/>
      <x:c r="S440" s="55" t="str">
        <x:f>IF(C440="","",IFERROR(Q440*R440/100,""))</x:f>
      </x:c>
      <x:c r="T440" s="55"/>
      <x:c r="U440" s="55"/>
      <x:c r="V440" s="55" t="str">
        <x:f>IF(U440="","",U440-TODAY())</x:f>
      </x:c>
      <x:c r="W440" s="55" t="str">
        <x:f>IF(AND(U440&lt;&gt;"",U440&lt;TODAY(),O440="Активен"),"ДА","")</x:f>
      </x:c>
      <x:c r="X440" s="55"/>
      <x:c r="Y440" s="55"/>
      <x:c r="Z440" s="55"/>
      <x:c r="AA440" s="55"/>
      <x:c r="AB440" s="55" t="str">
        <x:f>IF(C440="","", "Напиши " &amp; AA440 &amp; " за бизнес: " &amp; C440 &amp; ". Тип: " &amp; D440 &amp; ". Град: " &amp; E440 &amp; ". Проблем: " &amp; L440 &amp; ". Предложение: " &amp; M440 &amp; ". Етап: " &amp; N440 &amp; ". Бележки: " &amp; Y440)</x:f>
      </x:c>
      <x:c r="AC440" s="55"/>
    </x:row>
    <x:row r="441">
      <x:c r="A441" s="55"/>
      <x:c r="B441" s="55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55"/>
      <x:c r="S441" s="55" t="str">
        <x:f>IF(C441="","",IFERROR(Q441*R441/100,""))</x:f>
      </x:c>
      <x:c r="T441" s="55"/>
      <x:c r="U441" s="55"/>
      <x:c r="V441" s="55" t="str">
        <x:f>IF(U441="","",U441-TODAY())</x:f>
      </x:c>
      <x:c r="W441" s="55" t="str">
        <x:f>IF(AND(U441&lt;&gt;"",U441&lt;TODAY(),O441="Активен"),"ДА","")</x:f>
      </x:c>
      <x:c r="X441" s="55"/>
      <x:c r="Y441" s="55"/>
      <x:c r="Z441" s="55"/>
      <x:c r="AA441" s="55"/>
      <x:c r="AB441" s="55" t="str">
        <x:f>IF(C441="","", "Напиши " &amp; AA441 &amp; " за бизнес: " &amp; C441 &amp; ". Тип: " &amp; D441 &amp; ". Град: " &amp; E441 &amp; ". Проблем: " &amp; L441 &amp; ". Предложение: " &amp; M441 &amp; ". Етап: " &amp; N441 &amp; ". Бележки: " &amp; Y441)</x:f>
      </x:c>
      <x:c r="AC441" s="55"/>
    </x:row>
    <x:row r="442">
      <x:c r="A442" s="55"/>
      <x:c r="B442" s="55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55"/>
      <x:c r="S442" s="55" t="str">
        <x:f>IF(C442="","",IFERROR(Q442*R442/100,""))</x:f>
      </x:c>
      <x:c r="T442" s="55"/>
      <x:c r="U442" s="55"/>
      <x:c r="V442" s="55" t="str">
        <x:f>IF(U442="","",U442-TODAY())</x:f>
      </x:c>
      <x:c r="W442" s="55" t="str">
        <x:f>IF(AND(U442&lt;&gt;"",U442&lt;TODAY(),O442="Активен"),"ДА","")</x:f>
      </x:c>
      <x:c r="X442" s="55"/>
      <x:c r="Y442" s="55"/>
      <x:c r="Z442" s="55"/>
      <x:c r="AA442" s="55"/>
      <x:c r="AB442" s="55" t="str">
        <x:f>IF(C442="","", "Напиши " &amp; AA442 &amp; " за бизнес: " &amp; C442 &amp; ". Тип: " &amp; D442 &amp; ". Град: " &amp; E442 &amp; ". Проблем: " &amp; L442 &amp; ". Предложение: " &amp; M442 &amp; ". Етап: " &amp; N442 &amp; ". Бележки: " &amp; Y442)</x:f>
      </x:c>
      <x:c r="AC442" s="55"/>
    </x:row>
    <x:row r="443">
      <x:c r="A443" s="55"/>
      <x:c r="B443" s="55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55"/>
      <x:c r="S443" s="55" t="str">
        <x:f>IF(C443="","",IFERROR(Q443*R443/100,""))</x:f>
      </x:c>
      <x:c r="T443" s="55"/>
      <x:c r="U443" s="55"/>
      <x:c r="V443" s="55" t="str">
        <x:f>IF(U443="","",U443-TODAY())</x:f>
      </x:c>
      <x:c r="W443" s="55" t="str">
        <x:f>IF(AND(U443&lt;&gt;"",U443&lt;TODAY(),O443="Активен"),"ДА","")</x:f>
      </x:c>
      <x:c r="X443" s="55"/>
      <x:c r="Y443" s="55"/>
      <x:c r="Z443" s="55"/>
      <x:c r="AA443" s="55"/>
      <x:c r="AB443" s="55" t="str">
        <x:f>IF(C443="","", "Напиши " &amp; AA443 &amp; " за бизнес: " &amp; C443 &amp; ". Тип: " &amp; D443 &amp; ". Град: " &amp; E443 &amp; ". Проблем: " &amp; L443 &amp; ". Предложение: " &amp; M443 &amp; ". Етап: " &amp; N443 &amp; ". Бележки: " &amp; Y443)</x:f>
      </x:c>
      <x:c r="AC443" s="55"/>
    </x:row>
    <x:row r="444">
      <x:c r="A444" s="55"/>
      <x:c r="B444" s="55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55"/>
      <x:c r="S444" s="55" t="str">
        <x:f>IF(C444="","",IFERROR(Q444*R444/100,""))</x:f>
      </x:c>
      <x:c r="T444" s="55"/>
      <x:c r="U444" s="55"/>
      <x:c r="V444" s="55" t="str">
        <x:f>IF(U444="","",U444-TODAY())</x:f>
      </x:c>
      <x:c r="W444" s="55" t="str">
        <x:f>IF(AND(U444&lt;&gt;"",U444&lt;TODAY(),O444="Активен"),"ДА","")</x:f>
      </x:c>
      <x:c r="X444" s="55"/>
      <x:c r="Y444" s="55"/>
      <x:c r="Z444" s="55"/>
      <x:c r="AA444" s="55"/>
      <x:c r="AB444" s="55" t="str">
        <x:f>IF(C444="","", "Напиши " &amp; AA444 &amp; " за бизнес: " &amp; C444 &amp; ". Тип: " &amp; D444 &amp; ". Град: " &amp; E444 &amp; ". Проблем: " &amp; L444 &amp; ". Предложение: " &amp; M444 &amp; ". Етап: " &amp; N444 &amp; ". Бележки: " &amp; Y444)</x:f>
      </x:c>
      <x:c r="AC444" s="55"/>
    </x:row>
    <x:row r="445">
      <x:c r="A445" s="55"/>
      <x:c r="B445" s="55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55"/>
      <x:c r="S445" s="55" t="str">
        <x:f>IF(C445="","",IFERROR(Q445*R445/100,""))</x:f>
      </x:c>
      <x:c r="T445" s="55"/>
      <x:c r="U445" s="55"/>
      <x:c r="V445" s="55" t="str">
        <x:f>IF(U445="","",U445-TODAY())</x:f>
      </x:c>
      <x:c r="W445" s="55" t="str">
        <x:f>IF(AND(U445&lt;&gt;"",U445&lt;TODAY(),O445="Активен"),"ДА","")</x:f>
      </x:c>
      <x:c r="X445" s="55"/>
      <x:c r="Y445" s="55"/>
      <x:c r="Z445" s="55"/>
      <x:c r="AA445" s="55"/>
      <x:c r="AB445" s="55" t="str">
        <x:f>IF(C445="","", "Напиши " &amp; AA445 &amp; " за бизнес: " &amp; C445 &amp; ". Тип: " &amp; D445 &amp; ". Град: " &amp; E445 &amp; ". Проблем: " &amp; L445 &amp; ". Предложение: " &amp; M445 &amp; ". Етап: " &amp; N445 &amp; ". Бележки: " &amp; Y445)</x:f>
      </x:c>
      <x:c r="AC445" s="55"/>
    </x:row>
    <x:row r="446">
      <x:c r="A446" s="55"/>
      <x:c r="B446" s="55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55"/>
      <x:c r="S446" s="55" t="str">
        <x:f>IF(C446="","",IFERROR(Q446*R446/100,""))</x:f>
      </x:c>
      <x:c r="T446" s="55"/>
      <x:c r="U446" s="55"/>
      <x:c r="V446" s="55" t="str">
        <x:f>IF(U446="","",U446-TODAY())</x:f>
      </x:c>
      <x:c r="W446" s="55" t="str">
        <x:f>IF(AND(U446&lt;&gt;"",U446&lt;TODAY(),O446="Активен"),"ДА","")</x:f>
      </x:c>
      <x:c r="X446" s="55"/>
      <x:c r="Y446" s="55"/>
      <x:c r="Z446" s="55"/>
      <x:c r="AA446" s="55"/>
      <x:c r="AB446" s="55" t="str">
        <x:f>IF(C446="","", "Напиши " &amp; AA446 &amp; " за бизнес: " &amp; C446 &amp; ". Тип: " &amp; D446 &amp; ". Град: " &amp; E446 &amp; ". Проблем: " &amp; L446 &amp; ". Предложение: " &amp; M446 &amp; ". Етап: " &amp; N446 &amp; ". Бележки: " &amp; Y446)</x:f>
      </x:c>
      <x:c r="AC446" s="55"/>
    </x:row>
    <x:row r="447">
      <x:c r="A447" s="55"/>
      <x:c r="B447" s="55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55"/>
      <x:c r="S447" s="55" t="str">
        <x:f>IF(C447="","",IFERROR(Q447*R447/100,""))</x:f>
      </x:c>
      <x:c r="T447" s="55"/>
      <x:c r="U447" s="55"/>
      <x:c r="V447" s="55" t="str">
        <x:f>IF(U447="","",U447-TODAY())</x:f>
      </x:c>
      <x:c r="W447" s="55" t="str">
        <x:f>IF(AND(U447&lt;&gt;"",U447&lt;TODAY(),O447="Активен"),"ДА","")</x:f>
      </x:c>
      <x:c r="X447" s="55"/>
      <x:c r="Y447" s="55"/>
      <x:c r="Z447" s="55"/>
      <x:c r="AA447" s="55"/>
      <x:c r="AB447" s="55" t="str">
        <x:f>IF(C447="","", "Напиши " &amp; AA447 &amp; " за бизнес: " &amp; C447 &amp; ". Тип: " &amp; D447 &amp; ". Град: " &amp; E447 &amp; ". Проблем: " &amp; L447 &amp; ". Предложение: " &amp; M447 &amp; ". Етап: " &amp; N447 &amp; ". Бележки: " &amp; Y447)</x:f>
      </x:c>
      <x:c r="AC447" s="55"/>
    </x:row>
    <x:row r="448">
      <x:c r="A448" s="55"/>
      <x:c r="B448" s="55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55"/>
      <x:c r="S448" s="55" t="str">
        <x:f>IF(C448="","",IFERROR(Q448*R448/100,""))</x:f>
      </x:c>
      <x:c r="T448" s="55"/>
      <x:c r="U448" s="55"/>
      <x:c r="V448" s="55" t="str">
        <x:f>IF(U448="","",U448-TODAY())</x:f>
      </x:c>
      <x:c r="W448" s="55" t="str">
        <x:f>IF(AND(U448&lt;&gt;"",U448&lt;TODAY(),O448="Активен"),"ДА","")</x:f>
      </x:c>
      <x:c r="X448" s="55"/>
      <x:c r="Y448" s="55"/>
      <x:c r="Z448" s="55"/>
      <x:c r="AA448" s="55"/>
      <x:c r="AB448" s="55" t="str">
        <x:f>IF(C448="","", "Напиши " &amp; AA448 &amp; " за бизнес: " &amp; C448 &amp; ". Тип: " &amp; D448 &amp; ". Град: " &amp; E448 &amp; ". Проблем: " &amp; L448 &amp; ". Предложение: " &amp; M448 &amp; ". Етап: " &amp; N448 &amp; ". Бележки: " &amp; Y448)</x:f>
      </x:c>
      <x:c r="AC448" s="55"/>
    </x:row>
    <x:row r="449">
      <x:c r="A449" s="55"/>
      <x:c r="B449" s="55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55"/>
      <x:c r="S449" s="55" t="str">
        <x:f>IF(C449="","",IFERROR(Q449*R449/100,""))</x:f>
      </x:c>
      <x:c r="T449" s="55"/>
      <x:c r="U449" s="55"/>
      <x:c r="V449" s="55" t="str">
        <x:f>IF(U449="","",U449-TODAY())</x:f>
      </x:c>
      <x:c r="W449" s="55" t="str">
        <x:f>IF(AND(U449&lt;&gt;"",U449&lt;TODAY(),O449="Активен"),"ДА","")</x:f>
      </x:c>
      <x:c r="X449" s="55"/>
      <x:c r="Y449" s="55"/>
      <x:c r="Z449" s="55"/>
      <x:c r="AA449" s="55"/>
      <x:c r="AB449" s="55" t="str">
        <x:f>IF(C449="","", "Напиши " &amp; AA449 &amp; " за бизнес: " &amp; C449 &amp; ". Тип: " &amp; D449 &amp; ". Град: " &amp; E449 &amp; ". Проблем: " &amp; L449 &amp; ". Предложение: " &amp; M449 &amp; ". Етап: " &amp; N449 &amp; ". Бележки: " &amp; Y449)</x:f>
      </x:c>
      <x:c r="AC449" s="55"/>
    </x:row>
    <x:row r="450">
      <x:c r="A450" s="55"/>
      <x:c r="B450" s="55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55"/>
      <x:c r="S450" s="55" t="str">
        <x:f>IF(C450="","",IFERROR(Q450*R450/100,""))</x:f>
      </x:c>
      <x:c r="T450" s="55"/>
      <x:c r="U450" s="55"/>
      <x:c r="V450" s="55" t="str">
        <x:f>IF(U450="","",U450-TODAY())</x:f>
      </x:c>
      <x:c r="W450" s="55" t="str">
        <x:f>IF(AND(U450&lt;&gt;"",U450&lt;TODAY(),O450="Активен"),"ДА","")</x:f>
      </x:c>
      <x:c r="X450" s="55"/>
      <x:c r="Y450" s="55"/>
      <x:c r="Z450" s="55"/>
      <x:c r="AA450" s="55"/>
      <x:c r="AB450" s="55" t="str">
        <x:f>IF(C450="","", "Напиши " &amp; AA450 &amp; " за бизнес: " &amp; C450 &amp; ". Тип: " &amp; D450 &amp; ". Град: " &amp; E450 &amp; ". Проблем: " &amp; L450 &amp; ". Предложение: " &amp; M450 &amp; ". Етап: " &amp; N450 &amp; ". Бележки: " &amp; Y450)</x:f>
      </x:c>
      <x:c r="AC450" s="55"/>
    </x:row>
    <x:row r="451">
      <x:c r="A451" s="55"/>
      <x:c r="B451" s="55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55"/>
      <x:c r="S451" s="55" t="str">
        <x:f>IF(C451="","",IFERROR(Q451*R451/100,""))</x:f>
      </x:c>
      <x:c r="T451" s="55"/>
      <x:c r="U451" s="55"/>
      <x:c r="V451" s="55" t="str">
        <x:f>IF(U451="","",U451-TODAY())</x:f>
      </x:c>
      <x:c r="W451" s="55" t="str">
        <x:f>IF(AND(U451&lt;&gt;"",U451&lt;TODAY(),O451="Активен"),"ДА","")</x:f>
      </x:c>
      <x:c r="X451" s="55"/>
      <x:c r="Y451" s="55"/>
      <x:c r="Z451" s="55"/>
      <x:c r="AA451" s="55"/>
      <x:c r="AB451" s="55" t="str">
        <x:f>IF(C451="","", "Напиши " &amp; AA451 &amp; " за бизнес: " &amp; C451 &amp; ". Тип: " &amp; D451 &amp; ". Град: " &amp; E451 &amp; ". Проблем: " &amp; L451 &amp; ". Предложение: " &amp; M451 &amp; ". Етап: " &amp; N451 &amp; ". Бележки: " &amp; Y451)</x:f>
      </x:c>
      <x:c r="AC451" s="55"/>
    </x:row>
    <x:row r="452">
      <x:c r="A452" s="55"/>
      <x:c r="B452" s="55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55"/>
      <x:c r="S452" s="55" t="str">
        <x:f>IF(C452="","",IFERROR(Q452*R452/100,""))</x:f>
      </x:c>
      <x:c r="T452" s="55"/>
      <x:c r="U452" s="55"/>
      <x:c r="V452" s="55" t="str">
        <x:f>IF(U452="","",U452-TODAY())</x:f>
      </x:c>
      <x:c r="W452" s="55" t="str">
        <x:f>IF(AND(U452&lt;&gt;"",U452&lt;TODAY(),O452="Активен"),"ДА","")</x:f>
      </x:c>
      <x:c r="X452" s="55"/>
      <x:c r="Y452" s="55"/>
      <x:c r="Z452" s="55"/>
      <x:c r="AA452" s="55"/>
      <x:c r="AB452" s="55" t="str">
        <x:f>IF(C452="","", "Напиши " &amp; AA452 &amp; " за бизнес: " &amp; C452 &amp; ". Тип: " &amp; D452 &amp; ". Град: " &amp; E452 &amp; ". Проблем: " &amp; L452 &amp; ". Предложение: " &amp; M452 &amp; ". Етап: " &amp; N452 &amp; ". Бележки: " &amp; Y452)</x:f>
      </x:c>
      <x:c r="AC452" s="55"/>
    </x:row>
    <x:row r="453">
      <x:c r="A453" s="55"/>
      <x:c r="B453" s="55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55"/>
      <x:c r="S453" s="55" t="str">
        <x:f>IF(C453="","",IFERROR(Q453*R453/100,""))</x:f>
      </x:c>
      <x:c r="T453" s="55"/>
      <x:c r="U453" s="55"/>
      <x:c r="V453" s="55" t="str">
        <x:f>IF(U453="","",U453-TODAY())</x:f>
      </x:c>
      <x:c r="W453" s="55" t="str">
        <x:f>IF(AND(U453&lt;&gt;"",U453&lt;TODAY(),O453="Активен"),"ДА","")</x:f>
      </x:c>
      <x:c r="X453" s="55"/>
      <x:c r="Y453" s="55"/>
      <x:c r="Z453" s="55"/>
      <x:c r="AA453" s="55"/>
      <x:c r="AB453" s="55" t="str">
        <x:f>IF(C453="","", "Напиши " &amp; AA453 &amp; " за бизнес: " &amp; C453 &amp; ". Тип: " &amp; D453 &amp; ". Град: " &amp; E453 &amp; ". Проблем: " &amp; L453 &amp; ". Предложение: " &amp; M453 &amp; ". Етап: " &amp; N453 &amp; ". Бележки: " &amp; Y453)</x:f>
      </x:c>
      <x:c r="AC453" s="55"/>
    </x:row>
    <x:row r="454">
      <x:c r="A454" s="55"/>
      <x:c r="B454" s="55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55"/>
      <x:c r="S454" s="55" t="str">
        <x:f>IF(C454="","",IFERROR(Q454*R454/100,""))</x:f>
      </x:c>
      <x:c r="T454" s="55"/>
      <x:c r="U454" s="55"/>
      <x:c r="V454" s="55" t="str">
        <x:f>IF(U454="","",U454-TODAY())</x:f>
      </x:c>
      <x:c r="W454" s="55" t="str">
        <x:f>IF(AND(U454&lt;&gt;"",U454&lt;TODAY(),O454="Активен"),"ДА","")</x:f>
      </x:c>
      <x:c r="X454" s="55"/>
      <x:c r="Y454" s="55"/>
      <x:c r="Z454" s="55"/>
      <x:c r="AA454" s="55"/>
      <x:c r="AB454" s="55" t="str">
        <x:f>IF(C454="","", "Напиши " &amp; AA454 &amp; " за бизнес: " &amp; C454 &amp; ". Тип: " &amp; D454 &amp; ". Град: " &amp; E454 &amp; ". Проблем: " &amp; L454 &amp; ". Предложение: " &amp; M454 &amp; ". Етап: " &amp; N454 &amp; ". Бележки: " &amp; Y454)</x:f>
      </x:c>
      <x:c r="AC454" s="55"/>
    </x:row>
    <x:row r="455">
      <x:c r="A455" s="55"/>
      <x:c r="B455" s="55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55"/>
      <x:c r="S455" s="55" t="str">
        <x:f>IF(C455="","",IFERROR(Q455*R455/100,""))</x:f>
      </x:c>
      <x:c r="T455" s="55"/>
      <x:c r="U455" s="55"/>
      <x:c r="V455" s="55" t="str">
        <x:f>IF(U455="","",U455-TODAY())</x:f>
      </x:c>
      <x:c r="W455" s="55" t="str">
        <x:f>IF(AND(U455&lt;&gt;"",U455&lt;TODAY(),O455="Активен"),"ДА","")</x:f>
      </x:c>
      <x:c r="X455" s="55"/>
      <x:c r="Y455" s="55"/>
      <x:c r="Z455" s="55"/>
      <x:c r="AA455" s="55"/>
      <x:c r="AB455" s="55" t="str">
        <x:f>IF(C455="","", "Напиши " &amp; AA455 &amp; " за бизнес: " &amp; C455 &amp; ". Тип: " &amp; D455 &amp; ". Град: " &amp; E455 &amp; ". Проблем: " &amp; L455 &amp; ". Предложение: " &amp; M455 &amp; ". Етап: " &amp; N455 &amp; ". Бележки: " &amp; Y455)</x:f>
      </x:c>
      <x:c r="AC455" s="55"/>
    </x:row>
    <x:row r="456">
      <x:c r="A456" s="55"/>
      <x:c r="B456" s="55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55"/>
      <x:c r="S456" s="55" t="str">
        <x:f>IF(C456="","",IFERROR(Q456*R456/100,""))</x:f>
      </x:c>
      <x:c r="T456" s="55"/>
      <x:c r="U456" s="55"/>
      <x:c r="V456" s="55" t="str">
        <x:f>IF(U456="","",U456-TODAY())</x:f>
      </x:c>
      <x:c r="W456" s="55" t="str">
        <x:f>IF(AND(U456&lt;&gt;"",U456&lt;TODAY(),O456="Активен"),"ДА","")</x:f>
      </x:c>
      <x:c r="X456" s="55"/>
      <x:c r="Y456" s="55"/>
      <x:c r="Z456" s="55"/>
      <x:c r="AA456" s="55"/>
      <x:c r="AB456" s="55" t="str">
        <x:f>IF(C456="","", "Напиши " &amp; AA456 &amp; " за бизнес: " &amp; C456 &amp; ". Тип: " &amp; D456 &amp; ". Град: " &amp; E456 &amp; ". Проблем: " &amp; L456 &amp; ". Предложение: " &amp; M456 &amp; ". Етап: " &amp; N456 &amp; ". Бележки: " &amp; Y456)</x:f>
      </x:c>
      <x:c r="AC456" s="55"/>
    </x:row>
    <x:row r="457">
      <x:c r="A457" s="55"/>
      <x:c r="B457" s="55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55"/>
      <x:c r="S457" s="55" t="str">
        <x:f>IF(C457="","",IFERROR(Q457*R457/100,""))</x:f>
      </x:c>
      <x:c r="T457" s="55"/>
      <x:c r="U457" s="55"/>
      <x:c r="V457" s="55" t="str">
        <x:f>IF(U457="","",U457-TODAY())</x:f>
      </x:c>
      <x:c r="W457" s="55" t="str">
        <x:f>IF(AND(U457&lt;&gt;"",U457&lt;TODAY(),O457="Активен"),"ДА","")</x:f>
      </x:c>
      <x:c r="X457" s="55"/>
      <x:c r="Y457" s="55"/>
      <x:c r="Z457" s="55"/>
      <x:c r="AA457" s="55"/>
      <x:c r="AB457" s="55" t="str">
        <x:f>IF(C457="","", "Напиши " &amp; AA457 &amp; " за бизнес: " &amp; C457 &amp; ". Тип: " &amp; D457 &amp; ". Град: " &amp; E457 &amp; ". Проблем: " &amp; L457 &amp; ". Предложение: " &amp; M457 &amp; ". Етап: " &amp; N457 &amp; ". Бележки: " &amp; Y457)</x:f>
      </x:c>
      <x:c r="AC457" s="55"/>
    </x:row>
    <x:row r="458">
      <x:c r="A458" s="55"/>
      <x:c r="B458" s="55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55"/>
      <x:c r="S458" s="55" t="str">
        <x:f>IF(C458="","",IFERROR(Q458*R458/100,""))</x:f>
      </x:c>
      <x:c r="T458" s="55"/>
      <x:c r="U458" s="55"/>
      <x:c r="V458" s="55" t="str">
        <x:f>IF(U458="","",U458-TODAY())</x:f>
      </x:c>
      <x:c r="W458" s="55" t="str">
        <x:f>IF(AND(U458&lt;&gt;"",U458&lt;TODAY(),O458="Активен"),"ДА","")</x:f>
      </x:c>
      <x:c r="X458" s="55"/>
      <x:c r="Y458" s="55"/>
      <x:c r="Z458" s="55"/>
      <x:c r="AA458" s="55"/>
      <x:c r="AB458" s="55" t="str">
        <x:f>IF(C458="","", "Напиши " &amp; AA458 &amp; " за бизнес: " &amp; C458 &amp; ". Тип: " &amp; D458 &amp; ". Град: " &amp; E458 &amp; ". Проблем: " &amp; L458 &amp; ". Предложение: " &amp; M458 &amp; ". Етап: " &amp; N458 &amp; ". Бележки: " &amp; Y458)</x:f>
      </x:c>
      <x:c r="AC458" s="55"/>
    </x:row>
    <x:row r="459">
      <x:c r="A459" s="55"/>
      <x:c r="B459" s="55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55"/>
      <x:c r="S459" s="55" t="str">
        <x:f>IF(C459="","",IFERROR(Q459*R459/100,""))</x:f>
      </x:c>
      <x:c r="T459" s="55"/>
      <x:c r="U459" s="55"/>
      <x:c r="V459" s="55" t="str">
        <x:f>IF(U459="","",U459-TODAY())</x:f>
      </x:c>
      <x:c r="W459" s="55" t="str">
        <x:f>IF(AND(U459&lt;&gt;"",U459&lt;TODAY(),O459="Активен"),"ДА","")</x:f>
      </x:c>
      <x:c r="X459" s="55"/>
      <x:c r="Y459" s="55"/>
      <x:c r="Z459" s="55"/>
      <x:c r="AA459" s="55"/>
      <x:c r="AB459" s="55" t="str">
        <x:f>IF(C459="","", "Напиши " &amp; AA459 &amp; " за бизнес: " &amp; C459 &amp; ". Тип: " &amp; D459 &amp; ". Град: " &amp; E459 &amp; ". Проблем: " &amp; L459 &amp; ". Предложение: " &amp; M459 &amp; ". Етап: " &amp; N459 &amp; ". Бележки: " &amp; Y459)</x:f>
      </x:c>
      <x:c r="AC459" s="55"/>
    </x:row>
    <x:row r="460">
      <x:c r="A460" s="55"/>
      <x:c r="B460" s="55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55"/>
      <x:c r="S460" s="55" t="str">
        <x:f>IF(C460="","",IFERROR(Q460*R460/100,""))</x:f>
      </x:c>
      <x:c r="T460" s="55"/>
      <x:c r="U460" s="55"/>
      <x:c r="V460" s="55" t="str">
        <x:f>IF(U460="","",U460-TODAY())</x:f>
      </x:c>
      <x:c r="W460" s="55" t="str">
        <x:f>IF(AND(U460&lt;&gt;"",U460&lt;TODAY(),O460="Активен"),"ДА","")</x:f>
      </x:c>
      <x:c r="X460" s="55"/>
      <x:c r="Y460" s="55"/>
      <x:c r="Z460" s="55"/>
      <x:c r="AA460" s="55"/>
      <x:c r="AB460" s="55" t="str">
        <x:f>IF(C460="","", "Напиши " &amp; AA460 &amp; " за бизнес: " &amp; C460 &amp; ". Тип: " &amp; D460 &amp; ". Град: " &amp; E460 &amp; ". Проблем: " &amp; L460 &amp; ". Предложение: " &amp; M460 &amp; ". Етап: " &amp; N460 &amp; ". Бележки: " &amp; Y460)</x:f>
      </x:c>
      <x:c r="AC460" s="55"/>
    </x:row>
    <x:row r="461">
      <x:c r="A461" s="55"/>
      <x:c r="B461" s="55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55"/>
      <x:c r="S461" s="55" t="str">
        <x:f>IF(C461="","",IFERROR(Q461*R461/100,""))</x:f>
      </x:c>
      <x:c r="T461" s="55"/>
      <x:c r="U461" s="55"/>
      <x:c r="V461" s="55" t="str">
        <x:f>IF(U461="","",U461-TODAY())</x:f>
      </x:c>
      <x:c r="W461" s="55" t="str">
        <x:f>IF(AND(U461&lt;&gt;"",U461&lt;TODAY(),O461="Активен"),"ДА","")</x:f>
      </x:c>
      <x:c r="X461" s="55"/>
      <x:c r="Y461" s="55"/>
      <x:c r="Z461" s="55"/>
      <x:c r="AA461" s="55"/>
      <x:c r="AB461" s="55" t="str">
        <x:f>IF(C461="","", "Напиши " &amp; AA461 &amp; " за бизнес: " &amp; C461 &amp; ". Тип: " &amp; D461 &amp; ". Град: " &amp; E461 &amp; ". Проблем: " &amp; L461 &amp; ". Предложение: " &amp; M461 &amp; ". Етап: " &amp; N461 &amp; ". Бележки: " &amp; Y461)</x:f>
      </x:c>
      <x:c r="AC461" s="55"/>
    </x:row>
    <x:row r="462">
      <x:c r="A462" s="55"/>
      <x:c r="B462" s="55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55"/>
      <x:c r="S462" s="55" t="str">
        <x:f>IF(C462="","",IFERROR(Q462*R462/100,""))</x:f>
      </x:c>
      <x:c r="T462" s="55"/>
      <x:c r="U462" s="55"/>
      <x:c r="V462" s="55" t="str">
        <x:f>IF(U462="","",U462-TODAY())</x:f>
      </x:c>
      <x:c r="W462" s="55" t="str">
        <x:f>IF(AND(U462&lt;&gt;"",U462&lt;TODAY(),O462="Активен"),"ДА","")</x:f>
      </x:c>
      <x:c r="X462" s="55"/>
      <x:c r="Y462" s="55"/>
      <x:c r="Z462" s="55"/>
      <x:c r="AA462" s="55"/>
      <x:c r="AB462" s="55" t="str">
        <x:f>IF(C462="","", "Напиши " &amp; AA462 &amp; " за бизнес: " &amp; C462 &amp; ". Тип: " &amp; D462 &amp; ". Град: " &amp; E462 &amp; ". Проблем: " &amp; L462 &amp; ". Предложение: " &amp; M462 &amp; ". Етап: " &amp; N462 &amp; ". Бележки: " &amp; Y462)</x:f>
      </x:c>
      <x:c r="AC462" s="55"/>
    </x:row>
    <x:row r="463">
      <x:c r="A463" s="55"/>
      <x:c r="B463" s="55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55"/>
      <x:c r="S463" s="55" t="str">
        <x:f>IF(C463="","",IFERROR(Q463*R463/100,""))</x:f>
      </x:c>
      <x:c r="T463" s="55"/>
      <x:c r="U463" s="55"/>
      <x:c r="V463" s="55" t="str">
        <x:f>IF(U463="","",U463-TODAY())</x:f>
      </x:c>
      <x:c r="W463" s="55" t="str">
        <x:f>IF(AND(U463&lt;&gt;"",U463&lt;TODAY(),O463="Активен"),"ДА","")</x:f>
      </x:c>
      <x:c r="X463" s="55"/>
      <x:c r="Y463" s="55"/>
      <x:c r="Z463" s="55"/>
      <x:c r="AA463" s="55"/>
      <x:c r="AB463" s="55" t="str">
        <x:f>IF(C463="","", "Напиши " &amp; AA463 &amp; " за бизнес: " &amp; C463 &amp; ". Тип: " &amp; D463 &amp; ". Град: " &amp; E463 &amp; ". Проблем: " &amp; L463 &amp; ". Предложение: " &amp; M463 &amp; ". Етап: " &amp; N463 &amp; ". Бележки: " &amp; Y463)</x:f>
      </x:c>
      <x:c r="AC463" s="55"/>
    </x:row>
    <x:row r="464">
      <x:c r="A464" s="55"/>
      <x:c r="B464" s="55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55"/>
      <x:c r="S464" s="55" t="str">
        <x:f>IF(C464="","",IFERROR(Q464*R464/100,""))</x:f>
      </x:c>
      <x:c r="T464" s="55"/>
      <x:c r="U464" s="55"/>
      <x:c r="V464" s="55" t="str">
        <x:f>IF(U464="","",U464-TODAY())</x:f>
      </x:c>
      <x:c r="W464" s="55" t="str">
        <x:f>IF(AND(U464&lt;&gt;"",U464&lt;TODAY(),O464="Активен"),"ДА","")</x:f>
      </x:c>
      <x:c r="X464" s="55"/>
      <x:c r="Y464" s="55"/>
      <x:c r="Z464" s="55"/>
      <x:c r="AA464" s="55"/>
      <x:c r="AB464" s="55" t="str">
        <x:f>IF(C464="","", "Напиши " &amp; AA464 &amp; " за бизнес: " &amp; C464 &amp; ". Тип: " &amp; D464 &amp; ". Град: " &amp; E464 &amp; ". Проблем: " &amp; L464 &amp; ". Предложение: " &amp; M464 &amp; ". Етап: " &amp; N464 &amp; ". Бележки: " &amp; Y464)</x:f>
      </x:c>
      <x:c r="AC464" s="55"/>
    </x:row>
    <x:row r="465">
      <x:c r="A465" s="55"/>
      <x:c r="B465" s="55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55"/>
      <x:c r="S465" s="55" t="str">
        <x:f>IF(C465="","",IFERROR(Q465*R465/100,""))</x:f>
      </x:c>
      <x:c r="T465" s="55"/>
      <x:c r="U465" s="55"/>
      <x:c r="V465" s="55" t="str">
        <x:f>IF(U465="","",U465-TODAY())</x:f>
      </x:c>
      <x:c r="W465" s="55" t="str">
        <x:f>IF(AND(U465&lt;&gt;"",U465&lt;TODAY(),O465="Активен"),"ДА","")</x:f>
      </x:c>
      <x:c r="X465" s="55"/>
      <x:c r="Y465" s="55"/>
      <x:c r="Z465" s="55"/>
      <x:c r="AA465" s="55"/>
      <x:c r="AB465" s="55" t="str">
        <x:f>IF(C465="","", "Напиши " &amp; AA465 &amp; " за бизнес: " &amp; C465 &amp; ". Тип: " &amp; D465 &amp; ". Град: " &amp; E465 &amp; ". Проблем: " &amp; L465 &amp; ". Предложение: " &amp; M465 &amp; ". Етап: " &amp; N465 &amp; ". Бележки: " &amp; Y465)</x:f>
      </x:c>
      <x:c r="AC465" s="55"/>
    </x:row>
    <x:row r="466">
      <x:c r="A466" s="55"/>
      <x:c r="B466" s="55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55"/>
      <x:c r="S466" s="55" t="str">
        <x:f>IF(C466="","",IFERROR(Q466*R466/100,""))</x:f>
      </x:c>
      <x:c r="T466" s="55"/>
      <x:c r="U466" s="55"/>
      <x:c r="V466" s="55" t="str">
        <x:f>IF(U466="","",U466-TODAY())</x:f>
      </x:c>
      <x:c r="W466" s="55" t="str">
        <x:f>IF(AND(U466&lt;&gt;"",U466&lt;TODAY(),O466="Активен"),"ДА","")</x:f>
      </x:c>
      <x:c r="X466" s="55"/>
      <x:c r="Y466" s="55"/>
      <x:c r="Z466" s="55"/>
      <x:c r="AA466" s="55"/>
      <x:c r="AB466" s="55" t="str">
        <x:f>IF(C466="","", "Напиши " &amp; AA466 &amp; " за бизнес: " &amp; C466 &amp; ". Тип: " &amp; D466 &amp; ". Град: " &amp; E466 &amp; ". Проблем: " &amp; L466 &amp; ". Предложение: " &amp; M466 &amp; ". Етап: " &amp; N466 &amp; ". Бележки: " &amp; Y466)</x:f>
      </x:c>
      <x:c r="AC466" s="55"/>
    </x:row>
    <x:row r="467">
      <x:c r="A467" s="55"/>
      <x:c r="B467" s="55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55"/>
      <x:c r="S467" s="55" t="str">
        <x:f>IF(C467="","",IFERROR(Q467*R467/100,""))</x:f>
      </x:c>
      <x:c r="T467" s="55"/>
      <x:c r="U467" s="55"/>
      <x:c r="V467" s="55" t="str">
        <x:f>IF(U467="","",U467-TODAY())</x:f>
      </x:c>
      <x:c r="W467" s="55" t="str">
        <x:f>IF(AND(U467&lt;&gt;"",U467&lt;TODAY(),O467="Активен"),"ДА","")</x:f>
      </x:c>
      <x:c r="X467" s="55"/>
      <x:c r="Y467" s="55"/>
      <x:c r="Z467" s="55"/>
      <x:c r="AA467" s="55"/>
      <x:c r="AB467" s="55" t="str">
        <x:f>IF(C467="","", "Напиши " &amp; AA467 &amp; " за бизнес: " &amp; C467 &amp; ". Тип: " &amp; D467 &amp; ". Град: " &amp; E467 &amp; ". Проблем: " &amp; L467 &amp; ". Предложение: " &amp; M467 &amp; ". Етап: " &amp; N467 &amp; ". Бележки: " &amp; Y467)</x:f>
      </x:c>
      <x:c r="AC467" s="55"/>
    </x:row>
    <x:row r="468">
      <x:c r="A468" s="55"/>
      <x:c r="B468" s="55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55"/>
      <x:c r="S468" s="55" t="str">
        <x:f>IF(C468="","",IFERROR(Q468*R468/100,""))</x:f>
      </x:c>
      <x:c r="T468" s="55"/>
      <x:c r="U468" s="55"/>
      <x:c r="V468" s="55" t="str">
        <x:f>IF(U468="","",U468-TODAY())</x:f>
      </x:c>
      <x:c r="W468" s="55" t="str">
        <x:f>IF(AND(U468&lt;&gt;"",U468&lt;TODAY(),O468="Активен"),"ДА","")</x:f>
      </x:c>
      <x:c r="X468" s="55"/>
      <x:c r="Y468" s="55"/>
      <x:c r="Z468" s="55"/>
      <x:c r="AA468" s="55"/>
      <x:c r="AB468" s="55" t="str">
        <x:f>IF(C468="","", "Напиши " &amp; AA468 &amp; " за бизнес: " &amp; C468 &amp; ". Тип: " &amp; D468 &amp; ". Град: " &amp; E468 &amp; ". Проблем: " &amp; L468 &amp; ". Предложение: " &amp; M468 &amp; ". Етап: " &amp; N468 &amp; ". Бележки: " &amp; Y468)</x:f>
      </x:c>
      <x:c r="AC468" s="55"/>
    </x:row>
    <x:row r="469">
      <x:c r="A469" s="55"/>
      <x:c r="B469" s="55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55"/>
      <x:c r="S469" s="55" t="str">
        <x:f>IF(C469="","",IFERROR(Q469*R469/100,""))</x:f>
      </x:c>
      <x:c r="T469" s="55"/>
      <x:c r="U469" s="55"/>
      <x:c r="V469" s="55" t="str">
        <x:f>IF(U469="","",U469-TODAY())</x:f>
      </x:c>
      <x:c r="W469" s="55" t="str">
        <x:f>IF(AND(U469&lt;&gt;"",U469&lt;TODAY(),O469="Активен"),"ДА","")</x:f>
      </x:c>
      <x:c r="X469" s="55"/>
      <x:c r="Y469" s="55"/>
      <x:c r="Z469" s="55"/>
      <x:c r="AA469" s="55"/>
      <x:c r="AB469" s="55" t="str">
        <x:f>IF(C469="","", "Напиши " &amp; AA469 &amp; " за бизнес: " &amp; C469 &amp; ". Тип: " &amp; D469 &amp; ". Град: " &amp; E469 &amp; ". Проблем: " &amp; L469 &amp; ". Предложение: " &amp; M469 &amp; ". Етап: " &amp; N469 &amp; ". Бележки: " &amp; Y469)</x:f>
      </x:c>
      <x:c r="AC469" s="55"/>
    </x:row>
    <x:row r="470">
      <x:c r="A470" s="55"/>
      <x:c r="B470" s="55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55"/>
      <x:c r="S470" s="55" t="str">
        <x:f>IF(C470="","",IFERROR(Q470*R470/100,""))</x:f>
      </x:c>
      <x:c r="T470" s="55"/>
      <x:c r="U470" s="55"/>
      <x:c r="V470" s="55" t="str">
        <x:f>IF(U470="","",U470-TODAY())</x:f>
      </x:c>
      <x:c r="W470" s="55" t="str">
        <x:f>IF(AND(U470&lt;&gt;"",U470&lt;TODAY(),O470="Активен"),"ДА","")</x:f>
      </x:c>
      <x:c r="X470" s="55"/>
      <x:c r="Y470" s="55"/>
      <x:c r="Z470" s="55"/>
      <x:c r="AA470" s="55"/>
      <x:c r="AB470" s="55" t="str">
        <x:f>IF(C470="","", "Напиши " &amp; AA470 &amp; " за бизнес: " &amp; C470 &amp; ". Тип: " &amp; D470 &amp; ". Град: " &amp; E470 &amp; ". Проблем: " &amp; L470 &amp; ". Предложение: " &amp; M470 &amp; ". Етап: " &amp; N470 &amp; ". Бележки: " &amp; Y470)</x:f>
      </x:c>
      <x:c r="AC470" s="55"/>
    </x:row>
    <x:row r="471">
      <x:c r="A471" s="55"/>
      <x:c r="B471" s="55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55"/>
      <x:c r="S471" s="55" t="str">
        <x:f>IF(C471="","",IFERROR(Q471*R471/100,""))</x:f>
      </x:c>
      <x:c r="T471" s="55"/>
      <x:c r="U471" s="55"/>
      <x:c r="V471" s="55" t="str">
        <x:f>IF(U471="","",U471-TODAY())</x:f>
      </x:c>
      <x:c r="W471" s="55" t="str">
        <x:f>IF(AND(U471&lt;&gt;"",U471&lt;TODAY(),O471="Активен"),"ДА","")</x:f>
      </x:c>
      <x:c r="X471" s="55"/>
      <x:c r="Y471" s="55"/>
      <x:c r="Z471" s="55"/>
      <x:c r="AA471" s="55"/>
      <x:c r="AB471" s="55" t="str">
        <x:f>IF(C471="","", "Напиши " &amp; AA471 &amp; " за бизнес: " &amp; C471 &amp; ". Тип: " &amp; D471 &amp; ". Град: " &amp; E471 &amp; ". Проблем: " &amp; L471 &amp; ". Предложение: " &amp; M471 &amp; ". Етап: " &amp; N471 &amp; ". Бележки: " &amp; Y471)</x:f>
      </x:c>
      <x:c r="AC471" s="55"/>
    </x:row>
    <x:row r="472">
      <x:c r="A472" s="55"/>
      <x:c r="B472" s="55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55"/>
      <x:c r="S472" s="55" t="str">
        <x:f>IF(C472="","",IFERROR(Q472*R472/100,""))</x:f>
      </x:c>
      <x:c r="T472" s="55"/>
      <x:c r="U472" s="55"/>
      <x:c r="V472" s="55" t="str">
        <x:f>IF(U472="","",U472-TODAY())</x:f>
      </x:c>
      <x:c r="W472" s="55" t="str">
        <x:f>IF(AND(U472&lt;&gt;"",U472&lt;TODAY(),O472="Активен"),"ДА","")</x:f>
      </x:c>
      <x:c r="X472" s="55"/>
      <x:c r="Y472" s="55"/>
      <x:c r="Z472" s="55"/>
      <x:c r="AA472" s="55"/>
      <x:c r="AB472" s="55" t="str">
        <x:f>IF(C472="","", "Напиши " &amp; AA472 &amp; " за бизнес: " &amp; C472 &amp; ". Тип: " &amp; D472 &amp; ". Град: " &amp; E472 &amp; ". Проблем: " &amp; L472 &amp; ". Предложение: " &amp; M472 &amp; ". Етап: " &amp; N472 &amp; ". Бележки: " &amp; Y472)</x:f>
      </x:c>
      <x:c r="AC472" s="55"/>
    </x:row>
    <x:row r="473">
      <x:c r="A473" s="55"/>
      <x:c r="B473" s="55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55"/>
      <x:c r="S473" s="55" t="str">
        <x:f>IF(C473="","",IFERROR(Q473*R473/100,""))</x:f>
      </x:c>
      <x:c r="T473" s="55"/>
      <x:c r="U473" s="55"/>
      <x:c r="V473" s="55" t="str">
        <x:f>IF(U473="","",U473-TODAY())</x:f>
      </x:c>
      <x:c r="W473" s="55" t="str">
        <x:f>IF(AND(U473&lt;&gt;"",U473&lt;TODAY(),O473="Активен"),"ДА","")</x:f>
      </x:c>
      <x:c r="X473" s="55"/>
      <x:c r="Y473" s="55"/>
      <x:c r="Z473" s="55"/>
      <x:c r="AA473" s="55"/>
      <x:c r="AB473" s="55" t="str">
        <x:f>IF(C473="","", "Напиши " &amp; AA473 &amp; " за бизнес: " &amp; C473 &amp; ". Тип: " &amp; D473 &amp; ". Град: " &amp; E473 &amp; ". Проблем: " &amp; L473 &amp; ". Предложение: " &amp; M473 &amp; ". Етап: " &amp; N473 &amp; ". Бележки: " &amp; Y473)</x:f>
      </x:c>
      <x:c r="AC473" s="55"/>
    </x:row>
    <x:row r="474">
      <x:c r="A474" s="55"/>
      <x:c r="B474" s="55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55"/>
      <x:c r="S474" s="55" t="str">
        <x:f>IF(C474="","",IFERROR(Q474*R474/100,""))</x:f>
      </x:c>
      <x:c r="T474" s="55"/>
      <x:c r="U474" s="55"/>
      <x:c r="V474" s="55" t="str">
        <x:f>IF(U474="","",U474-TODAY())</x:f>
      </x:c>
      <x:c r="W474" s="55" t="str">
        <x:f>IF(AND(U474&lt;&gt;"",U474&lt;TODAY(),O474="Активен"),"ДА","")</x:f>
      </x:c>
      <x:c r="X474" s="55"/>
      <x:c r="Y474" s="55"/>
      <x:c r="Z474" s="55"/>
      <x:c r="AA474" s="55"/>
      <x:c r="AB474" s="55" t="str">
        <x:f>IF(C474="","", "Напиши " &amp; AA474 &amp; " за бизнес: " &amp; C474 &amp; ". Тип: " &amp; D474 &amp; ". Град: " &amp; E474 &amp; ". Проблем: " &amp; L474 &amp; ". Предложение: " &amp; M474 &amp; ". Етап: " &amp; N474 &amp; ". Бележки: " &amp; Y474)</x:f>
      </x:c>
      <x:c r="AC474" s="55"/>
    </x:row>
    <x:row r="475">
      <x:c r="A475" s="55"/>
      <x:c r="B475" s="55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55"/>
      <x:c r="S475" s="55" t="str">
        <x:f>IF(C475="","",IFERROR(Q475*R475/100,""))</x:f>
      </x:c>
      <x:c r="T475" s="55"/>
      <x:c r="U475" s="55"/>
      <x:c r="V475" s="55" t="str">
        <x:f>IF(U475="","",U475-TODAY())</x:f>
      </x:c>
      <x:c r="W475" s="55" t="str">
        <x:f>IF(AND(U475&lt;&gt;"",U475&lt;TODAY(),O475="Активен"),"ДА","")</x:f>
      </x:c>
      <x:c r="X475" s="55"/>
      <x:c r="Y475" s="55"/>
      <x:c r="Z475" s="55"/>
      <x:c r="AA475" s="55"/>
      <x:c r="AB475" s="55" t="str">
        <x:f>IF(C475="","", "Напиши " &amp; AA475 &amp; " за бизнес: " &amp; C475 &amp; ". Тип: " &amp; D475 &amp; ". Град: " &amp; E475 &amp; ". Проблем: " &amp; L475 &amp; ". Предложение: " &amp; M475 &amp; ". Етап: " &amp; N475 &amp; ". Бележки: " &amp; Y475)</x:f>
      </x:c>
      <x:c r="AC475" s="55"/>
    </x:row>
    <x:row r="476">
      <x:c r="A476" s="55"/>
      <x:c r="B476" s="55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55"/>
      <x:c r="S476" s="55" t="str">
        <x:f>IF(C476="","",IFERROR(Q476*R476/100,""))</x:f>
      </x:c>
      <x:c r="T476" s="55"/>
      <x:c r="U476" s="55"/>
      <x:c r="V476" s="55" t="str">
        <x:f>IF(U476="","",U476-TODAY())</x:f>
      </x:c>
      <x:c r="W476" s="55" t="str">
        <x:f>IF(AND(U476&lt;&gt;"",U476&lt;TODAY(),O476="Активен"),"ДА","")</x:f>
      </x:c>
      <x:c r="X476" s="55"/>
      <x:c r="Y476" s="55"/>
      <x:c r="Z476" s="55"/>
      <x:c r="AA476" s="55"/>
      <x:c r="AB476" s="55" t="str">
        <x:f>IF(C476="","", "Напиши " &amp; AA476 &amp; " за бизнес: " &amp; C476 &amp; ". Тип: " &amp; D476 &amp; ". Град: " &amp; E476 &amp; ". Проблем: " &amp; L476 &amp; ". Предложение: " &amp; M476 &amp; ". Етап: " &amp; N476 &amp; ". Бележки: " &amp; Y476)</x:f>
      </x:c>
      <x:c r="AC476" s="55"/>
    </x:row>
    <x:row r="477">
      <x:c r="A477" s="55"/>
      <x:c r="B477" s="55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55"/>
      <x:c r="S477" s="55" t="str">
        <x:f>IF(C477="","",IFERROR(Q477*R477/100,""))</x:f>
      </x:c>
      <x:c r="T477" s="55"/>
      <x:c r="U477" s="55"/>
      <x:c r="V477" s="55" t="str">
        <x:f>IF(U477="","",U477-TODAY())</x:f>
      </x:c>
      <x:c r="W477" s="55" t="str">
        <x:f>IF(AND(U477&lt;&gt;"",U477&lt;TODAY(),O477="Активен"),"ДА","")</x:f>
      </x:c>
      <x:c r="X477" s="55"/>
      <x:c r="Y477" s="55"/>
      <x:c r="Z477" s="55"/>
      <x:c r="AA477" s="55"/>
      <x:c r="AB477" s="55" t="str">
        <x:f>IF(C477="","", "Напиши " &amp; AA477 &amp; " за бизнес: " &amp; C477 &amp; ". Тип: " &amp; D477 &amp; ". Град: " &amp; E477 &amp; ". Проблем: " &amp; L477 &amp; ". Предложение: " &amp; M477 &amp; ". Етап: " &amp; N477 &amp; ". Бележки: " &amp; Y477)</x:f>
      </x:c>
      <x:c r="AC477" s="55"/>
    </x:row>
    <x:row r="478">
      <x:c r="A478" s="55"/>
      <x:c r="B478" s="55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55"/>
      <x:c r="S478" s="55" t="str">
        <x:f>IF(C478="","",IFERROR(Q478*R478/100,""))</x:f>
      </x:c>
      <x:c r="T478" s="55"/>
      <x:c r="U478" s="55"/>
      <x:c r="V478" s="55" t="str">
        <x:f>IF(U478="","",U478-TODAY())</x:f>
      </x:c>
      <x:c r="W478" s="55" t="str">
        <x:f>IF(AND(U478&lt;&gt;"",U478&lt;TODAY(),O478="Активен"),"ДА","")</x:f>
      </x:c>
      <x:c r="X478" s="55"/>
      <x:c r="Y478" s="55"/>
      <x:c r="Z478" s="55"/>
      <x:c r="AA478" s="55"/>
      <x:c r="AB478" s="55" t="str">
        <x:f>IF(C478="","", "Напиши " &amp; AA478 &amp; " за бизнес: " &amp; C478 &amp; ". Тип: " &amp; D478 &amp; ". Град: " &amp; E478 &amp; ". Проблем: " &amp; L478 &amp; ". Предложение: " &amp; M478 &amp; ". Етап: " &amp; N478 &amp; ". Бележки: " &amp; Y478)</x:f>
      </x:c>
      <x:c r="AC478" s="55"/>
    </x:row>
    <x:row r="479">
      <x:c r="A479" s="55"/>
      <x:c r="B479" s="55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55"/>
      <x:c r="S479" s="55" t="str">
        <x:f>IF(C479="","",IFERROR(Q479*R479/100,""))</x:f>
      </x:c>
      <x:c r="T479" s="55"/>
      <x:c r="U479" s="55"/>
      <x:c r="V479" s="55" t="str">
        <x:f>IF(U479="","",U479-TODAY())</x:f>
      </x:c>
      <x:c r="W479" s="55" t="str">
        <x:f>IF(AND(U479&lt;&gt;"",U479&lt;TODAY(),O479="Активен"),"ДА","")</x:f>
      </x:c>
      <x:c r="X479" s="55"/>
      <x:c r="Y479" s="55"/>
      <x:c r="Z479" s="55"/>
      <x:c r="AA479" s="55"/>
      <x:c r="AB479" s="55" t="str">
        <x:f>IF(C479="","", "Напиши " &amp; AA479 &amp; " за бизнес: " &amp; C479 &amp; ". Тип: " &amp; D479 &amp; ". Град: " &amp; E479 &amp; ". Проблем: " &amp; L479 &amp; ". Предложение: " &amp; M479 &amp; ". Етап: " &amp; N479 &amp; ". Бележки: " &amp; Y479)</x:f>
      </x:c>
      <x:c r="AC479" s="55"/>
    </x:row>
    <x:row r="480">
      <x:c r="A480" s="55"/>
      <x:c r="B480" s="55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55"/>
      <x:c r="S480" s="55" t="str">
        <x:f>IF(C480="","",IFERROR(Q480*R480/100,""))</x:f>
      </x:c>
      <x:c r="T480" s="55"/>
      <x:c r="U480" s="55"/>
      <x:c r="V480" s="55" t="str">
        <x:f>IF(U480="","",U480-TODAY())</x:f>
      </x:c>
      <x:c r="W480" s="55" t="str">
        <x:f>IF(AND(U480&lt;&gt;"",U480&lt;TODAY(),O480="Активен"),"ДА","")</x:f>
      </x:c>
      <x:c r="X480" s="55"/>
      <x:c r="Y480" s="55"/>
      <x:c r="Z480" s="55"/>
      <x:c r="AA480" s="55"/>
      <x:c r="AB480" s="55" t="str">
        <x:f>IF(C480="","", "Напиши " &amp; AA480 &amp; " за бизнес: " &amp; C480 &amp; ". Тип: " &amp; D480 &amp; ". Град: " &amp; E480 &amp; ". Проблем: " &amp; L480 &amp; ". Предложение: " &amp; M480 &amp; ". Етап: " &amp; N480 &amp; ". Бележки: " &amp; Y480)</x:f>
      </x:c>
      <x:c r="AC480" s="55"/>
    </x:row>
    <x:row r="481">
      <x:c r="A481" s="55"/>
      <x:c r="B481" s="55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55"/>
      <x:c r="S481" s="55" t="str">
        <x:f>IF(C481="","",IFERROR(Q481*R481/100,""))</x:f>
      </x:c>
      <x:c r="T481" s="55"/>
      <x:c r="U481" s="55"/>
      <x:c r="V481" s="55" t="str">
        <x:f>IF(U481="","",U481-TODAY())</x:f>
      </x:c>
      <x:c r="W481" s="55" t="str">
        <x:f>IF(AND(U481&lt;&gt;"",U481&lt;TODAY(),O481="Активен"),"ДА","")</x:f>
      </x:c>
      <x:c r="X481" s="55"/>
      <x:c r="Y481" s="55"/>
      <x:c r="Z481" s="55"/>
      <x:c r="AA481" s="55"/>
      <x:c r="AB481" s="55" t="str">
        <x:f>IF(C481="","", "Напиши " &amp; AA481 &amp; " за бизнес: " &amp; C481 &amp; ". Тип: " &amp; D481 &amp; ". Град: " &amp; E481 &amp; ". Проблем: " &amp; L481 &amp; ". Предложение: " &amp; M481 &amp; ". Етап: " &amp; N481 &amp; ". Бележки: " &amp; Y481)</x:f>
      </x:c>
      <x:c r="AC481" s="55"/>
    </x:row>
    <x:row r="482">
      <x:c r="A482" s="55"/>
      <x:c r="B482" s="55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55"/>
      <x:c r="S482" s="55" t="str">
        <x:f>IF(C482="","",IFERROR(Q482*R482/100,""))</x:f>
      </x:c>
      <x:c r="T482" s="55"/>
      <x:c r="U482" s="55"/>
      <x:c r="V482" s="55" t="str">
        <x:f>IF(U482="","",U482-TODAY())</x:f>
      </x:c>
      <x:c r="W482" s="55" t="str">
        <x:f>IF(AND(U482&lt;&gt;"",U482&lt;TODAY(),O482="Активен"),"ДА","")</x:f>
      </x:c>
      <x:c r="X482" s="55"/>
      <x:c r="Y482" s="55"/>
      <x:c r="Z482" s="55"/>
      <x:c r="AA482" s="55"/>
      <x:c r="AB482" s="55" t="str">
        <x:f>IF(C482="","", "Напиши " &amp; AA482 &amp; " за бизнес: " &amp; C482 &amp; ". Тип: " &amp; D482 &amp; ". Град: " &amp; E482 &amp; ". Проблем: " &amp; L482 &amp; ". Предложение: " &amp; M482 &amp; ". Етап: " &amp; N482 &amp; ". Бележки: " &amp; Y482)</x:f>
      </x:c>
      <x:c r="AC482" s="55"/>
    </x:row>
    <x:row r="483">
      <x:c r="A483" s="55"/>
      <x:c r="B483" s="55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55"/>
      <x:c r="S483" s="55" t="str">
        <x:f>IF(C483="","",IFERROR(Q483*R483/100,""))</x:f>
      </x:c>
      <x:c r="T483" s="55"/>
      <x:c r="U483" s="55"/>
      <x:c r="V483" s="55" t="str">
        <x:f>IF(U483="","",U483-TODAY())</x:f>
      </x:c>
      <x:c r="W483" s="55" t="str">
        <x:f>IF(AND(U483&lt;&gt;"",U483&lt;TODAY(),O483="Активен"),"ДА","")</x:f>
      </x:c>
      <x:c r="X483" s="55"/>
      <x:c r="Y483" s="55"/>
      <x:c r="Z483" s="55"/>
      <x:c r="AA483" s="55"/>
      <x:c r="AB483" s="55" t="str">
        <x:f>IF(C483="","", "Напиши " &amp; AA483 &amp; " за бизнес: " &amp; C483 &amp; ". Тип: " &amp; D483 &amp; ". Град: " &amp; E483 &amp; ". Проблем: " &amp; L483 &amp; ". Предложение: " &amp; M483 &amp; ". Етап: " &amp; N483 &amp; ". Бележки: " &amp; Y483)</x:f>
      </x:c>
      <x:c r="AC483" s="55"/>
    </x:row>
    <x:row r="484">
      <x:c r="A484" s="55"/>
      <x:c r="B484" s="55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55"/>
      <x:c r="S484" s="55" t="str">
        <x:f>IF(C484="","",IFERROR(Q484*R484/100,""))</x:f>
      </x:c>
      <x:c r="T484" s="55"/>
      <x:c r="U484" s="55"/>
      <x:c r="V484" s="55" t="str">
        <x:f>IF(U484="","",U484-TODAY())</x:f>
      </x:c>
      <x:c r="W484" s="55" t="str">
        <x:f>IF(AND(U484&lt;&gt;"",U484&lt;TODAY(),O484="Активен"),"ДА","")</x:f>
      </x:c>
      <x:c r="X484" s="55"/>
      <x:c r="Y484" s="55"/>
      <x:c r="Z484" s="55"/>
      <x:c r="AA484" s="55"/>
      <x:c r="AB484" s="55" t="str">
        <x:f>IF(C484="","", "Напиши " &amp; AA484 &amp; " за бизнес: " &amp; C484 &amp; ". Тип: " &amp; D484 &amp; ". Град: " &amp; E484 &amp; ". Проблем: " &amp; L484 &amp; ". Предложение: " &amp; M484 &amp; ". Етап: " &amp; N484 &amp; ". Бележки: " &amp; Y484)</x:f>
      </x:c>
      <x:c r="AC484" s="55"/>
    </x:row>
    <x:row r="485">
      <x:c r="A485" s="55"/>
      <x:c r="B485" s="55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55"/>
      <x:c r="S485" s="55" t="str">
        <x:f>IF(C485="","",IFERROR(Q485*R485/100,""))</x:f>
      </x:c>
      <x:c r="T485" s="55"/>
      <x:c r="U485" s="55"/>
      <x:c r="V485" s="55" t="str">
        <x:f>IF(U485="","",U485-TODAY())</x:f>
      </x:c>
      <x:c r="W485" s="55" t="str">
        <x:f>IF(AND(U485&lt;&gt;"",U485&lt;TODAY(),O485="Активен"),"ДА","")</x:f>
      </x:c>
      <x:c r="X485" s="55"/>
      <x:c r="Y485" s="55"/>
      <x:c r="Z485" s="55"/>
      <x:c r="AA485" s="55"/>
      <x:c r="AB485" s="55" t="str">
        <x:f>IF(C485="","", "Напиши " &amp; AA485 &amp; " за бизнес: " &amp; C485 &amp; ". Тип: " &amp; D485 &amp; ". Град: " &amp; E485 &amp; ". Проблем: " &amp; L485 &amp; ". Предложение: " &amp; M485 &amp; ". Етап: " &amp; N485 &amp; ". Бележки: " &amp; Y485)</x:f>
      </x:c>
      <x:c r="AC485" s="55"/>
    </x:row>
    <x:row r="486">
      <x:c r="A486" s="55"/>
      <x:c r="B486" s="55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55"/>
      <x:c r="S486" s="55" t="str">
        <x:f>IF(C486="","",IFERROR(Q486*R486/100,""))</x:f>
      </x:c>
      <x:c r="T486" s="55"/>
      <x:c r="U486" s="55"/>
      <x:c r="V486" s="55" t="str">
        <x:f>IF(U486="","",U486-TODAY())</x:f>
      </x:c>
      <x:c r="W486" s="55" t="str">
        <x:f>IF(AND(U486&lt;&gt;"",U486&lt;TODAY(),O486="Активен"),"ДА","")</x:f>
      </x:c>
      <x:c r="X486" s="55"/>
      <x:c r="Y486" s="55"/>
      <x:c r="Z486" s="55"/>
      <x:c r="AA486" s="55"/>
      <x:c r="AB486" s="55" t="str">
        <x:f>IF(C486="","", "Напиши " &amp; AA486 &amp; " за бизнес: " &amp; C486 &amp; ". Тип: " &amp; D486 &amp; ". Град: " &amp; E486 &amp; ". Проблем: " &amp; L486 &amp; ". Предложение: " &amp; M486 &amp; ". Етап: " &amp; N486 &amp; ". Бележки: " &amp; Y486)</x:f>
      </x:c>
      <x:c r="AC486" s="55"/>
    </x:row>
    <x:row r="487">
      <x:c r="A487" s="55"/>
      <x:c r="B487" s="55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55"/>
      <x:c r="S487" s="55" t="str">
        <x:f>IF(C487="","",IFERROR(Q487*R487/100,""))</x:f>
      </x:c>
      <x:c r="T487" s="55"/>
      <x:c r="U487" s="55"/>
      <x:c r="V487" s="55" t="str">
        <x:f>IF(U487="","",U487-TODAY())</x:f>
      </x:c>
      <x:c r="W487" s="55" t="str">
        <x:f>IF(AND(U487&lt;&gt;"",U487&lt;TODAY(),O487="Активен"),"ДА","")</x:f>
      </x:c>
      <x:c r="X487" s="55"/>
      <x:c r="Y487" s="55"/>
      <x:c r="Z487" s="55"/>
      <x:c r="AA487" s="55"/>
      <x:c r="AB487" s="55" t="str">
        <x:f>IF(C487="","", "Напиши " &amp; AA487 &amp; " за бизнес: " &amp; C487 &amp; ". Тип: " &amp; D487 &amp; ". Град: " &amp; E487 &amp; ". Проблем: " &amp; L487 &amp; ". Предложение: " &amp; M487 &amp; ". Етап: " &amp; N487 &amp; ". Бележки: " &amp; Y487)</x:f>
      </x:c>
      <x:c r="AC487" s="55"/>
    </x:row>
    <x:row r="488">
      <x:c r="A488" s="55"/>
      <x:c r="B488" s="55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55"/>
      <x:c r="S488" s="55" t="str">
        <x:f>IF(C488="","",IFERROR(Q488*R488/100,""))</x:f>
      </x:c>
      <x:c r="T488" s="55"/>
      <x:c r="U488" s="55"/>
      <x:c r="V488" s="55" t="str">
        <x:f>IF(U488="","",U488-TODAY())</x:f>
      </x:c>
      <x:c r="W488" s="55" t="str">
        <x:f>IF(AND(U488&lt;&gt;"",U488&lt;TODAY(),O488="Активен"),"ДА","")</x:f>
      </x:c>
      <x:c r="X488" s="55"/>
      <x:c r="Y488" s="55"/>
      <x:c r="Z488" s="55"/>
      <x:c r="AA488" s="55"/>
      <x:c r="AB488" s="55" t="str">
        <x:f>IF(C488="","", "Напиши " &amp; AA488 &amp; " за бизнес: " &amp; C488 &amp; ". Тип: " &amp; D488 &amp; ". Град: " &amp; E488 &amp; ". Проблем: " &amp; L488 &amp; ". Предложение: " &amp; M488 &amp; ". Етап: " &amp; N488 &amp; ". Бележки: " &amp; Y488)</x:f>
      </x:c>
      <x:c r="AC488" s="55"/>
    </x:row>
    <x:row r="489">
      <x:c r="A489" s="55"/>
      <x:c r="B489" s="55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55"/>
      <x:c r="S489" s="55" t="str">
        <x:f>IF(C489="","",IFERROR(Q489*R489/100,""))</x:f>
      </x:c>
      <x:c r="T489" s="55"/>
      <x:c r="U489" s="55"/>
      <x:c r="V489" s="55" t="str">
        <x:f>IF(U489="","",U489-TODAY())</x:f>
      </x:c>
      <x:c r="W489" s="55" t="str">
        <x:f>IF(AND(U489&lt;&gt;"",U489&lt;TODAY(),O489="Активен"),"ДА","")</x:f>
      </x:c>
      <x:c r="X489" s="55"/>
      <x:c r="Y489" s="55"/>
      <x:c r="Z489" s="55"/>
      <x:c r="AA489" s="55"/>
      <x:c r="AB489" s="55" t="str">
        <x:f>IF(C489="","", "Напиши " &amp; AA489 &amp; " за бизнес: " &amp; C489 &amp; ". Тип: " &amp; D489 &amp; ". Град: " &amp; E489 &amp; ". Проблем: " &amp; L489 &amp; ". Предложение: " &amp; M489 &amp; ". Етап: " &amp; N489 &amp; ". Бележки: " &amp; Y489)</x:f>
      </x:c>
      <x:c r="AC489" s="55"/>
    </x:row>
    <x:row r="490">
      <x:c r="A490" s="55"/>
      <x:c r="B490" s="55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55"/>
      <x:c r="S490" s="55" t="str">
        <x:f>IF(C490="","",IFERROR(Q490*R490/100,""))</x:f>
      </x:c>
      <x:c r="T490" s="55"/>
      <x:c r="U490" s="55"/>
      <x:c r="V490" s="55" t="str">
        <x:f>IF(U490="","",U490-TODAY())</x:f>
      </x:c>
      <x:c r="W490" s="55" t="str">
        <x:f>IF(AND(U490&lt;&gt;"",U490&lt;TODAY(),O490="Активен"),"ДА","")</x:f>
      </x:c>
      <x:c r="X490" s="55"/>
      <x:c r="Y490" s="55"/>
      <x:c r="Z490" s="55"/>
      <x:c r="AA490" s="55"/>
      <x:c r="AB490" s="55" t="str">
        <x:f>IF(C490="","", "Напиши " &amp; AA490 &amp; " за бизнес: " &amp; C490 &amp; ". Тип: " &amp; D490 &amp; ". Град: " &amp; E490 &amp; ". Проблем: " &amp; L490 &amp; ". Предложение: " &amp; M490 &amp; ". Етап: " &amp; N490 &amp; ". Бележки: " &amp; Y490)</x:f>
      </x:c>
      <x:c r="AC490" s="55"/>
    </x:row>
    <x:row r="491">
      <x:c r="A491" s="55"/>
      <x:c r="B491" s="55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55"/>
      <x:c r="S491" s="55" t="str">
        <x:f>IF(C491="","",IFERROR(Q491*R491/100,""))</x:f>
      </x:c>
      <x:c r="T491" s="55"/>
      <x:c r="U491" s="55"/>
      <x:c r="V491" s="55" t="str">
        <x:f>IF(U491="","",U491-TODAY())</x:f>
      </x:c>
      <x:c r="W491" s="55" t="str">
        <x:f>IF(AND(U491&lt;&gt;"",U491&lt;TODAY(),O491="Активен"),"ДА","")</x:f>
      </x:c>
      <x:c r="X491" s="55"/>
      <x:c r="Y491" s="55"/>
      <x:c r="Z491" s="55"/>
      <x:c r="AA491" s="55"/>
      <x:c r="AB491" s="55" t="str">
        <x:f>IF(C491="","", "Напиши " &amp; AA491 &amp; " за бизнес: " &amp; C491 &amp; ". Тип: " &amp; D491 &amp; ". Град: " &amp; E491 &amp; ". Проблем: " &amp; L491 &amp; ". Предложение: " &amp; M491 &amp; ". Етап: " &amp; N491 &amp; ". Бележки: " &amp; Y491)</x:f>
      </x:c>
      <x:c r="AC491" s="55"/>
    </x:row>
    <x:row r="492">
      <x:c r="A492" s="55"/>
      <x:c r="B492" s="55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55"/>
      <x:c r="S492" s="55" t="str">
        <x:f>IF(C492="","",IFERROR(Q492*R492/100,""))</x:f>
      </x:c>
      <x:c r="T492" s="55"/>
      <x:c r="U492" s="55"/>
      <x:c r="V492" s="55" t="str">
        <x:f>IF(U492="","",U492-TODAY())</x:f>
      </x:c>
      <x:c r="W492" s="55" t="str">
        <x:f>IF(AND(U492&lt;&gt;"",U492&lt;TODAY(),O492="Активен"),"ДА","")</x:f>
      </x:c>
      <x:c r="X492" s="55"/>
      <x:c r="Y492" s="55"/>
      <x:c r="Z492" s="55"/>
      <x:c r="AA492" s="55"/>
      <x:c r="AB492" s="55" t="str">
        <x:f>IF(C492="","", "Напиши " &amp; AA492 &amp; " за бизнес: " &amp; C492 &amp; ". Тип: " &amp; D492 &amp; ". Град: " &amp; E492 &amp; ". Проблем: " &amp; L492 &amp; ". Предложение: " &amp; M492 &amp; ". Етап: " &amp; N492 &amp; ". Бележки: " &amp; Y492)</x:f>
      </x:c>
      <x:c r="AC492" s="55"/>
    </x:row>
    <x:row r="493">
      <x:c r="A493" s="55"/>
      <x:c r="B493" s="55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55"/>
      <x:c r="S493" s="55" t="str">
        <x:f>IF(C493="","",IFERROR(Q493*R493/100,""))</x:f>
      </x:c>
      <x:c r="T493" s="55"/>
      <x:c r="U493" s="55"/>
      <x:c r="V493" s="55" t="str">
        <x:f>IF(U493="","",U493-TODAY())</x:f>
      </x:c>
      <x:c r="W493" s="55" t="str">
        <x:f>IF(AND(U493&lt;&gt;"",U493&lt;TODAY(),O493="Активен"),"ДА","")</x:f>
      </x:c>
      <x:c r="X493" s="55"/>
      <x:c r="Y493" s="55"/>
      <x:c r="Z493" s="55"/>
      <x:c r="AA493" s="55"/>
      <x:c r="AB493" s="55" t="str">
        <x:f>IF(C493="","", "Напиши " &amp; AA493 &amp; " за бизнес: " &amp; C493 &amp; ". Тип: " &amp; D493 &amp; ". Град: " &amp; E493 &amp; ". Проблем: " &amp; L493 &amp; ". Предложение: " &amp; M493 &amp; ". Етап: " &amp; N493 &amp; ". Бележки: " &amp; Y493)</x:f>
      </x:c>
      <x:c r="AC493" s="55"/>
    </x:row>
    <x:row r="494">
      <x:c r="A494" s="55"/>
      <x:c r="B494" s="55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55"/>
      <x:c r="S494" s="55" t="str">
        <x:f>IF(C494="","",IFERROR(Q494*R494/100,""))</x:f>
      </x:c>
      <x:c r="T494" s="55"/>
      <x:c r="U494" s="55"/>
      <x:c r="V494" s="55" t="str">
        <x:f>IF(U494="","",U494-TODAY())</x:f>
      </x:c>
      <x:c r="W494" s="55" t="str">
        <x:f>IF(AND(U494&lt;&gt;"",U494&lt;TODAY(),O494="Активен"),"ДА","")</x:f>
      </x:c>
      <x:c r="X494" s="55"/>
      <x:c r="Y494" s="55"/>
      <x:c r="Z494" s="55"/>
      <x:c r="AA494" s="55"/>
      <x:c r="AB494" s="55" t="str">
        <x:f>IF(C494="","", "Напиши " &amp; AA494 &amp; " за бизнес: " &amp; C494 &amp; ". Тип: " &amp; D494 &amp; ". Град: " &amp; E494 &amp; ". Проблем: " &amp; L494 &amp; ". Предложение: " &amp; M494 &amp; ". Етап: " &amp; N494 &amp; ". Бележки: " &amp; Y494)</x:f>
      </x:c>
      <x:c r="AC494" s="55"/>
    </x:row>
    <x:row r="495">
      <x:c r="A495" s="55"/>
      <x:c r="B495" s="55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55"/>
      <x:c r="S495" s="55" t="str">
        <x:f>IF(C495="","",IFERROR(Q495*R495/100,""))</x:f>
      </x:c>
      <x:c r="T495" s="55"/>
      <x:c r="U495" s="55"/>
      <x:c r="V495" s="55" t="str">
        <x:f>IF(U495="","",U495-TODAY())</x:f>
      </x:c>
      <x:c r="W495" s="55" t="str">
        <x:f>IF(AND(U495&lt;&gt;"",U495&lt;TODAY(),O495="Активен"),"ДА","")</x:f>
      </x:c>
      <x:c r="X495" s="55"/>
      <x:c r="Y495" s="55"/>
      <x:c r="Z495" s="55"/>
      <x:c r="AA495" s="55"/>
      <x:c r="AB495" s="55" t="str">
        <x:f>IF(C495="","", "Напиши " &amp; AA495 &amp; " за бизнес: " &amp; C495 &amp; ". Тип: " &amp; D495 &amp; ". Град: " &amp; E495 &amp; ". Проблем: " &amp; L495 &amp; ". Предложение: " &amp; M495 &amp; ". Етап: " &amp; N495 &amp; ". Бележки: " &amp; Y495)</x:f>
      </x:c>
      <x:c r="AC495" s="55"/>
    </x:row>
    <x:row r="496">
      <x:c r="A496" s="55"/>
      <x:c r="B496" s="55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55"/>
      <x:c r="S496" s="55" t="str">
        <x:f>IF(C496="","",IFERROR(Q496*R496/100,""))</x:f>
      </x:c>
      <x:c r="T496" s="55"/>
      <x:c r="U496" s="55"/>
      <x:c r="V496" s="55" t="str">
        <x:f>IF(U496="","",U496-TODAY())</x:f>
      </x:c>
      <x:c r="W496" s="55" t="str">
        <x:f>IF(AND(U496&lt;&gt;"",U496&lt;TODAY(),O496="Активен"),"ДА","")</x:f>
      </x:c>
      <x:c r="X496" s="55"/>
      <x:c r="Y496" s="55"/>
      <x:c r="Z496" s="55"/>
      <x:c r="AA496" s="55"/>
      <x:c r="AB496" s="55" t="str">
        <x:f>IF(C496="","", "Напиши " &amp; AA496 &amp; " за бизнес: " &amp; C496 &amp; ". Тип: " &amp; D496 &amp; ". Град: " &amp; E496 &amp; ". Проблем: " &amp; L496 &amp; ". Предложение: " &amp; M496 &amp; ". Етап: " &amp; N496 &amp; ". Бележки: " &amp; Y496)</x:f>
      </x:c>
      <x:c r="AC496" s="55"/>
    </x:row>
    <x:row r="497">
      <x:c r="A497" s="55"/>
      <x:c r="B497" s="55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55"/>
      <x:c r="S497" s="55" t="str">
        <x:f>IF(C497="","",IFERROR(Q497*R497/100,""))</x:f>
      </x:c>
      <x:c r="T497" s="55"/>
      <x:c r="U497" s="55"/>
      <x:c r="V497" s="55" t="str">
        <x:f>IF(U497="","",U497-TODAY())</x:f>
      </x:c>
      <x:c r="W497" s="55" t="str">
        <x:f>IF(AND(U497&lt;&gt;"",U497&lt;TODAY(),O497="Активен"),"ДА","")</x:f>
      </x:c>
      <x:c r="X497" s="55"/>
      <x:c r="Y497" s="55"/>
      <x:c r="Z497" s="55"/>
      <x:c r="AA497" s="55"/>
      <x:c r="AB497" s="55" t="str">
        <x:f>IF(C497="","", "Напиши " &amp; AA497 &amp; " за бизнес: " &amp; C497 &amp; ". Тип: " &amp; D497 &amp; ". Град: " &amp; E497 &amp; ". Проблем: " &amp; L497 &amp; ". Предложение: " &amp; M497 &amp; ". Етап: " &amp; N497 &amp; ". Бележки: " &amp; Y497)</x:f>
      </x:c>
      <x:c r="AC497" s="55"/>
    </x:row>
    <x:row r="498">
      <x:c r="A498" s="55"/>
      <x:c r="B498" s="55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55"/>
      <x:c r="S498" s="55" t="str">
        <x:f>IF(C498="","",IFERROR(Q498*R498/100,""))</x:f>
      </x:c>
      <x:c r="T498" s="55"/>
      <x:c r="U498" s="55"/>
      <x:c r="V498" s="55" t="str">
        <x:f>IF(U498="","",U498-TODAY())</x:f>
      </x:c>
      <x:c r="W498" s="55" t="str">
        <x:f>IF(AND(U498&lt;&gt;"",U498&lt;TODAY(),O498="Активен"),"ДА","")</x:f>
      </x:c>
      <x:c r="X498" s="55"/>
      <x:c r="Y498" s="55"/>
      <x:c r="Z498" s="55"/>
      <x:c r="AA498" s="55"/>
      <x:c r="AB498" s="55" t="str">
        <x:f>IF(C498="","", "Напиши " &amp; AA498 &amp; " за бизнес: " &amp; C498 &amp; ". Тип: " &amp; D498 &amp; ". Град: " &amp; E498 &amp; ". Проблем: " &amp; L498 &amp; ". Предложение: " &amp; M498 &amp; ". Етап: " &amp; N498 &amp; ". Бележки: " &amp; Y498)</x:f>
      </x:c>
      <x:c r="AC498" s="55"/>
    </x:row>
    <x:row r="499">
      <x:c r="A499" s="55"/>
      <x:c r="B499" s="55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55"/>
      <x:c r="S499" s="55" t="str">
        <x:f>IF(C499="","",IFERROR(Q499*R499/100,""))</x:f>
      </x:c>
      <x:c r="T499" s="55"/>
      <x:c r="U499" s="55"/>
      <x:c r="V499" s="55" t="str">
        <x:f>IF(U499="","",U499-TODAY())</x:f>
      </x:c>
      <x:c r="W499" s="55" t="str">
        <x:f>IF(AND(U499&lt;&gt;"",U499&lt;TODAY(),O499="Активен"),"ДА","")</x:f>
      </x:c>
      <x:c r="X499" s="55"/>
      <x:c r="Y499" s="55"/>
      <x:c r="Z499" s="55"/>
      <x:c r="AA499" s="55"/>
      <x:c r="AB499" s="55" t="str">
        <x:f>IF(C499="","", "Напиши " &amp; AA499 &amp; " за бизнес: " &amp; C499 &amp; ". Тип: " &amp; D499 &amp; ". Град: " &amp; E499 &amp; ". Проблем: " &amp; L499 &amp; ". Предложение: " &amp; M499 &amp; ". Етап: " &amp; N499 &amp; ". Бележки: " &amp; Y499)</x:f>
      </x:c>
      <x:c r="AC499" s="55"/>
    </x:row>
    <x:row r="500">
      <x:c r="A500" s="55"/>
      <x:c r="B500" s="55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55"/>
      <x:c r="S500" s="55" t="str">
        <x:f>IF(C500="","",IFERROR(Q500*R500/100,""))</x:f>
      </x:c>
      <x:c r="T500" s="55"/>
      <x:c r="U500" s="55"/>
      <x:c r="V500" s="55" t="str">
        <x:f>IF(U500="","",U500-TODAY())</x:f>
      </x:c>
      <x:c r="W500" s="55" t="str">
        <x:f>IF(AND(U500&lt;&gt;"",U500&lt;TODAY(),O500="Активен"),"ДА","")</x:f>
      </x:c>
      <x:c r="X500" s="55"/>
      <x:c r="Y500" s="55"/>
      <x:c r="Z500" s="55"/>
      <x:c r="AA500" s="55"/>
      <x:c r="AB500" s="55" t="str">
        <x:f>IF(C500="","", "Напиши " &amp; AA500 &amp; " за бизнес: " &amp; C500 &amp; ". Тип: " &amp; D500 &amp; ". Град: " &amp; E500 &amp; ". Проблем: " &amp; L500 &amp; ". Предложение: " &amp; M500 &amp; ". Етап: " &amp; N500 &amp; ". Бележки: " &amp; Y500)</x:f>
      </x:c>
      <x:c r="AC500" s="55"/>
    </x:row>
    <x:row r="501">
      <x:c r="A501" s="55"/>
      <x:c r="B501" s="55"/>
      <x:c r="C501" s="55"/>
      <x:c r="D501" s="55"/>
      <x:c r="E501" s="55"/>
      <x:c r="F501" s="55"/>
      <x:c r="G501" s="55"/>
      <x:c r="H501" s="55"/>
      <x:c r="I501" s="55"/>
      <x:c r="J501" s="55"/>
      <x:c r="K501" s="55"/>
      <x:c r="L501" s="55"/>
      <x:c r="M501" s="55"/>
      <x:c r="N501" s="55"/>
      <x:c r="O501" s="55"/>
      <x:c r="P501" s="55"/>
      <x:c r="Q501" s="55"/>
      <x:c r="R501" s="55"/>
      <x:c r="S501" s="55" t="str">
        <x:f>IF(C501="","",IFERROR(Q501*R501/100,""))</x:f>
      </x:c>
      <x:c r="T501" s="55"/>
      <x:c r="U501" s="55"/>
      <x:c r="V501" s="55" t="str">
        <x:f>IF(U501="","",U501-TODAY())</x:f>
      </x:c>
      <x:c r="W501" s="55" t="str">
        <x:f>IF(AND(U501&lt;&gt;"",U501&lt;TODAY(),O501="Активен"),"ДА","")</x:f>
      </x:c>
      <x:c r="X501" s="55"/>
      <x:c r="Y501" s="55"/>
      <x:c r="Z501" s="55"/>
      <x:c r="AA501" s="55"/>
      <x:c r="AB501" s="55" t="str">
        <x:f>IF(C501="","", "Напиши " &amp; AA501 &amp; " за бизнес: " &amp; C501 &amp; ". Тип: " &amp; D501 &amp; ". Град: " &amp; E501 &amp; ". Проблем: " &amp; L501 &amp; ". Предложение: " &amp; M501 &amp; ". Етап: " &amp; N501 &amp; ". Бележки: " &amp; Y501)</x:f>
      </x:c>
      <x:c r="AC501" s="55"/>
    </x:row>
    <x:row r="502">
      <x:c r="A502" s="55"/>
      <x:c r="B502" s="55"/>
      <x:c r="C502" s="55"/>
      <x:c r="D502" s="55"/>
      <x:c r="E502" s="55"/>
      <x:c r="F502" s="55"/>
      <x:c r="G502" s="55"/>
      <x:c r="H502" s="55"/>
      <x:c r="I502" s="55"/>
      <x:c r="J502" s="55"/>
      <x:c r="K502" s="55"/>
      <x:c r="L502" s="55"/>
      <x:c r="M502" s="55"/>
      <x:c r="N502" s="55"/>
      <x:c r="O502" s="55"/>
      <x:c r="P502" s="55"/>
      <x:c r="Q502" s="55"/>
      <x:c r="R502" s="55"/>
      <x:c r="S502" s="55" t="str">
        <x:f>IF(C502="","",IFERROR(Q502*R502/100,""))</x:f>
      </x:c>
      <x:c r="T502" s="55"/>
      <x:c r="U502" s="55"/>
      <x:c r="V502" s="55" t="str">
        <x:f>IF(U502="","",U502-TODAY())</x:f>
      </x:c>
      <x:c r="W502" s="55" t="str">
        <x:f>IF(AND(U502&lt;&gt;"",U502&lt;TODAY(),O502="Активен"),"ДА","")</x:f>
      </x:c>
      <x:c r="X502" s="55"/>
      <x:c r="Y502" s="55"/>
      <x:c r="Z502" s="55"/>
      <x:c r="AA502" s="55"/>
      <x:c r="AB502" s="55" t="str">
        <x:f>IF(C502="","", "Напиши " &amp; AA502 &amp; " за бизнес: " &amp; C502 &amp; ". Тип: " &amp; D502 &amp; ". Град: " &amp; E502 &amp; ". Проблем: " &amp; L502 &amp; ". Предложение: " &amp; M502 &amp; ". Етап: " &amp; N502 &amp; ". Бележки: " &amp; Y502)</x:f>
      </x:c>
      <x:c r="AC502" s="55"/>
    </x:row>
    <x:row r="503">
      <x:c r="A503" s="55"/>
      <x:c r="B503" s="55"/>
      <x:c r="C503" s="55"/>
      <x:c r="D503" s="55"/>
      <x:c r="E503" s="55"/>
      <x:c r="F503" s="55"/>
      <x:c r="G503" s="55"/>
      <x:c r="H503" s="55"/>
      <x:c r="I503" s="55"/>
      <x:c r="J503" s="55"/>
      <x:c r="K503" s="55"/>
      <x:c r="L503" s="55"/>
      <x:c r="M503" s="55"/>
      <x:c r="N503" s="55"/>
      <x:c r="O503" s="55"/>
      <x:c r="P503" s="55"/>
      <x:c r="Q503" s="55"/>
      <x:c r="R503" s="55"/>
      <x:c r="S503" s="55" t="str">
        <x:f>IF(C503="","",IFERROR(Q503*R503/100,""))</x:f>
      </x:c>
      <x:c r="T503" s="55"/>
      <x:c r="U503" s="55"/>
      <x:c r="V503" s="55" t="str">
        <x:f>IF(U503="","",U503-TODAY())</x:f>
      </x:c>
      <x:c r="W503" s="55" t="str">
        <x:f>IF(AND(U503&lt;&gt;"",U503&lt;TODAY(),O503="Активен"),"ДА","")</x:f>
      </x:c>
      <x:c r="X503" s="55"/>
      <x:c r="Y503" s="55"/>
      <x:c r="Z503" s="55"/>
      <x:c r="AA503" s="55"/>
      <x:c r="AB503" s="55" t="str">
        <x:f>IF(C503="","", "Напиши " &amp; AA503 &amp; " за бизнес: " &amp; C503 &amp; ". Тип: " &amp; D503 &amp; ". Град: " &amp; E503 &amp; ". Проблем: " &amp; L503 &amp; ". Предложение: " &amp; M503 &amp; ". Етап: " &amp; N503 &amp; ". Бележки: " &amp; Y503)</x:f>
      </x:c>
      <x:c r="AC503" s="55"/>
    </x:row>
    <x:row r="504">
      <x:c r="A504" s="55"/>
      <x:c r="B504" s="55"/>
      <x:c r="C504" s="55"/>
      <x:c r="D504" s="55"/>
      <x:c r="E504" s="55"/>
      <x:c r="F504" s="55"/>
      <x:c r="G504" s="55"/>
      <x:c r="H504" s="55"/>
      <x:c r="I504" s="55"/>
      <x:c r="J504" s="55"/>
      <x:c r="K504" s="55"/>
      <x:c r="L504" s="55"/>
      <x:c r="M504" s="55"/>
      <x:c r="N504" s="55"/>
      <x:c r="O504" s="55"/>
      <x:c r="P504" s="55"/>
      <x:c r="Q504" s="55"/>
      <x:c r="R504" s="55"/>
      <x:c r="S504" s="55" t="str">
        <x:f>IF(C504="","",IFERROR(Q504*R504/100,""))</x:f>
      </x:c>
      <x:c r="T504" s="55"/>
      <x:c r="U504" s="55"/>
      <x:c r="V504" s="55" t="str">
        <x:f>IF(U504="","",U504-TODAY())</x:f>
      </x:c>
      <x:c r="W504" s="55" t="str">
        <x:f>IF(AND(U504&lt;&gt;"",U504&lt;TODAY(),O504="Активен"),"ДА","")</x:f>
      </x:c>
      <x:c r="X504" s="55"/>
      <x:c r="Y504" s="55"/>
      <x:c r="Z504" s="55"/>
      <x:c r="AA504" s="55"/>
      <x:c r="AB504" s="55" t="str">
        <x:f>IF(C504="","", "Напиши " &amp; AA504 &amp; " за бизнес: " &amp; C504 &amp; ". Тип: " &amp; D504 &amp; ". Град: " &amp; E504 &amp; ". Проблем: " &amp; L504 &amp; ". Предложение: " &amp; M504 &amp; ". Етап: " &amp; N504 &amp; ". Бележки: " &amp; Y504)</x:f>
      </x:c>
      <x:c r="AC504" s="55"/>
    </x:row>
    <x:row r="505">
      <x:c r="A505" s="55"/>
      <x:c r="B505" s="55"/>
      <x:c r="C505" s="55"/>
      <x:c r="D505" s="55"/>
      <x:c r="E505" s="55"/>
      <x:c r="F505" s="55"/>
      <x:c r="G505" s="55"/>
      <x:c r="H505" s="55"/>
      <x:c r="I505" s="55"/>
      <x:c r="J505" s="55"/>
      <x:c r="K505" s="55"/>
      <x:c r="L505" s="55"/>
      <x:c r="M505" s="55"/>
      <x:c r="N505" s="55"/>
      <x:c r="O505" s="55"/>
      <x:c r="P505" s="55"/>
      <x:c r="Q505" s="55"/>
      <x:c r="R505" s="55"/>
      <x:c r="S505" s="55" t="str">
        <x:f>IF(C505="","",IFERROR(Q505*R505/100,""))</x:f>
      </x:c>
      <x:c r="T505" s="55"/>
      <x:c r="U505" s="55"/>
      <x:c r="V505" s="55" t="str">
        <x:f>IF(U505="","",U505-TODAY())</x:f>
      </x:c>
      <x:c r="W505" s="55" t="str">
        <x:f>IF(AND(U505&lt;&gt;"",U505&lt;TODAY(),O505="Активен"),"ДА","")</x:f>
      </x:c>
      <x:c r="X505" s="55"/>
      <x:c r="Y505" s="55"/>
      <x:c r="Z505" s="55"/>
      <x:c r="AA505" s="55"/>
      <x:c r="AB505" s="55" t="str">
        <x:f>IF(C505="","", "Напиши " &amp; AA505 &amp; " за бизнес: " &amp; C505 &amp; ". Тип: " &amp; D505 &amp; ". Град: " &amp; E505 &amp; ". Проблем: " &amp; L505 &amp; ". Предложение: " &amp; M505 &amp; ". Етап: " &amp; N505 &amp; ". Бележки: " &amp; Y505)</x:f>
      </x:c>
      <x:c r="AC505" s="55"/>
    </x:row>
    <x:row r="506">
      <x:c r="A506" s="55"/>
      <x:c r="B506" s="55"/>
      <x:c r="C506" s="55"/>
      <x:c r="D506" s="55"/>
      <x:c r="E506" s="55"/>
      <x:c r="F506" s="55"/>
      <x:c r="G506" s="55"/>
      <x:c r="H506" s="55"/>
      <x:c r="I506" s="55"/>
      <x:c r="J506" s="55"/>
      <x:c r="K506" s="55"/>
      <x:c r="L506" s="55"/>
      <x:c r="M506" s="55"/>
      <x:c r="N506" s="55"/>
      <x:c r="O506" s="55"/>
      <x:c r="P506" s="55"/>
      <x:c r="Q506" s="55"/>
      <x:c r="R506" s="55"/>
      <x:c r="S506" s="55" t="str">
        <x:f>IF(C506="","",IFERROR(Q506*R506/100,""))</x:f>
      </x:c>
      <x:c r="T506" s="55"/>
      <x:c r="U506" s="55"/>
      <x:c r="V506" s="55" t="str">
        <x:f>IF(U506="","",U506-TODAY())</x:f>
      </x:c>
      <x:c r="W506" s="55" t="str">
        <x:f>IF(AND(U506&lt;&gt;"",U506&lt;TODAY(),O506="Активен"),"ДА","")</x:f>
      </x:c>
      <x:c r="X506" s="55"/>
      <x:c r="Y506" s="55"/>
      <x:c r="Z506" s="55"/>
      <x:c r="AA506" s="55"/>
      <x:c r="AB506" s="55" t="str">
        <x:f>IF(C506="","", "Напиши " &amp; AA506 &amp; " за бизнес: " &amp; C506 &amp; ". Тип: " &amp; D506 &amp; ". Град: " &amp; E506 &amp; ". Проблем: " &amp; L506 &amp; ". Предложение: " &amp; M506 &amp; ". Етап: " &amp; N506 &amp; ". Бележки: " &amp; Y506)</x:f>
      </x:c>
      <x:c r="AC506" s="55"/>
    </x:row>
    <x:row r="507">
      <x:c r="A507" s="55"/>
      <x:c r="B507" s="55"/>
      <x:c r="C507" s="55"/>
      <x:c r="D507" s="55"/>
      <x:c r="E507" s="55"/>
      <x:c r="F507" s="55"/>
      <x:c r="G507" s="55"/>
      <x:c r="H507" s="55"/>
      <x:c r="I507" s="55"/>
      <x:c r="J507" s="55"/>
      <x:c r="K507" s="55"/>
      <x:c r="L507" s="55"/>
      <x:c r="M507" s="55"/>
      <x:c r="N507" s="55"/>
      <x:c r="O507" s="55"/>
      <x:c r="P507" s="55"/>
      <x:c r="Q507" s="55"/>
      <x:c r="R507" s="55"/>
      <x:c r="S507" s="55" t="str">
        <x:f>IF(C507="","",IFERROR(Q507*R507/100,""))</x:f>
      </x:c>
      <x:c r="T507" s="55"/>
      <x:c r="U507" s="55"/>
      <x:c r="V507" s="55" t="str">
        <x:f>IF(U507="","",U507-TODAY())</x:f>
      </x:c>
      <x:c r="W507" s="55" t="str">
        <x:f>IF(AND(U507&lt;&gt;"",U507&lt;TODAY(),O507="Активен"),"ДА","")</x:f>
      </x:c>
      <x:c r="X507" s="55"/>
      <x:c r="Y507" s="55"/>
      <x:c r="Z507" s="55"/>
      <x:c r="AA507" s="55"/>
      <x:c r="AB507" s="55" t="str">
        <x:f>IF(C507="","", "Напиши " &amp; AA507 &amp; " за бизнес: " &amp; C507 &amp; ". Тип: " &amp; D507 &amp; ". Град: " &amp; E507 &amp; ". Проблем: " &amp; L507 &amp; ". Предложение: " &amp; M507 &amp; ". Етап: " &amp; N507 &amp; ". Бележки: " &amp; Y507)</x:f>
      </x:c>
      <x:c r="AC507" s="55"/>
    </x:row>
    <x:row r="508">
      <x:c r="A508" s="55"/>
      <x:c r="B508" s="55"/>
      <x:c r="C508" s="55"/>
      <x:c r="D508" s="55"/>
      <x:c r="E508" s="55"/>
      <x:c r="F508" s="55"/>
      <x:c r="G508" s="55"/>
      <x:c r="H508" s="55"/>
      <x:c r="I508" s="55"/>
      <x:c r="J508" s="55"/>
      <x:c r="K508" s="55"/>
      <x:c r="L508" s="55"/>
      <x:c r="M508" s="55"/>
      <x:c r="N508" s="55"/>
      <x:c r="O508" s="55"/>
      <x:c r="P508" s="55"/>
      <x:c r="Q508" s="55"/>
      <x:c r="R508" s="55"/>
      <x:c r="S508" s="55" t="str">
        <x:f>IF(C508="","",IFERROR(Q508*R508/100,""))</x:f>
      </x:c>
      <x:c r="T508" s="55"/>
      <x:c r="U508" s="55"/>
      <x:c r="V508" s="55" t="str">
        <x:f>IF(U508="","",U508-TODAY())</x:f>
      </x:c>
      <x:c r="W508" s="55" t="str">
        <x:f>IF(AND(U508&lt;&gt;"",U508&lt;TODAY(),O508="Активен"),"ДА","")</x:f>
      </x:c>
      <x:c r="X508" s="55"/>
      <x:c r="Y508" s="55"/>
      <x:c r="Z508" s="55"/>
      <x:c r="AA508" s="55"/>
      <x:c r="AB508" s="55" t="str">
        <x:f>IF(C508="","", "Напиши " &amp; AA508 &amp; " за бизнес: " &amp; C508 &amp; ". Тип: " &amp; D508 &amp; ". Град: " &amp; E508 &amp; ". Проблем: " &amp; L508 &amp; ". Предложение: " &amp; M508 &amp; ". Етап: " &amp; N508 &amp; ". Бележки: " &amp; Y508)</x:f>
      </x:c>
      <x:c r="AC508" s="55"/>
    </x:row>
    <x:row r="509">
      <x:c r="A509" s="55"/>
      <x:c r="B509" s="55"/>
      <x:c r="C509" s="55"/>
      <x:c r="D509" s="55"/>
      <x:c r="E509" s="55"/>
      <x:c r="F509" s="55"/>
      <x:c r="G509" s="55"/>
      <x:c r="H509" s="55"/>
      <x:c r="I509" s="55"/>
      <x:c r="J509" s="55"/>
      <x:c r="K509" s="55"/>
      <x:c r="L509" s="55"/>
      <x:c r="M509" s="55"/>
      <x:c r="N509" s="55"/>
      <x:c r="O509" s="55"/>
      <x:c r="P509" s="55"/>
      <x:c r="Q509" s="55"/>
      <x:c r="R509" s="55"/>
      <x:c r="S509" s="55" t="str">
        <x:f>IF(C509="","",IFERROR(Q509*R509/100,""))</x:f>
      </x:c>
      <x:c r="T509" s="55"/>
      <x:c r="U509" s="55"/>
      <x:c r="V509" s="55" t="str">
        <x:f>IF(U509="","",U509-TODAY())</x:f>
      </x:c>
      <x:c r="W509" s="55" t="str">
        <x:f>IF(AND(U509&lt;&gt;"",U509&lt;TODAY(),O509="Активен"),"ДА","")</x:f>
      </x:c>
      <x:c r="X509" s="55"/>
      <x:c r="Y509" s="55"/>
      <x:c r="Z509" s="55"/>
      <x:c r="AA509" s="55"/>
      <x:c r="AB509" s="55" t="str">
        <x:f>IF(C509="","", "Напиши " &amp; AA509 &amp; " за бизнес: " &amp; C509 &amp; ". Тип: " &amp; D509 &amp; ". Град: " &amp; E509 &amp; ". Проблем: " &amp; L509 &amp; ". Предложение: " &amp; M509 &amp; ". Етап: " &amp; N509 &amp; ". Бележки: " &amp; Y509)</x:f>
      </x:c>
      <x:c r="AC509" s="55"/>
    </x:row>
    <x:row r="510">
      <x:c r="A510" s="55"/>
      <x:c r="B510" s="55"/>
      <x:c r="C510" s="55"/>
      <x:c r="D510" s="55"/>
      <x:c r="E510" s="55"/>
      <x:c r="F510" s="55"/>
      <x:c r="G510" s="55"/>
      <x:c r="H510" s="55"/>
      <x:c r="I510" s="55"/>
      <x:c r="J510" s="55"/>
      <x:c r="K510" s="55"/>
      <x:c r="L510" s="55"/>
      <x:c r="M510" s="55"/>
      <x:c r="N510" s="55"/>
      <x:c r="O510" s="55"/>
      <x:c r="P510" s="55"/>
      <x:c r="Q510" s="55"/>
      <x:c r="R510" s="55"/>
      <x:c r="S510" s="55" t="str">
        <x:f>IF(C510="","",IFERROR(Q510*R510/100,""))</x:f>
      </x:c>
      <x:c r="T510" s="55"/>
      <x:c r="U510" s="55"/>
      <x:c r="V510" s="55" t="str">
        <x:f>IF(U510="","",U510-TODAY())</x:f>
      </x:c>
      <x:c r="W510" s="55" t="str">
        <x:f>IF(AND(U510&lt;&gt;"",U510&lt;TODAY(),O510="Активен"),"ДА","")</x:f>
      </x:c>
      <x:c r="X510" s="55"/>
      <x:c r="Y510" s="55"/>
      <x:c r="Z510" s="55"/>
      <x:c r="AA510" s="55"/>
      <x:c r="AB510" s="55" t="str">
        <x:f>IF(C510="","", "Напиши " &amp; AA510 &amp; " за бизнес: " &amp; C510 &amp; ". Тип: " &amp; D510 &amp; ". Град: " &amp; E510 &amp; ". Проблем: " &amp; L510 &amp; ". Предложение: " &amp; M510 &amp; ". Етап: " &amp; N510 &amp; ". Бележки: " &amp; Y510)</x:f>
      </x:c>
      <x:c r="AC510" s="55"/>
    </x:row>
    <x:row r="511">
      <x:c r="A511" s="55"/>
      <x:c r="B511" s="55"/>
      <x:c r="C511" s="55"/>
      <x:c r="D511" s="55"/>
      <x:c r="E511" s="55"/>
      <x:c r="F511" s="55"/>
      <x:c r="G511" s="55"/>
      <x:c r="H511" s="55"/>
      <x:c r="I511" s="55"/>
      <x:c r="J511" s="55"/>
      <x:c r="K511" s="55"/>
      <x:c r="L511" s="55"/>
      <x:c r="M511" s="55"/>
      <x:c r="N511" s="55"/>
      <x:c r="O511" s="55"/>
      <x:c r="P511" s="55"/>
      <x:c r="Q511" s="55"/>
      <x:c r="R511" s="55"/>
      <x:c r="S511" s="55" t="str">
        <x:f>IF(C511="","",IFERROR(Q511*R511/100,""))</x:f>
      </x:c>
      <x:c r="T511" s="55"/>
      <x:c r="U511" s="55"/>
      <x:c r="V511" s="55" t="str">
        <x:f>IF(U511="","",U511-TODAY())</x:f>
      </x:c>
      <x:c r="W511" s="55" t="str">
        <x:f>IF(AND(U511&lt;&gt;"",U511&lt;TODAY(),O511="Активен"),"ДА","")</x:f>
      </x:c>
      <x:c r="X511" s="55"/>
      <x:c r="Y511" s="55"/>
      <x:c r="Z511" s="55"/>
      <x:c r="AA511" s="55"/>
      <x:c r="AB511" s="55" t="str">
        <x:f>IF(C511="","", "Напиши " &amp; AA511 &amp; " за бизнес: " &amp; C511 &amp; ". Тип: " &amp; D511 &amp; ". Град: " &amp; E511 &amp; ". Проблем: " &amp; L511 &amp; ". Предложение: " &amp; M511 &amp; ". Етап: " &amp; N511 &amp; ". Бележки: " &amp; Y511)</x:f>
      </x:c>
      <x:c r="AC511" s="55"/>
    </x:row>
    <x:row r="512">
      <x:c r="A512" s="55"/>
      <x:c r="B512" s="55"/>
      <x:c r="C512" s="55"/>
      <x:c r="D512" s="55"/>
      <x:c r="E512" s="55"/>
      <x:c r="F512" s="55"/>
      <x:c r="G512" s="55"/>
      <x:c r="H512" s="55"/>
      <x:c r="I512" s="55"/>
      <x:c r="J512" s="55"/>
      <x:c r="K512" s="55"/>
      <x:c r="L512" s="55"/>
      <x:c r="M512" s="55"/>
      <x:c r="N512" s="55"/>
      <x:c r="O512" s="55"/>
      <x:c r="P512" s="55"/>
      <x:c r="Q512" s="55"/>
      <x:c r="R512" s="55"/>
      <x:c r="S512" s="55" t="str">
        <x:f>IF(C512="","",IFERROR(Q512*R512/100,""))</x:f>
      </x:c>
      <x:c r="T512" s="55"/>
      <x:c r="U512" s="55"/>
      <x:c r="V512" s="55" t="str">
        <x:f>IF(U512="","",U512-TODAY())</x:f>
      </x:c>
      <x:c r="W512" s="55" t="str">
        <x:f>IF(AND(U512&lt;&gt;"",U512&lt;TODAY(),O512="Активен"),"ДА","")</x:f>
      </x:c>
      <x:c r="X512" s="55"/>
      <x:c r="Y512" s="55"/>
      <x:c r="Z512" s="55"/>
      <x:c r="AA512" s="55"/>
      <x:c r="AB512" s="55" t="str">
        <x:f>IF(C512="","", "Напиши " &amp; AA512 &amp; " за бизнес: " &amp; C512 &amp; ". Тип: " &amp; D512 &amp; ". Град: " &amp; E512 &amp; ". Проблем: " &amp; L512 &amp; ". Предложение: " &amp; M512 &amp; ". Етап: " &amp; N512 &amp; ". Бележки: " &amp; Y512)</x:f>
      </x:c>
      <x:c r="AC512" s="55"/>
    </x:row>
    <x:row r="513">
      <x:c r="A513" s="55"/>
      <x:c r="B513" s="55"/>
      <x:c r="C513" s="55"/>
      <x:c r="D513" s="55"/>
      <x:c r="E513" s="55"/>
      <x:c r="F513" s="55"/>
      <x:c r="G513" s="55"/>
      <x:c r="H513" s="55"/>
      <x:c r="I513" s="55"/>
      <x:c r="J513" s="55"/>
      <x:c r="K513" s="55"/>
      <x:c r="L513" s="55"/>
      <x:c r="M513" s="55"/>
      <x:c r="N513" s="55"/>
      <x:c r="O513" s="55"/>
      <x:c r="P513" s="55"/>
      <x:c r="Q513" s="55"/>
      <x:c r="R513" s="55"/>
      <x:c r="S513" s="55" t="str">
        <x:f>IF(C513="","",IFERROR(Q513*R513/100,""))</x:f>
      </x:c>
      <x:c r="T513" s="55"/>
      <x:c r="U513" s="55"/>
      <x:c r="V513" s="55" t="str">
        <x:f>IF(U513="","",U513-TODAY())</x:f>
      </x:c>
      <x:c r="W513" s="55" t="str">
        <x:f>IF(AND(U513&lt;&gt;"",U513&lt;TODAY(),O513="Активен"),"ДА","")</x:f>
      </x:c>
      <x:c r="X513" s="55"/>
      <x:c r="Y513" s="55"/>
      <x:c r="Z513" s="55"/>
      <x:c r="AA513" s="55"/>
      <x:c r="AB513" s="55" t="str">
        <x:f>IF(C513="","", "Напиши " &amp; AA513 &amp; " за бизнес: " &amp; C513 &amp; ". Тип: " &amp; D513 &amp; ". Град: " &amp; E513 &amp; ". Проблем: " &amp; L513 &amp; ". Предложение: " &amp; M513 &amp; ". Етап: " &amp; N513 &amp; ". Бележки: " &amp; Y513)</x:f>
      </x:c>
      <x:c r="AC513" s="55"/>
    </x:row>
    <x:row r="514">
      <x:c r="A514" s="55"/>
      <x:c r="B514" s="55"/>
      <x:c r="C514" s="55"/>
      <x:c r="D514" s="55"/>
      <x:c r="E514" s="55"/>
      <x:c r="F514" s="55"/>
      <x:c r="G514" s="55"/>
      <x:c r="H514" s="55"/>
      <x:c r="I514" s="55"/>
      <x:c r="J514" s="55"/>
      <x:c r="K514" s="55"/>
      <x:c r="L514" s="55"/>
      <x:c r="M514" s="55"/>
      <x:c r="N514" s="55"/>
      <x:c r="O514" s="55"/>
      <x:c r="P514" s="55"/>
      <x:c r="Q514" s="55"/>
      <x:c r="R514" s="55"/>
      <x:c r="S514" s="55" t="str">
        <x:f>IF(C514="","",IFERROR(Q514*R514/100,""))</x:f>
      </x:c>
      <x:c r="T514" s="55"/>
      <x:c r="U514" s="55"/>
      <x:c r="V514" s="55" t="str">
        <x:f>IF(U514="","",U514-TODAY())</x:f>
      </x:c>
      <x:c r="W514" s="55" t="str">
        <x:f>IF(AND(U514&lt;&gt;"",U514&lt;TODAY(),O514="Активен"),"ДА","")</x:f>
      </x:c>
      <x:c r="X514" s="55"/>
      <x:c r="Y514" s="55"/>
      <x:c r="Z514" s="55"/>
      <x:c r="AA514" s="55"/>
      <x:c r="AB514" s="55" t="str">
        <x:f>IF(C514="","", "Напиши " &amp; AA514 &amp; " за бизнес: " &amp; C514 &amp; ". Тип: " &amp; D514 &amp; ". Град: " &amp; E514 &amp; ". Проблем: " &amp; L514 &amp; ". Предложение: " &amp; M514 &amp; ". Етап: " &amp; N514 &amp; ". Бележки: " &amp; Y514)</x:f>
      </x:c>
      <x:c r="AC514" s="55"/>
    </x:row>
    <x:row r="515">
      <x:c r="A515" s="55"/>
      <x:c r="B515" s="55"/>
      <x:c r="C515" s="55"/>
      <x:c r="D515" s="55"/>
      <x:c r="E515" s="55"/>
      <x:c r="F515" s="55"/>
      <x:c r="G515" s="55"/>
      <x:c r="H515" s="55"/>
      <x:c r="I515" s="55"/>
      <x:c r="J515" s="55"/>
      <x:c r="K515" s="55"/>
      <x:c r="L515" s="55"/>
      <x:c r="M515" s="55"/>
      <x:c r="N515" s="55"/>
      <x:c r="O515" s="55"/>
      <x:c r="P515" s="55"/>
      <x:c r="Q515" s="55"/>
      <x:c r="R515" s="55"/>
      <x:c r="S515" s="55" t="str">
        <x:f>IF(C515="","",IFERROR(Q515*R515/100,""))</x:f>
      </x:c>
      <x:c r="T515" s="55"/>
      <x:c r="U515" s="55"/>
      <x:c r="V515" s="55" t="str">
        <x:f>IF(U515="","",U515-TODAY())</x:f>
      </x:c>
      <x:c r="W515" s="55" t="str">
        <x:f>IF(AND(U515&lt;&gt;"",U515&lt;TODAY(),O515="Активен"),"ДА","")</x:f>
      </x:c>
      <x:c r="X515" s="55"/>
      <x:c r="Y515" s="55"/>
      <x:c r="Z515" s="55"/>
      <x:c r="AA515" s="55"/>
      <x:c r="AB515" s="55" t="str">
        <x:f>IF(C515="","", "Напиши " &amp; AA515 &amp; " за бизнес: " &amp; C515 &amp; ". Тип: " &amp; D515 &amp; ". Град: " &amp; E515 &amp; ". Проблем: " &amp; L515 &amp; ". Предложение: " &amp; M515 &amp; ". Етап: " &amp; N515 &amp; ". Бележки: " &amp; Y515)</x:f>
      </x:c>
      <x:c r="AC515" s="55"/>
    </x:row>
    <x:row r="516">
      <x:c r="A516" s="55"/>
      <x:c r="B516" s="55"/>
      <x:c r="C516" s="55"/>
      <x:c r="D516" s="55"/>
      <x:c r="E516" s="55"/>
      <x:c r="F516" s="55"/>
      <x:c r="G516" s="55"/>
      <x:c r="H516" s="55"/>
      <x:c r="I516" s="55"/>
      <x:c r="J516" s="55"/>
      <x:c r="K516" s="55"/>
      <x:c r="L516" s="55"/>
      <x:c r="M516" s="55"/>
      <x:c r="N516" s="55"/>
      <x:c r="O516" s="55"/>
      <x:c r="P516" s="55"/>
      <x:c r="Q516" s="55"/>
      <x:c r="R516" s="55"/>
      <x:c r="S516" s="55" t="str">
        <x:f>IF(C516="","",IFERROR(Q516*R516/100,""))</x:f>
      </x:c>
      <x:c r="T516" s="55"/>
      <x:c r="U516" s="55"/>
      <x:c r="V516" s="55" t="str">
        <x:f>IF(U516="","",U516-TODAY())</x:f>
      </x:c>
      <x:c r="W516" s="55" t="str">
        <x:f>IF(AND(U516&lt;&gt;"",U516&lt;TODAY(),O516="Активен"),"ДА","")</x:f>
      </x:c>
      <x:c r="X516" s="55"/>
      <x:c r="Y516" s="55"/>
      <x:c r="Z516" s="55"/>
      <x:c r="AA516" s="55"/>
      <x:c r="AB516" s="55" t="str">
        <x:f>IF(C516="","", "Напиши " &amp; AA516 &amp; " за бизнес: " &amp; C516 &amp; ". Тип: " &amp; D516 &amp; ". Град: " &amp; E516 &amp; ". Проблем: " &amp; L516 &amp; ". Предложение: " &amp; M516 &amp; ". Етап: " &amp; N516 &amp; ". Бележки: " &amp; Y516)</x:f>
      </x:c>
      <x:c r="AC516" s="55"/>
    </x:row>
    <x:row r="517">
      <x:c r="A517" s="55"/>
      <x:c r="B517" s="55"/>
      <x:c r="C517" s="55"/>
      <x:c r="D517" s="55"/>
      <x:c r="E517" s="55"/>
      <x:c r="F517" s="55"/>
      <x:c r="G517" s="55"/>
      <x:c r="H517" s="55"/>
      <x:c r="I517" s="55"/>
      <x:c r="J517" s="55"/>
      <x:c r="K517" s="55"/>
      <x:c r="L517" s="55"/>
      <x:c r="M517" s="55"/>
      <x:c r="N517" s="55"/>
      <x:c r="O517" s="55"/>
      <x:c r="P517" s="55"/>
      <x:c r="Q517" s="55"/>
      <x:c r="R517" s="55"/>
      <x:c r="S517" s="55" t="str">
        <x:f>IF(C517="","",IFERROR(Q517*R517/100,""))</x:f>
      </x:c>
      <x:c r="T517" s="55"/>
      <x:c r="U517" s="55"/>
      <x:c r="V517" s="55" t="str">
        <x:f>IF(U517="","",U517-TODAY())</x:f>
      </x:c>
      <x:c r="W517" s="55" t="str">
        <x:f>IF(AND(U517&lt;&gt;"",U517&lt;TODAY(),O517="Активен"),"ДА","")</x:f>
      </x:c>
      <x:c r="X517" s="55"/>
      <x:c r="Y517" s="55"/>
      <x:c r="Z517" s="55"/>
      <x:c r="AA517" s="55"/>
      <x:c r="AB517" s="55" t="str">
        <x:f>IF(C517="","", "Напиши " &amp; AA517 &amp; " за бизнес: " &amp; C517 &amp; ". Тип: " &amp; D517 &amp; ". Град: " &amp; E517 &amp; ". Проблем: " &amp; L517 &amp; ". Предложение: " &amp; M517 &amp; ". Етап: " &amp; N517 &amp; ". Бележки: " &amp; Y517)</x:f>
      </x:c>
      <x:c r="AC517" s="55"/>
    </x:row>
    <x:row r="518">
      <x:c r="A518" s="55"/>
      <x:c r="B518" s="55"/>
      <x:c r="C518" s="55"/>
      <x:c r="D518" s="55"/>
      <x:c r="E518" s="55"/>
      <x:c r="F518" s="55"/>
      <x:c r="G518" s="55"/>
      <x:c r="H518" s="55"/>
      <x:c r="I518" s="55"/>
      <x:c r="J518" s="55"/>
      <x:c r="K518" s="55"/>
      <x:c r="L518" s="55"/>
      <x:c r="M518" s="55"/>
      <x:c r="N518" s="55"/>
      <x:c r="O518" s="55"/>
      <x:c r="P518" s="55"/>
      <x:c r="Q518" s="55"/>
      <x:c r="R518" s="55"/>
      <x:c r="S518" s="55" t="str">
        <x:f>IF(C518="","",IFERROR(Q518*R518/100,""))</x:f>
      </x:c>
      <x:c r="T518" s="55"/>
      <x:c r="U518" s="55"/>
      <x:c r="V518" s="55" t="str">
        <x:f>IF(U518="","",U518-TODAY())</x:f>
      </x:c>
      <x:c r="W518" s="55" t="str">
        <x:f>IF(AND(U518&lt;&gt;"",U518&lt;TODAY(),O518="Активен"),"ДА","")</x:f>
      </x:c>
      <x:c r="X518" s="55"/>
      <x:c r="Y518" s="55"/>
      <x:c r="Z518" s="55"/>
      <x:c r="AA518" s="55"/>
      <x:c r="AB518" s="55" t="str">
        <x:f>IF(C518="","", "Напиши " &amp; AA518 &amp; " за бизнес: " &amp; C518 &amp; ". Тип: " &amp; D518 &amp; ". Град: " &amp; E518 &amp; ". Проблем: " &amp; L518 &amp; ". Предложение: " &amp; M518 &amp; ". Етап: " &amp; N518 &amp; ". Бележки: " &amp; Y518)</x:f>
      </x:c>
      <x:c r="AC518" s="55"/>
    </x:row>
    <x:row r="519">
      <x:c r="A519" s="55"/>
      <x:c r="B519" s="55"/>
      <x:c r="C519" s="55"/>
      <x:c r="D519" s="55"/>
      <x:c r="E519" s="55"/>
      <x:c r="F519" s="55"/>
      <x:c r="G519" s="55"/>
      <x:c r="H519" s="55"/>
      <x:c r="I519" s="55"/>
      <x:c r="J519" s="55"/>
      <x:c r="K519" s="55"/>
      <x:c r="L519" s="55"/>
      <x:c r="M519" s="55"/>
      <x:c r="N519" s="55"/>
      <x:c r="O519" s="55"/>
      <x:c r="P519" s="55"/>
      <x:c r="Q519" s="55"/>
      <x:c r="R519" s="55"/>
      <x:c r="S519" s="55" t="str">
        <x:f>IF(C519="","",IFERROR(Q519*R519/100,""))</x:f>
      </x:c>
      <x:c r="T519" s="55"/>
      <x:c r="U519" s="55"/>
      <x:c r="V519" s="55" t="str">
        <x:f>IF(U519="","",U519-TODAY())</x:f>
      </x:c>
      <x:c r="W519" s="55" t="str">
        <x:f>IF(AND(U519&lt;&gt;"",U519&lt;TODAY(),O519="Активен"),"ДА","")</x:f>
      </x:c>
      <x:c r="X519" s="55"/>
      <x:c r="Y519" s="55"/>
      <x:c r="Z519" s="55"/>
      <x:c r="AA519" s="55"/>
      <x:c r="AB519" s="55" t="str">
        <x:f>IF(C519="","", "Напиши " &amp; AA519 &amp; " за бизнес: " &amp; C519 &amp; ". Тип: " &amp; D519 &amp; ". Град: " &amp; E519 &amp; ". Проблем: " &amp; L519 &amp; ". Предложение: " &amp; M519 &amp; ". Етап: " &amp; N519 &amp; ". Бележки: " &amp; Y519)</x:f>
      </x:c>
      <x:c r="AC519" s="55"/>
    </x:row>
    <x:row r="520">
      <x:c r="A520" s="55"/>
      <x:c r="B520" s="55"/>
      <x:c r="C520" s="55"/>
      <x:c r="D520" s="55"/>
      <x:c r="E520" s="55"/>
      <x:c r="F520" s="55"/>
      <x:c r="G520" s="55"/>
      <x:c r="H520" s="55"/>
      <x:c r="I520" s="55"/>
      <x:c r="J520" s="55"/>
      <x:c r="K520" s="55"/>
      <x:c r="L520" s="55"/>
      <x:c r="M520" s="55"/>
      <x:c r="N520" s="55"/>
      <x:c r="O520" s="55"/>
      <x:c r="P520" s="55"/>
      <x:c r="Q520" s="55"/>
      <x:c r="R520" s="55"/>
      <x:c r="S520" s="55" t="str">
        <x:f>IF(C520="","",IFERROR(Q520*R520/100,""))</x:f>
      </x:c>
      <x:c r="T520" s="55"/>
      <x:c r="U520" s="55"/>
      <x:c r="V520" s="55" t="str">
        <x:f>IF(U520="","",U520-TODAY())</x:f>
      </x:c>
      <x:c r="W520" s="55" t="str">
        <x:f>IF(AND(U520&lt;&gt;"",U520&lt;TODAY(),O520="Активен"),"ДА","")</x:f>
      </x:c>
      <x:c r="X520" s="55"/>
      <x:c r="Y520" s="55"/>
      <x:c r="Z520" s="55"/>
      <x:c r="AA520" s="55"/>
      <x:c r="AB520" s="55" t="str">
        <x:f>IF(C520="","", "Напиши " &amp; AA520 &amp; " за бизнес: " &amp; C520 &amp; ". Тип: " &amp; D520 &amp; ". Град: " &amp; E520 &amp; ". Проблем: " &amp; L520 &amp; ". Предложение: " &amp; M520 &amp; ". Етап: " &amp; N520 &amp; ". Бележки: " &amp; Y520)</x:f>
      </x:c>
      <x:c r="AC520" s="55"/>
    </x:row>
    <x:row r="521">
      <x:c r="A521" s="55"/>
      <x:c r="B521" s="55"/>
      <x:c r="C521" s="55"/>
      <x:c r="D521" s="55"/>
      <x:c r="E521" s="55"/>
      <x:c r="F521" s="55"/>
      <x:c r="G521" s="55"/>
      <x:c r="H521" s="55"/>
      <x:c r="I521" s="55"/>
      <x:c r="J521" s="55"/>
      <x:c r="K521" s="55"/>
      <x:c r="L521" s="55"/>
      <x:c r="M521" s="55"/>
      <x:c r="N521" s="55"/>
      <x:c r="O521" s="55"/>
      <x:c r="P521" s="55"/>
      <x:c r="Q521" s="55"/>
      <x:c r="R521" s="55"/>
      <x:c r="S521" s="55" t="str">
        <x:f>IF(C521="","",IFERROR(Q521*R521/100,""))</x:f>
      </x:c>
      <x:c r="T521" s="55"/>
      <x:c r="U521" s="55"/>
      <x:c r="V521" s="55" t="str">
        <x:f>IF(U521="","",U521-TODAY())</x:f>
      </x:c>
      <x:c r="W521" s="55" t="str">
        <x:f>IF(AND(U521&lt;&gt;"",U521&lt;TODAY(),O521="Активен"),"ДА","")</x:f>
      </x:c>
      <x:c r="X521" s="55"/>
      <x:c r="Y521" s="55"/>
      <x:c r="Z521" s="55"/>
      <x:c r="AA521" s="55"/>
      <x:c r="AB521" s="55" t="str">
        <x:f>IF(C521="","", "Напиши " &amp; AA521 &amp; " за бизнес: " &amp; C521 &amp; ". Тип: " &amp; D521 &amp; ". Град: " &amp; E521 &amp; ". Проблем: " &amp; L521 &amp; ". Предложение: " &amp; M521 &amp; ". Етап: " &amp; N521 &amp; ". Бележки: " &amp; Y521)</x:f>
      </x:c>
      <x:c r="AC521" s="55"/>
    </x:row>
    <x:row r="522">
      <x:c r="A522" s="55"/>
      <x:c r="B522" s="55"/>
      <x:c r="C522" s="55"/>
      <x:c r="D522" s="55"/>
      <x:c r="E522" s="55"/>
      <x:c r="F522" s="55"/>
      <x:c r="G522" s="55"/>
      <x:c r="H522" s="55"/>
      <x:c r="I522" s="55"/>
      <x:c r="J522" s="55"/>
      <x:c r="K522" s="55"/>
      <x:c r="L522" s="55"/>
      <x:c r="M522" s="55"/>
      <x:c r="N522" s="55"/>
      <x:c r="O522" s="55"/>
      <x:c r="P522" s="55"/>
      <x:c r="Q522" s="55"/>
      <x:c r="R522" s="55"/>
      <x:c r="S522" s="55" t="str">
        <x:f>IF(C522="","",IFERROR(Q522*R522/100,""))</x:f>
      </x:c>
      <x:c r="T522" s="55"/>
      <x:c r="U522" s="55"/>
      <x:c r="V522" s="55" t="str">
        <x:f>IF(U522="","",U522-TODAY())</x:f>
      </x:c>
      <x:c r="W522" s="55" t="str">
        <x:f>IF(AND(U522&lt;&gt;"",U522&lt;TODAY(),O522="Активен"),"ДА","")</x:f>
      </x:c>
      <x:c r="X522" s="55"/>
      <x:c r="Y522" s="55"/>
      <x:c r="Z522" s="55"/>
      <x:c r="AA522" s="55"/>
      <x:c r="AB522" s="55" t="str">
        <x:f>IF(C522="","", "Напиши " &amp; AA522 &amp; " за бизнес: " &amp; C522 &amp; ". Тип: " &amp; D522 &amp; ". Град: " &amp; E522 &amp; ". Проблем: " &amp; L522 &amp; ". Предложение: " &amp; M522 &amp; ". Етап: " &amp; N522 &amp; ". Бележки: " &amp; Y522)</x:f>
      </x:c>
      <x:c r="AC522" s="55"/>
    </x:row>
    <x:row r="523">
      <x:c r="A523" s="55"/>
      <x:c r="B523" s="55"/>
      <x:c r="C523" s="55"/>
      <x:c r="D523" s="55"/>
      <x:c r="E523" s="55"/>
      <x:c r="F523" s="55"/>
      <x:c r="G523" s="55"/>
      <x:c r="H523" s="55"/>
      <x:c r="I523" s="55"/>
      <x:c r="J523" s="55"/>
      <x:c r="K523" s="55"/>
      <x:c r="L523" s="55"/>
      <x:c r="M523" s="55"/>
      <x:c r="N523" s="55"/>
      <x:c r="O523" s="55"/>
      <x:c r="P523" s="55"/>
      <x:c r="Q523" s="55"/>
      <x:c r="R523" s="55"/>
      <x:c r="S523" s="55" t="str">
        <x:f>IF(C523="","",IFERROR(Q523*R523/100,""))</x:f>
      </x:c>
      <x:c r="T523" s="55"/>
      <x:c r="U523" s="55"/>
      <x:c r="V523" s="55" t="str">
        <x:f>IF(U523="","",U523-TODAY())</x:f>
      </x:c>
      <x:c r="W523" s="55" t="str">
        <x:f>IF(AND(U523&lt;&gt;"",U523&lt;TODAY(),O523="Активен"),"ДА","")</x:f>
      </x:c>
      <x:c r="X523" s="55"/>
      <x:c r="Y523" s="55"/>
      <x:c r="Z523" s="55"/>
      <x:c r="AA523" s="55"/>
      <x:c r="AB523" s="55" t="str">
        <x:f>IF(C523="","", "Напиши " &amp; AA523 &amp; " за бизнес: " &amp; C523 &amp; ". Тип: " &amp; D523 &amp; ". Град: " &amp; E523 &amp; ". Проблем: " &amp; L523 &amp; ". Предложение: " &amp; M523 &amp; ". Етап: " &amp; N523 &amp; ". Бележки: " &amp; Y523)</x:f>
      </x:c>
      <x:c r="AC523" s="55"/>
    </x:row>
    <x:row r="524">
      <x:c r="A524" s="55"/>
      <x:c r="B524" s="55"/>
      <x:c r="C524" s="55"/>
      <x:c r="D524" s="55"/>
      <x:c r="E524" s="55"/>
      <x:c r="F524" s="55"/>
      <x:c r="G524" s="55"/>
      <x:c r="H524" s="55"/>
      <x:c r="I524" s="55"/>
      <x:c r="J524" s="55"/>
      <x:c r="K524" s="55"/>
      <x:c r="L524" s="55"/>
      <x:c r="M524" s="55"/>
      <x:c r="N524" s="55"/>
      <x:c r="O524" s="55"/>
      <x:c r="P524" s="55"/>
      <x:c r="Q524" s="55"/>
      <x:c r="R524" s="55"/>
      <x:c r="S524" s="55" t="str">
        <x:f>IF(C524="","",IFERROR(Q524*R524/100,""))</x:f>
      </x:c>
      <x:c r="T524" s="55"/>
      <x:c r="U524" s="55"/>
      <x:c r="V524" s="55" t="str">
        <x:f>IF(U524="","",U524-TODAY())</x:f>
      </x:c>
      <x:c r="W524" s="55" t="str">
        <x:f>IF(AND(U524&lt;&gt;"",U524&lt;TODAY(),O524="Активен"),"ДА","")</x:f>
      </x:c>
      <x:c r="X524" s="55"/>
      <x:c r="Y524" s="55"/>
      <x:c r="Z524" s="55"/>
      <x:c r="AA524" s="55"/>
      <x:c r="AB524" s="55" t="str">
        <x:f>IF(C524="","", "Напиши " &amp; AA524 &amp; " за бизнес: " &amp; C524 &amp; ". Тип: " &amp; D524 &amp; ". Град: " &amp; E524 &amp; ". Проблем: " &amp; L524 &amp; ". Предложение: " &amp; M524 &amp; ". Етап: " &amp; N524 &amp; ". Бележки: " &amp; Y524)</x:f>
      </x:c>
      <x:c r="AC524" s="55"/>
    </x:row>
    <x:row r="525">
      <x:c r="A525" s="55"/>
      <x:c r="B525" s="55"/>
      <x:c r="C525" s="55"/>
      <x:c r="D525" s="55"/>
      <x:c r="E525" s="55"/>
      <x:c r="F525" s="55"/>
      <x:c r="G525" s="55"/>
      <x:c r="H525" s="55"/>
      <x:c r="I525" s="55"/>
      <x:c r="J525" s="55"/>
      <x:c r="K525" s="55"/>
      <x:c r="L525" s="55"/>
      <x:c r="M525" s="55"/>
      <x:c r="N525" s="55"/>
      <x:c r="O525" s="55"/>
      <x:c r="P525" s="55"/>
      <x:c r="Q525" s="55"/>
      <x:c r="R525" s="55"/>
      <x:c r="S525" s="55" t="str">
        <x:f>IF(C525="","",IFERROR(Q525*R525/100,""))</x:f>
      </x:c>
      <x:c r="T525" s="55"/>
      <x:c r="U525" s="55"/>
      <x:c r="V525" s="55" t="str">
        <x:f>IF(U525="","",U525-TODAY())</x:f>
      </x:c>
      <x:c r="W525" s="55" t="str">
        <x:f>IF(AND(U525&lt;&gt;"",U525&lt;TODAY(),O525="Активен"),"ДА","")</x:f>
      </x:c>
      <x:c r="X525" s="55"/>
      <x:c r="Y525" s="55"/>
      <x:c r="Z525" s="55"/>
      <x:c r="AA525" s="55"/>
      <x:c r="AB525" s="55" t="str">
        <x:f>IF(C525="","", "Напиши " &amp; AA525 &amp; " за бизнес: " &amp; C525 &amp; ". Тип: " &amp; D525 &amp; ". Град: " &amp; E525 &amp; ". Проблем: " &amp; L525 &amp; ". Предложение: " &amp; M525 &amp; ". Етап: " &amp; N525 &amp; ". Бележки: " &amp; Y525)</x:f>
      </x:c>
      <x:c r="AC525" s="55"/>
    </x:row>
    <x:row r="526">
      <x:c r="A526" s="55"/>
      <x:c r="B526" s="55"/>
      <x:c r="C526" s="55"/>
      <x:c r="D526" s="55"/>
      <x:c r="E526" s="55"/>
      <x:c r="F526" s="55"/>
      <x:c r="G526" s="55"/>
      <x:c r="H526" s="55"/>
      <x:c r="I526" s="55"/>
      <x:c r="J526" s="55"/>
      <x:c r="K526" s="55"/>
      <x:c r="L526" s="55"/>
      <x:c r="M526" s="55"/>
      <x:c r="N526" s="55"/>
      <x:c r="O526" s="55"/>
      <x:c r="P526" s="55"/>
      <x:c r="Q526" s="55"/>
      <x:c r="R526" s="55"/>
      <x:c r="S526" s="55" t="str">
        <x:f>IF(C526="","",IFERROR(Q526*R526/100,""))</x:f>
      </x:c>
      <x:c r="T526" s="55"/>
      <x:c r="U526" s="55"/>
      <x:c r="V526" s="55" t="str">
        <x:f>IF(U526="","",U526-TODAY())</x:f>
      </x:c>
      <x:c r="W526" s="55" t="str">
        <x:f>IF(AND(U526&lt;&gt;"",U526&lt;TODAY(),O526="Активен"),"ДА","")</x:f>
      </x:c>
      <x:c r="X526" s="55"/>
      <x:c r="Y526" s="55"/>
      <x:c r="Z526" s="55"/>
      <x:c r="AA526" s="55"/>
      <x:c r="AB526" s="55" t="str">
        <x:f>IF(C526="","", "Напиши " &amp; AA526 &amp; " за бизнес: " &amp; C526 &amp; ". Тип: " &amp; D526 &amp; ". Град: " &amp; E526 &amp; ". Проблем: " &amp; L526 &amp; ". Предложение: " &amp; M526 &amp; ". Етап: " &amp; N526 &amp; ". Бележки: " &amp; Y526)</x:f>
      </x:c>
      <x:c r="AC526" s="55"/>
    </x:row>
    <x:row r="527">
      <x:c r="A527" s="55"/>
      <x:c r="B527" s="55"/>
      <x:c r="C527" s="55"/>
      <x:c r="D527" s="55"/>
      <x:c r="E527" s="55"/>
      <x:c r="F527" s="55"/>
      <x:c r="G527" s="55"/>
      <x:c r="H527" s="55"/>
      <x:c r="I527" s="55"/>
      <x:c r="J527" s="55"/>
      <x:c r="K527" s="55"/>
      <x:c r="L527" s="55"/>
      <x:c r="M527" s="55"/>
      <x:c r="N527" s="55"/>
      <x:c r="O527" s="55"/>
      <x:c r="P527" s="55"/>
      <x:c r="Q527" s="55"/>
      <x:c r="R527" s="55"/>
      <x:c r="S527" s="55" t="str">
        <x:f>IF(C527="","",IFERROR(Q527*R527/100,""))</x:f>
      </x:c>
      <x:c r="T527" s="55"/>
      <x:c r="U527" s="55"/>
      <x:c r="V527" s="55" t="str">
        <x:f>IF(U527="","",U527-TODAY())</x:f>
      </x:c>
      <x:c r="W527" s="55" t="str">
        <x:f>IF(AND(U527&lt;&gt;"",U527&lt;TODAY(),O527="Активен"),"ДА","")</x:f>
      </x:c>
      <x:c r="X527" s="55"/>
      <x:c r="Y527" s="55"/>
      <x:c r="Z527" s="55"/>
      <x:c r="AA527" s="55"/>
      <x:c r="AB527" s="55" t="str">
        <x:f>IF(C527="","", "Напиши " &amp; AA527 &amp; " за бизнес: " &amp; C527 &amp; ". Тип: " &amp; D527 &amp; ". Град: " &amp; E527 &amp; ". Проблем: " &amp; L527 &amp; ". Предложение: " &amp; M527 &amp; ". Етап: " &amp; N527 &amp; ". Бележки: " &amp; Y527)</x:f>
      </x:c>
      <x:c r="AC527" s="55"/>
    </x:row>
    <x:row r="528">
      <x:c r="A528" s="55"/>
      <x:c r="B528" s="55"/>
      <x:c r="C528" s="55"/>
      <x:c r="D528" s="55"/>
      <x:c r="E528" s="55"/>
      <x:c r="F528" s="55"/>
      <x:c r="G528" s="55"/>
      <x:c r="H528" s="55"/>
      <x:c r="I528" s="55"/>
      <x:c r="J528" s="55"/>
      <x:c r="K528" s="55"/>
      <x:c r="L528" s="55"/>
      <x:c r="M528" s="55"/>
      <x:c r="N528" s="55"/>
      <x:c r="O528" s="55"/>
      <x:c r="P528" s="55"/>
      <x:c r="Q528" s="55"/>
      <x:c r="R528" s="55"/>
      <x:c r="S528" s="55" t="str">
        <x:f>IF(C528="","",IFERROR(Q528*R528/100,""))</x:f>
      </x:c>
      <x:c r="T528" s="55"/>
      <x:c r="U528" s="55"/>
      <x:c r="V528" s="55" t="str">
        <x:f>IF(U528="","",U528-TODAY())</x:f>
      </x:c>
      <x:c r="W528" s="55" t="str">
        <x:f>IF(AND(U528&lt;&gt;"",U528&lt;TODAY(),O528="Активен"),"ДА","")</x:f>
      </x:c>
      <x:c r="X528" s="55"/>
      <x:c r="Y528" s="55"/>
      <x:c r="Z528" s="55"/>
      <x:c r="AA528" s="55"/>
      <x:c r="AB528" s="55" t="str">
        <x:f>IF(C528="","", "Напиши " &amp; AA528 &amp; " за бизнес: " &amp; C528 &amp; ". Тип: " &amp; D528 &amp; ". Град: " &amp; E528 &amp; ". Проблем: " &amp; L528 &amp; ". Предложение: " &amp; M528 &amp; ". Етап: " &amp; N528 &amp; ". Бележки: " &amp; Y528)</x:f>
      </x:c>
      <x:c r="AC528" s="55"/>
    </x:row>
    <x:row r="529">
      <x:c r="A529" s="55"/>
      <x:c r="B529" s="55"/>
      <x:c r="C529" s="55"/>
      <x:c r="D529" s="55"/>
      <x:c r="E529" s="55"/>
      <x:c r="F529" s="55"/>
      <x:c r="G529" s="55"/>
      <x:c r="H529" s="55"/>
      <x:c r="I529" s="55"/>
      <x:c r="J529" s="55"/>
      <x:c r="K529" s="55"/>
      <x:c r="L529" s="55"/>
      <x:c r="M529" s="55"/>
      <x:c r="N529" s="55"/>
      <x:c r="O529" s="55"/>
      <x:c r="P529" s="55"/>
      <x:c r="Q529" s="55"/>
      <x:c r="R529" s="55"/>
      <x:c r="S529" s="55" t="str">
        <x:f>IF(C529="","",IFERROR(Q529*R529/100,""))</x:f>
      </x:c>
      <x:c r="T529" s="55"/>
      <x:c r="U529" s="55"/>
      <x:c r="V529" s="55" t="str">
        <x:f>IF(U529="","",U529-TODAY())</x:f>
      </x:c>
      <x:c r="W529" s="55" t="str">
        <x:f>IF(AND(U529&lt;&gt;"",U529&lt;TODAY(),O529="Активен"),"ДА","")</x:f>
      </x:c>
      <x:c r="X529" s="55"/>
      <x:c r="Y529" s="55"/>
      <x:c r="Z529" s="55"/>
      <x:c r="AA529" s="55"/>
      <x:c r="AB529" s="55" t="str">
        <x:f>IF(C529="","", "Напиши " &amp; AA529 &amp; " за бизнес: " &amp; C529 &amp; ". Тип: " &amp; D529 &amp; ". Град: " &amp; E529 &amp; ". Проблем: " &amp; L529 &amp; ". Предложение: " &amp; M529 &amp; ". Етап: " &amp; N529 &amp; ". Бележки: " &amp; Y529)</x:f>
      </x:c>
      <x:c r="AC529" s="55"/>
    </x:row>
    <x:row r="530">
      <x:c r="A530" s="55"/>
      <x:c r="B530" s="55"/>
      <x:c r="C530" s="55"/>
      <x:c r="D530" s="55"/>
      <x:c r="E530" s="55"/>
      <x:c r="F530" s="55"/>
      <x:c r="G530" s="55"/>
      <x:c r="H530" s="55"/>
      <x:c r="I530" s="55"/>
      <x:c r="J530" s="55"/>
      <x:c r="K530" s="55"/>
      <x:c r="L530" s="55"/>
      <x:c r="M530" s="55"/>
      <x:c r="N530" s="55"/>
      <x:c r="O530" s="55"/>
      <x:c r="P530" s="55"/>
      <x:c r="Q530" s="55"/>
      <x:c r="R530" s="55"/>
      <x:c r="S530" s="55" t="str">
        <x:f>IF(C530="","",IFERROR(Q530*R530/100,""))</x:f>
      </x:c>
      <x:c r="T530" s="55"/>
      <x:c r="U530" s="55"/>
      <x:c r="V530" s="55" t="str">
        <x:f>IF(U530="","",U530-TODAY())</x:f>
      </x:c>
      <x:c r="W530" s="55" t="str">
        <x:f>IF(AND(U530&lt;&gt;"",U530&lt;TODAY(),O530="Активен"),"ДА","")</x:f>
      </x:c>
      <x:c r="X530" s="55"/>
      <x:c r="Y530" s="55"/>
      <x:c r="Z530" s="55"/>
      <x:c r="AA530" s="55"/>
      <x:c r="AB530" s="55" t="str">
        <x:f>IF(C530="","", "Напиши " &amp; AA530 &amp; " за бизнес: " &amp; C530 &amp; ". Тип: " &amp; D530 &amp; ". Град: " &amp; E530 &amp; ". Проблем: " &amp; L530 &amp; ". Предложение: " &amp; M530 &amp; ". Етап: " &amp; N530 &amp; ". Бележки: " &amp; Y530)</x:f>
      </x:c>
      <x:c r="AC530" s="55"/>
    </x:row>
    <x:row r="531">
      <x:c r="A531" s="55"/>
      <x:c r="B531" s="55"/>
      <x:c r="C531" s="55"/>
      <x:c r="D531" s="55"/>
      <x:c r="E531" s="55"/>
      <x:c r="F531" s="55"/>
      <x:c r="G531" s="55"/>
      <x:c r="H531" s="55"/>
      <x:c r="I531" s="55"/>
      <x:c r="J531" s="55"/>
      <x:c r="K531" s="55"/>
      <x:c r="L531" s="55"/>
      <x:c r="M531" s="55"/>
      <x:c r="N531" s="55"/>
      <x:c r="O531" s="55"/>
      <x:c r="P531" s="55"/>
      <x:c r="Q531" s="55"/>
      <x:c r="R531" s="55"/>
      <x:c r="S531" s="55" t="str">
        <x:f>IF(C531="","",IFERROR(Q531*R531/100,""))</x:f>
      </x:c>
      <x:c r="T531" s="55"/>
      <x:c r="U531" s="55"/>
      <x:c r="V531" s="55" t="str">
        <x:f>IF(U531="","",U531-TODAY())</x:f>
      </x:c>
      <x:c r="W531" s="55" t="str">
        <x:f>IF(AND(U531&lt;&gt;"",U531&lt;TODAY(),O531="Активен"),"ДА","")</x:f>
      </x:c>
      <x:c r="X531" s="55"/>
      <x:c r="Y531" s="55"/>
      <x:c r="Z531" s="55"/>
      <x:c r="AA531" s="55"/>
      <x:c r="AB531" s="55" t="str">
        <x:f>IF(C531="","", "Напиши " &amp; AA531 &amp; " за бизнес: " &amp; C531 &amp; ". Тип: " &amp; D531 &amp; ". Град: " &amp; E531 &amp; ". Проблем: " &amp; L531 &amp; ". Предложение: " &amp; M531 &amp; ". Етап: " &amp; N531 &amp; ". Бележки: " &amp; Y531)</x:f>
      </x:c>
      <x:c r="AC531" s="55"/>
    </x:row>
    <x:row r="532">
      <x:c r="A532" s="55"/>
      <x:c r="B532" s="55"/>
      <x:c r="C532" s="55"/>
      <x:c r="D532" s="55"/>
      <x:c r="E532" s="55"/>
      <x:c r="F532" s="55"/>
      <x:c r="G532" s="55"/>
      <x:c r="H532" s="55"/>
      <x:c r="I532" s="55"/>
      <x:c r="J532" s="55"/>
      <x:c r="K532" s="55"/>
      <x:c r="L532" s="55"/>
      <x:c r="M532" s="55"/>
      <x:c r="N532" s="55"/>
      <x:c r="O532" s="55"/>
      <x:c r="P532" s="55"/>
      <x:c r="Q532" s="55"/>
      <x:c r="R532" s="55"/>
      <x:c r="S532" s="55" t="str">
        <x:f>IF(C532="","",IFERROR(Q532*R532/100,""))</x:f>
      </x:c>
      <x:c r="T532" s="55"/>
      <x:c r="U532" s="55"/>
      <x:c r="V532" s="55" t="str">
        <x:f>IF(U532="","",U532-TODAY())</x:f>
      </x:c>
      <x:c r="W532" s="55" t="str">
        <x:f>IF(AND(U532&lt;&gt;"",U532&lt;TODAY(),O532="Активен"),"ДА","")</x:f>
      </x:c>
      <x:c r="X532" s="55"/>
      <x:c r="Y532" s="55"/>
      <x:c r="Z532" s="55"/>
      <x:c r="AA532" s="55"/>
      <x:c r="AB532" s="55" t="str">
        <x:f>IF(C532="","", "Напиши " &amp; AA532 &amp; " за бизнес: " &amp; C532 &amp; ". Тип: " &amp; D532 &amp; ". Град: " &amp; E532 &amp; ". Проблем: " &amp; L532 &amp; ". Предложение: " &amp; M532 &amp; ". Етап: " &amp; N532 &amp; ". Бележки: " &amp; Y532)</x:f>
      </x:c>
      <x:c r="AC532" s="55"/>
    </x:row>
    <x:row r="533">
      <x:c r="A533" s="55"/>
      <x:c r="B533" s="55"/>
      <x:c r="C533" s="55"/>
      <x:c r="D533" s="55"/>
      <x:c r="E533" s="55"/>
      <x:c r="F533" s="55"/>
      <x:c r="G533" s="55"/>
      <x:c r="H533" s="55"/>
      <x:c r="I533" s="55"/>
      <x:c r="J533" s="55"/>
      <x:c r="K533" s="55"/>
      <x:c r="L533" s="55"/>
      <x:c r="M533" s="55"/>
      <x:c r="N533" s="55"/>
      <x:c r="O533" s="55"/>
      <x:c r="P533" s="55"/>
      <x:c r="Q533" s="55"/>
      <x:c r="R533" s="55"/>
      <x:c r="S533" s="55" t="str">
        <x:f>IF(C533="","",IFERROR(Q533*R533/100,""))</x:f>
      </x:c>
      <x:c r="T533" s="55"/>
      <x:c r="U533" s="55"/>
      <x:c r="V533" s="55" t="str">
        <x:f>IF(U533="","",U533-TODAY())</x:f>
      </x:c>
      <x:c r="W533" s="55" t="str">
        <x:f>IF(AND(U533&lt;&gt;"",U533&lt;TODAY(),O533="Активен"),"ДА","")</x:f>
      </x:c>
      <x:c r="X533" s="55"/>
      <x:c r="Y533" s="55"/>
      <x:c r="Z533" s="55"/>
      <x:c r="AA533" s="55"/>
      <x:c r="AB533" s="55" t="str">
        <x:f>IF(C533="","", "Напиши " &amp; AA533 &amp; " за бизнес: " &amp; C533 &amp; ". Тип: " &amp; D533 &amp; ". Град: " &amp; E533 &amp; ". Проблем: " &amp; L533 &amp; ". Предложение: " &amp; M533 &amp; ". Етап: " &amp; N533 &amp; ". Бележки: " &amp; Y533)</x:f>
      </x:c>
      <x:c r="AC533" s="55"/>
    </x:row>
    <x:row r="534">
      <x:c r="A534" s="55"/>
      <x:c r="B534" s="55"/>
      <x:c r="C534" s="55"/>
      <x:c r="D534" s="55"/>
      <x:c r="E534" s="55"/>
      <x:c r="F534" s="55"/>
      <x:c r="G534" s="55"/>
      <x:c r="H534" s="55"/>
      <x:c r="I534" s="55"/>
      <x:c r="J534" s="55"/>
      <x:c r="K534" s="55"/>
      <x:c r="L534" s="55"/>
      <x:c r="M534" s="55"/>
      <x:c r="N534" s="55"/>
      <x:c r="O534" s="55"/>
      <x:c r="P534" s="55"/>
      <x:c r="Q534" s="55"/>
      <x:c r="R534" s="55"/>
      <x:c r="S534" s="55" t="str">
        <x:f>IF(C534="","",IFERROR(Q534*R534/100,""))</x:f>
      </x:c>
      <x:c r="T534" s="55"/>
      <x:c r="U534" s="55"/>
      <x:c r="V534" s="55" t="str">
        <x:f>IF(U534="","",U534-TODAY())</x:f>
      </x:c>
      <x:c r="W534" s="55" t="str">
        <x:f>IF(AND(U534&lt;&gt;"",U534&lt;TODAY(),O534="Активен"),"ДА","")</x:f>
      </x:c>
      <x:c r="X534" s="55"/>
      <x:c r="Y534" s="55"/>
      <x:c r="Z534" s="55"/>
      <x:c r="AA534" s="55"/>
      <x:c r="AB534" s="55" t="str">
        <x:f>IF(C534="","", "Напиши " &amp; AA534 &amp; " за бизнес: " &amp; C534 &amp; ". Тип: " &amp; D534 &amp; ". Град: " &amp; E534 &amp; ". Проблем: " &amp; L534 &amp; ". Предложение: " &amp; M534 &amp; ". Етап: " &amp; N534 &amp; ". Бележки: " &amp; Y534)</x:f>
      </x:c>
      <x:c r="AC534" s="55"/>
    </x:row>
    <x:row r="535">
      <x:c r="A535" s="55"/>
      <x:c r="B535" s="55"/>
      <x:c r="C535" s="55"/>
      <x:c r="D535" s="55"/>
      <x:c r="E535" s="55"/>
      <x:c r="F535" s="55"/>
      <x:c r="G535" s="55"/>
      <x:c r="H535" s="55"/>
      <x:c r="I535" s="55"/>
      <x:c r="J535" s="55"/>
      <x:c r="K535" s="55"/>
      <x:c r="L535" s="55"/>
      <x:c r="M535" s="55"/>
      <x:c r="N535" s="55"/>
      <x:c r="O535" s="55"/>
      <x:c r="P535" s="55"/>
      <x:c r="Q535" s="55"/>
      <x:c r="R535" s="55"/>
      <x:c r="S535" s="55" t="str">
        <x:f>IF(C535="","",IFERROR(Q535*R535/100,""))</x:f>
      </x:c>
      <x:c r="T535" s="55"/>
      <x:c r="U535" s="55"/>
      <x:c r="V535" s="55" t="str">
        <x:f>IF(U535="","",U535-TODAY())</x:f>
      </x:c>
      <x:c r="W535" s="55" t="str">
        <x:f>IF(AND(U535&lt;&gt;"",U535&lt;TODAY(),O535="Активен"),"ДА","")</x:f>
      </x:c>
      <x:c r="X535" s="55"/>
      <x:c r="Y535" s="55"/>
      <x:c r="Z535" s="55"/>
      <x:c r="AA535" s="55"/>
      <x:c r="AB535" s="55" t="str">
        <x:f>IF(C535="","", "Напиши " &amp; AA535 &amp; " за бизнес: " &amp; C535 &amp; ". Тип: " &amp; D535 &amp; ". Град: " &amp; E535 &amp; ". Проблем: " &amp; L535 &amp; ". Предложение: " &amp; M535 &amp; ". Етап: " &amp; N535 &amp; ". Бележки: " &amp; Y535)</x:f>
      </x:c>
      <x:c r="AC535" s="55"/>
    </x:row>
    <x:row r="536">
      <x:c r="A536" s="55"/>
      <x:c r="B536" s="55"/>
      <x:c r="C536" s="55"/>
      <x:c r="D536" s="55"/>
      <x:c r="E536" s="55"/>
      <x:c r="F536" s="55"/>
      <x:c r="G536" s="55"/>
      <x:c r="H536" s="55"/>
      <x:c r="I536" s="55"/>
      <x:c r="J536" s="55"/>
      <x:c r="K536" s="55"/>
      <x:c r="L536" s="55"/>
      <x:c r="M536" s="55"/>
      <x:c r="N536" s="55"/>
      <x:c r="O536" s="55"/>
      <x:c r="P536" s="55"/>
      <x:c r="Q536" s="55"/>
      <x:c r="R536" s="55"/>
      <x:c r="S536" s="55" t="str">
        <x:f>IF(C536="","",IFERROR(Q536*R536/100,""))</x:f>
      </x:c>
      <x:c r="T536" s="55"/>
      <x:c r="U536" s="55"/>
      <x:c r="V536" s="55" t="str">
        <x:f>IF(U536="","",U536-TODAY())</x:f>
      </x:c>
      <x:c r="W536" s="55" t="str">
        <x:f>IF(AND(U536&lt;&gt;"",U536&lt;TODAY(),O536="Активен"),"ДА","")</x:f>
      </x:c>
      <x:c r="X536" s="55"/>
      <x:c r="Y536" s="55"/>
      <x:c r="Z536" s="55"/>
      <x:c r="AA536" s="55"/>
      <x:c r="AB536" s="55" t="str">
        <x:f>IF(C536="","", "Напиши " &amp; AA536 &amp; " за бизнес: " &amp; C536 &amp; ". Тип: " &amp; D536 &amp; ". Град: " &amp; E536 &amp; ". Проблем: " &amp; L536 &amp; ". Предложение: " &amp; M536 &amp; ". Етап: " &amp; N536 &amp; ". Бележки: " &amp; Y536)</x:f>
      </x:c>
      <x:c r="AC536" s="55"/>
    </x:row>
    <x:row r="537">
      <x:c r="A537" s="55"/>
      <x:c r="B537" s="55"/>
      <x:c r="C537" s="55"/>
      <x:c r="D537" s="55"/>
      <x:c r="E537" s="55"/>
      <x:c r="F537" s="55"/>
      <x:c r="G537" s="55"/>
      <x:c r="H537" s="55"/>
      <x:c r="I537" s="55"/>
      <x:c r="J537" s="55"/>
      <x:c r="K537" s="55"/>
      <x:c r="L537" s="55"/>
      <x:c r="M537" s="55"/>
      <x:c r="N537" s="55"/>
      <x:c r="O537" s="55"/>
      <x:c r="P537" s="55"/>
      <x:c r="Q537" s="55"/>
      <x:c r="R537" s="55"/>
      <x:c r="S537" s="55" t="str">
        <x:f>IF(C537="","",IFERROR(Q537*R537/100,""))</x:f>
      </x:c>
      <x:c r="T537" s="55"/>
      <x:c r="U537" s="55"/>
      <x:c r="V537" s="55" t="str">
        <x:f>IF(U537="","",U537-TODAY())</x:f>
      </x:c>
      <x:c r="W537" s="55" t="str">
        <x:f>IF(AND(U537&lt;&gt;"",U537&lt;TODAY(),O537="Активен"),"ДА","")</x:f>
      </x:c>
      <x:c r="X537" s="55"/>
      <x:c r="Y537" s="55"/>
      <x:c r="Z537" s="55"/>
      <x:c r="AA537" s="55"/>
      <x:c r="AB537" s="55" t="str">
        <x:f>IF(C537="","", "Напиши " &amp; AA537 &amp; " за бизнес: " &amp; C537 &amp; ". Тип: " &amp; D537 &amp; ". Град: " &amp; E537 &amp; ". Проблем: " &amp; L537 &amp; ". Предложение: " &amp; M537 &amp; ". Етап: " &amp; N537 &amp; ". Бележки: " &amp; Y537)</x:f>
      </x:c>
      <x:c r="AC537" s="55"/>
    </x:row>
    <x:row r="538">
      <x:c r="A538" s="55"/>
      <x:c r="B538" s="55"/>
      <x:c r="C538" s="55"/>
      <x:c r="D538" s="55"/>
      <x:c r="E538" s="55"/>
      <x:c r="F538" s="55"/>
      <x:c r="G538" s="55"/>
      <x:c r="H538" s="55"/>
      <x:c r="I538" s="55"/>
      <x:c r="J538" s="55"/>
      <x:c r="K538" s="55"/>
      <x:c r="L538" s="55"/>
      <x:c r="M538" s="55"/>
      <x:c r="N538" s="55"/>
      <x:c r="O538" s="55"/>
      <x:c r="P538" s="55"/>
      <x:c r="Q538" s="55"/>
      <x:c r="R538" s="55"/>
      <x:c r="S538" s="55" t="str">
        <x:f>IF(C538="","",IFERROR(Q538*R538/100,""))</x:f>
      </x:c>
      <x:c r="T538" s="55"/>
      <x:c r="U538" s="55"/>
      <x:c r="V538" s="55" t="str">
        <x:f>IF(U538="","",U538-TODAY())</x:f>
      </x:c>
      <x:c r="W538" s="55" t="str">
        <x:f>IF(AND(U538&lt;&gt;"",U538&lt;TODAY(),O538="Активен"),"ДА","")</x:f>
      </x:c>
      <x:c r="X538" s="55"/>
      <x:c r="Y538" s="55"/>
      <x:c r="Z538" s="55"/>
      <x:c r="AA538" s="55"/>
      <x:c r="AB538" s="55" t="str">
        <x:f>IF(C538="","", "Напиши " &amp; AA538 &amp; " за бизнес: " &amp; C538 &amp; ". Тип: " &amp; D538 &amp; ". Град: " &amp; E538 &amp; ". Проблем: " &amp; L538 &amp; ". Предложение: " &amp; M538 &amp; ". Етап: " &amp; N538 &amp; ". Бележки: " &amp; Y538)</x:f>
      </x:c>
      <x:c r="AC538" s="55"/>
    </x:row>
    <x:row r="539">
      <x:c r="A539" s="55"/>
      <x:c r="B539" s="55"/>
      <x:c r="C539" s="55"/>
      <x:c r="D539" s="55"/>
      <x:c r="E539" s="55"/>
      <x:c r="F539" s="55"/>
      <x:c r="G539" s="55"/>
      <x:c r="H539" s="55"/>
      <x:c r="I539" s="55"/>
      <x:c r="J539" s="55"/>
      <x:c r="K539" s="55"/>
      <x:c r="L539" s="55"/>
      <x:c r="M539" s="55"/>
      <x:c r="N539" s="55"/>
      <x:c r="O539" s="55"/>
      <x:c r="P539" s="55"/>
      <x:c r="Q539" s="55"/>
      <x:c r="R539" s="55"/>
      <x:c r="S539" s="55" t="str">
        <x:f>IF(C539="","",IFERROR(Q539*R539/100,""))</x:f>
      </x:c>
      <x:c r="T539" s="55"/>
      <x:c r="U539" s="55"/>
      <x:c r="V539" s="55" t="str">
        <x:f>IF(U539="","",U539-TODAY())</x:f>
      </x:c>
      <x:c r="W539" s="55" t="str">
        <x:f>IF(AND(U539&lt;&gt;"",U539&lt;TODAY(),O539="Активен"),"ДА","")</x:f>
      </x:c>
      <x:c r="X539" s="55"/>
      <x:c r="Y539" s="55"/>
      <x:c r="Z539" s="55"/>
      <x:c r="AA539" s="55"/>
      <x:c r="AB539" s="55" t="str">
        <x:f>IF(C539="","", "Напиши " &amp; AA539 &amp; " за бизнес: " &amp; C539 &amp; ". Тип: " &amp; D539 &amp; ". Град: " &amp; E539 &amp; ". Проблем: " &amp; L539 &amp; ". Предложение: " &amp; M539 &amp; ". Етап: " &amp; N539 &amp; ". Бележки: " &amp; Y539)</x:f>
      </x:c>
      <x:c r="AC539" s="55"/>
    </x:row>
    <x:row r="540">
      <x:c r="A540" s="55"/>
      <x:c r="B540" s="55"/>
      <x:c r="C540" s="55"/>
      <x:c r="D540" s="55"/>
      <x:c r="E540" s="55"/>
      <x:c r="F540" s="55"/>
      <x:c r="G540" s="55"/>
      <x:c r="H540" s="55"/>
      <x:c r="I540" s="55"/>
      <x:c r="J540" s="55"/>
      <x:c r="K540" s="55"/>
      <x:c r="L540" s="55"/>
      <x:c r="M540" s="55"/>
      <x:c r="N540" s="55"/>
      <x:c r="O540" s="55"/>
      <x:c r="P540" s="55"/>
      <x:c r="Q540" s="55"/>
      <x:c r="R540" s="55"/>
      <x:c r="S540" s="55" t="str">
        <x:f>IF(C540="","",IFERROR(Q540*R540/100,""))</x:f>
      </x:c>
      <x:c r="T540" s="55"/>
      <x:c r="U540" s="55"/>
      <x:c r="V540" s="55" t="str">
        <x:f>IF(U540="","",U540-TODAY())</x:f>
      </x:c>
      <x:c r="W540" s="55" t="str">
        <x:f>IF(AND(U540&lt;&gt;"",U540&lt;TODAY(),O540="Активен"),"ДА","")</x:f>
      </x:c>
      <x:c r="X540" s="55"/>
      <x:c r="Y540" s="55"/>
      <x:c r="Z540" s="55"/>
      <x:c r="AA540" s="55"/>
      <x:c r="AB540" s="55" t="str">
        <x:f>IF(C540="","", "Напиши " &amp; AA540 &amp; " за бизнес: " &amp; C540 &amp; ". Тип: " &amp; D540 &amp; ". Град: " &amp; E540 &amp; ". Проблем: " &amp; L540 &amp; ". Предложение: " &amp; M540 &amp; ". Етап: " &amp; N540 &amp; ". Бележки: " &amp; Y540)</x:f>
      </x:c>
      <x:c r="AC540" s="55"/>
    </x:row>
    <x:row r="541">
      <x:c r="A541" s="55"/>
      <x:c r="B541" s="55"/>
      <x:c r="C541" s="55"/>
      <x:c r="D541" s="55"/>
      <x:c r="E541" s="55"/>
      <x:c r="F541" s="55"/>
      <x:c r="G541" s="55"/>
      <x:c r="H541" s="55"/>
      <x:c r="I541" s="55"/>
      <x:c r="J541" s="55"/>
      <x:c r="K541" s="55"/>
      <x:c r="L541" s="55"/>
      <x:c r="M541" s="55"/>
      <x:c r="N541" s="55"/>
      <x:c r="O541" s="55"/>
      <x:c r="P541" s="55"/>
      <x:c r="Q541" s="55"/>
      <x:c r="R541" s="55"/>
      <x:c r="S541" s="55" t="str">
        <x:f>IF(C541="","",IFERROR(Q541*R541/100,""))</x:f>
      </x:c>
      <x:c r="T541" s="55"/>
      <x:c r="U541" s="55"/>
      <x:c r="V541" s="55" t="str">
        <x:f>IF(U541="","",U541-TODAY())</x:f>
      </x:c>
      <x:c r="W541" s="55" t="str">
        <x:f>IF(AND(U541&lt;&gt;"",U541&lt;TODAY(),O541="Активен"),"ДА","")</x:f>
      </x:c>
      <x:c r="X541" s="55"/>
      <x:c r="Y541" s="55"/>
      <x:c r="Z541" s="55"/>
      <x:c r="AA541" s="55"/>
      <x:c r="AB541" s="55" t="str">
        <x:f>IF(C541="","", "Напиши " &amp; AA541 &amp; " за бизнес: " &amp; C541 &amp; ". Тип: " &amp; D541 &amp; ". Град: " &amp; E541 &amp; ". Проблем: " &amp; L541 &amp; ". Предложение: " &amp; M541 &amp; ". Етап: " &amp; N541 &amp; ". Бележки: " &amp; Y541)</x:f>
      </x:c>
      <x:c r="AC541" s="55"/>
    </x:row>
    <x:row r="542">
      <x:c r="A542" s="55"/>
      <x:c r="B542" s="55"/>
      <x:c r="C542" s="55"/>
      <x:c r="D542" s="55"/>
      <x:c r="E542" s="55"/>
      <x:c r="F542" s="55"/>
      <x:c r="G542" s="55"/>
      <x:c r="H542" s="55"/>
      <x:c r="I542" s="55"/>
      <x:c r="J542" s="55"/>
      <x:c r="K542" s="55"/>
      <x:c r="L542" s="55"/>
      <x:c r="M542" s="55"/>
      <x:c r="N542" s="55"/>
      <x:c r="O542" s="55"/>
      <x:c r="P542" s="55"/>
      <x:c r="Q542" s="55"/>
      <x:c r="R542" s="55"/>
      <x:c r="S542" s="55" t="str">
        <x:f>IF(C542="","",IFERROR(Q542*R542/100,""))</x:f>
      </x:c>
      <x:c r="T542" s="55"/>
      <x:c r="U542" s="55"/>
      <x:c r="V542" s="55" t="str">
        <x:f>IF(U542="","",U542-TODAY())</x:f>
      </x:c>
      <x:c r="W542" s="55" t="str">
        <x:f>IF(AND(U542&lt;&gt;"",U542&lt;TODAY(),O542="Активен"),"ДА","")</x:f>
      </x:c>
      <x:c r="X542" s="55"/>
      <x:c r="Y542" s="55"/>
      <x:c r="Z542" s="55"/>
      <x:c r="AA542" s="55"/>
      <x:c r="AB542" s="55" t="str">
        <x:f>IF(C542="","", "Напиши " &amp; AA542 &amp; " за бизнес: " &amp; C542 &amp; ". Тип: " &amp; D542 &amp; ". Град: " &amp; E542 &amp; ". Проблем: " &amp; L542 &amp; ". Предложение: " &amp; M542 &amp; ". Етап: " &amp; N542 &amp; ". Бележки: " &amp; Y542)</x:f>
      </x:c>
      <x:c r="AC542" s="55"/>
    </x:row>
    <x:row r="543">
      <x:c r="A543" s="55"/>
      <x:c r="B543" s="55"/>
      <x:c r="C543" s="55"/>
      <x:c r="D543" s="55"/>
      <x:c r="E543" s="55"/>
      <x:c r="F543" s="55"/>
      <x:c r="G543" s="55"/>
      <x:c r="H543" s="55"/>
      <x:c r="I543" s="55"/>
      <x:c r="J543" s="55"/>
      <x:c r="K543" s="55"/>
      <x:c r="L543" s="55"/>
      <x:c r="M543" s="55"/>
      <x:c r="N543" s="55"/>
      <x:c r="O543" s="55"/>
      <x:c r="P543" s="55"/>
      <x:c r="Q543" s="55"/>
      <x:c r="R543" s="55"/>
      <x:c r="S543" s="55" t="str">
        <x:f>IF(C543="","",IFERROR(Q543*R543/100,""))</x:f>
      </x:c>
      <x:c r="T543" s="55"/>
      <x:c r="U543" s="55"/>
      <x:c r="V543" s="55" t="str">
        <x:f>IF(U543="","",U543-TODAY())</x:f>
      </x:c>
      <x:c r="W543" s="55" t="str">
        <x:f>IF(AND(U543&lt;&gt;"",U543&lt;TODAY(),O543="Активен"),"ДА","")</x:f>
      </x:c>
      <x:c r="X543" s="55"/>
      <x:c r="Y543" s="55"/>
      <x:c r="Z543" s="55"/>
      <x:c r="AA543" s="55"/>
      <x:c r="AB543" s="55" t="str">
        <x:f>IF(C543="","", "Напиши " &amp; AA543 &amp; " за бизнес: " &amp; C543 &amp; ". Тип: " &amp; D543 &amp; ". Град: " &amp; E543 &amp; ". Проблем: " &amp; L543 &amp; ". Предложение: " &amp; M543 &amp; ". Етап: " &amp; N543 &amp; ". Бележки: " &amp; Y543)</x:f>
      </x:c>
      <x:c r="AC543" s="55"/>
    </x:row>
    <x:row r="544">
      <x:c r="A544" s="55"/>
      <x:c r="B544" s="55"/>
      <x:c r="C544" s="55"/>
      <x:c r="D544" s="55"/>
      <x:c r="E544" s="55"/>
      <x:c r="F544" s="55"/>
      <x:c r="G544" s="55"/>
      <x:c r="H544" s="55"/>
      <x:c r="I544" s="55"/>
      <x:c r="J544" s="55"/>
      <x:c r="K544" s="55"/>
      <x:c r="L544" s="55"/>
      <x:c r="M544" s="55"/>
      <x:c r="N544" s="55"/>
      <x:c r="O544" s="55"/>
      <x:c r="P544" s="55"/>
      <x:c r="Q544" s="55"/>
      <x:c r="R544" s="55"/>
      <x:c r="S544" s="55" t="str">
        <x:f>IF(C544="","",IFERROR(Q544*R544/100,""))</x:f>
      </x:c>
      <x:c r="T544" s="55"/>
      <x:c r="U544" s="55"/>
      <x:c r="V544" s="55" t="str">
        <x:f>IF(U544="","",U544-TODAY())</x:f>
      </x:c>
      <x:c r="W544" s="55" t="str">
        <x:f>IF(AND(U544&lt;&gt;"",U544&lt;TODAY(),O544="Активен"),"ДА","")</x:f>
      </x:c>
      <x:c r="X544" s="55"/>
      <x:c r="Y544" s="55"/>
      <x:c r="Z544" s="55"/>
      <x:c r="AA544" s="55"/>
      <x:c r="AB544" s="55" t="str">
        <x:f>IF(C544="","", "Напиши " &amp; AA544 &amp; " за бизнес: " &amp; C544 &amp; ". Тип: " &amp; D544 &amp; ". Град: " &amp; E544 &amp; ". Проблем: " &amp; L544 &amp; ". Предложение: " &amp; M544 &amp; ". Етап: " &amp; N544 &amp; ". Бележки: " &amp; Y544)</x:f>
      </x:c>
      <x:c r="AC544" s="55"/>
    </x:row>
    <x:row r="545">
      <x:c r="A545" s="55"/>
      <x:c r="B545" s="55"/>
      <x:c r="C545" s="55"/>
      <x:c r="D545" s="55"/>
      <x:c r="E545" s="55"/>
      <x:c r="F545" s="55"/>
      <x:c r="G545" s="55"/>
      <x:c r="H545" s="55"/>
      <x:c r="I545" s="55"/>
      <x:c r="J545" s="55"/>
      <x:c r="K545" s="55"/>
      <x:c r="L545" s="55"/>
      <x:c r="M545" s="55"/>
      <x:c r="N545" s="55"/>
      <x:c r="O545" s="55"/>
      <x:c r="P545" s="55"/>
      <x:c r="Q545" s="55"/>
      <x:c r="R545" s="55"/>
      <x:c r="S545" s="55" t="str">
        <x:f>IF(C545="","",IFERROR(Q545*R545/100,""))</x:f>
      </x:c>
      <x:c r="T545" s="55"/>
      <x:c r="U545" s="55"/>
      <x:c r="V545" s="55" t="str">
        <x:f>IF(U545="","",U545-TODAY())</x:f>
      </x:c>
      <x:c r="W545" s="55" t="str">
        <x:f>IF(AND(U545&lt;&gt;"",U545&lt;TODAY(),O545="Активен"),"ДА","")</x:f>
      </x:c>
      <x:c r="X545" s="55"/>
      <x:c r="Y545" s="55"/>
      <x:c r="Z545" s="55"/>
      <x:c r="AA545" s="55"/>
      <x:c r="AB545" s="55" t="str">
        <x:f>IF(C545="","", "Напиши " &amp; AA545 &amp; " за бизнес: " &amp; C545 &amp; ". Тип: " &amp; D545 &amp; ". Град: " &amp; E545 &amp; ". Проблем: " &amp; L545 &amp; ". Предложение: " &amp; M545 &amp; ". Етап: " &amp; N545 &amp; ". Бележки: " &amp; Y545)</x:f>
      </x:c>
      <x:c r="AC545" s="55"/>
    </x:row>
    <x:row r="546">
      <x:c r="A546" s="55"/>
      <x:c r="B546" s="55"/>
      <x:c r="C546" s="55"/>
      <x:c r="D546" s="55"/>
      <x:c r="E546" s="55"/>
      <x:c r="F546" s="55"/>
      <x:c r="G546" s="55"/>
      <x:c r="H546" s="55"/>
      <x:c r="I546" s="55"/>
      <x:c r="J546" s="55"/>
      <x:c r="K546" s="55"/>
      <x:c r="L546" s="55"/>
      <x:c r="M546" s="55"/>
      <x:c r="N546" s="55"/>
      <x:c r="O546" s="55"/>
      <x:c r="P546" s="55"/>
      <x:c r="Q546" s="55"/>
      <x:c r="R546" s="55"/>
      <x:c r="S546" s="55" t="str">
        <x:f>IF(C546="","",IFERROR(Q546*R546/100,""))</x:f>
      </x:c>
      <x:c r="T546" s="55"/>
      <x:c r="U546" s="55"/>
      <x:c r="V546" s="55" t="str">
        <x:f>IF(U546="","",U546-TODAY())</x:f>
      </x:c>
      <x:c r="W546" s="55" t="str">
        <x:f>IF(AND(U546&lt;&gt;"",U546&lt;TODAY(),O546="Активен"),"ДА","")</x:f>
      </x:c>
      <x:c r="X546" s="55"/>
      <x:c r="Y546" s="55"/>
      <x:c r="Z546" s="55"/>
      <x:c r="AA546" s="55"/>
      <x:c r="AB546" s="55" t="str">
        <x:f>IF(C546="","", "Напиши " &amp; AA546 &amp; " за бизнес: " &amp; C546 &amp; ". Тип: " &amp; D546 &amp; ". Град: " &amp; E546 &amp; ". Проблем: " &amp; L546 &amp; ". Предложение: " &amp; M546 &amp; ". Етап: " &amp; N546 &amp; ". Бележки: " &amp; Y546)</x:f>
      </x:c>
      <x:c r="AC546" s="55"/>
    </x:row>
    <x:row r="547">
      <x:c r="A547" s="55"/>
      <x:c r="B547" s="55"/>
      <x:c r="C547" s="55"/>
      <x:c r="D547" s="55"/>
      <x:c r="E547" s="55"/>
      <x:c r="F547" s="55"/>
      <x:c r="G547" s="55"/>
      <x:c r="H547" s="55"/>
      <x:c r="I547" s="55"/>
      <x:c r="J547" s="55"/>
      <x:c r="K547" s="55"/>
      <x:c r="L547" s="55"/>
      <x:c r="M547" s="55"/>
      <x:c r="N547" s="55"/>
      <x:c r="O547" s="55"/>
      <x:c r="P547" s="55"/>
      <x:c r="Q547" s="55"/>
      <x:c r="R547" s="55"/>
      <x:c r="S547" s="55" t="str">
        <x:f>IF(C547="","",IFERROR(Q547*R547/100,""))</x:f>
      </x:c>
      <x:c r="T547" s="55"/>
      <x:c r="U547" s="55"/>
      <x:c r="V547" s="55" t="str">
        <x:f>IF(U547="","",U547-TODAY())</x:f>
      </x:c>
      <x:c r="W547" s="55" t="str">
        <x:f>IF(AND(U547&lt;&gt;"",U547&lt;TODAY(),O547="Активен"),"ДА","")</x:f>
      </x:c>
      <x:c r="X547" s="55"/>
      <x:c r="Y547" s="55"/>
      <x:c r="Z547" s="55"/>
      <x:c r="AA547" s="55"/>
      <x:c r="AB547" s="55" t="str">
        <x:f>IF(C547="","", "Напиши " &amp; AA547 &amp; " за бизнес: " &amp; C547 &amp; ". Тип: " &amp; D547 &amp; ". Град: " &amp; E547 &amp; ". Проблем: " &amp; L547 &amp; ". Предложение: " &amp; M547 &amp; ". Етап: " &amp; N547 &amp; ". Бележки: " &amp; Y547)</x:f>
      </x:c>
      <x:c r="AC547" s="55"/>
    </x:row>
    <x:row r="548">
      <x:c r="A548" s="55"/>
      <x:c r="B548" s="55"/>
      <x:c r="C548" s="55"/>
      <x:c r="D548" s="55"/>
      <x:c r="E548" s="55"/>
      <x:c r="F548" s="55"/>
      <x:c r="G548" s="55"/>
      <x:c r="H548" s="55"/>
      <x:c r="I548" s="55"/>
      <x:c r="J548" s="55"/>
      <x:c r="K548" s="55"/>
      <x:c r="L548" s="55"/>
      <x:c r="M548" s="55"/>
      <x:c r="N548" s="55"/>
      <x:c r="O548" s="55"/>
      <x:c r="P548" s="55"/>
      <x:c r="Q548" s="55"/>
      <x:c r="R548" s="55"/>
      <x:c r="S548" s="55" t="str">
        <x:f>IF(C548="","",IFERROR(Q548*R548/100,""))</x:f>
      </x:c>
      <x:c r="T548" s="55"/>
      <x:c r="U548" s="55"/>
      <x:c r="V548" s="55" t="str">
        <x:f>IF(U548="","",U548-TODAY())</x:f>
      </x:c>
      <x:c r="W548" s="55" t="str">
        <x:f>IF(AND(U548&lt;&gt;"",U548&lt;TODAY(),O548="Активен"),"ДА","")</x:f>
      </x:c>
      <x:c r="X548" s="55"/>
      <x:c r="Y548" s="55"/>
      <x:c r="Z548" s="55"/>
      <x:c r="AA548" s="55"/>
      <x:c r="AB548" s="55" t="str">
        <x:f>IF(C548="","", "Напиши " &amp; AA548 &amp; " за бизнес: " &amp; C548 &amp; ". Тип: " &amp; D548 &amp; ". Град: " &amp; E548 &amp; ". Проблем: " &amp; L548 &amp; ". Предложение: " &amp; M548 &amp; ". Етап: " &amp; N548 &amp; ". Бележки: " &amp; Y548)</x:f>
      </x:c>
      <x:c r="AC548" s="55"/>
    </x:row>
    <x:row r="549">
      <x:c r="A549" s="55"/>
      <x:c r="B549" s="55"/>
      <x:c r="C549" s="55"/>
      <x:c r="D549" s="55"/>
      <x:c r="E549" s="55"/>
      <x:c r="F549" s="55"/>
      <x:c r="G549" s="55"/>
      <x:c r="H549" s="55"/>
      <x:c r="I549" s="55"/>
      <x:c r="J549" s="55"/>
      <x:c r="K549" s="55"/>
      <x:c r="L549" s="55"/>
      <x:c r="M549" s="55"/>
      <x:c r="N549" s="55"/>
      <x:c r="O549" s="55"/>
      <x:c r="P549" s="55"/>
      <x:c r="Q549" s="55"/>
      <x:c r="R549" s="55"/>
      <x:c r="S549" s="55" t="str">
        <x:f>IF(C549="","",IFERROR(Q549*R549/100,""))</x:f>
      </x:c>
      <x:c r="T549" s="55"/>
      <x:c r="U549" s="55"/>
      <x:c r="V549" s="55" t="str">
        <x:f>IF(U549="","",U549-TODAY())</x:f>
      </x:c>
      <x:c r="W549" s="55" t="str">
        <x:f>IF(AND(U549&lt;&gt;"",U549&lt;TODAY(),O549="Активен"),"ДА","")</x:f>
      </x:c>
      <x:c r="X549" s="55"/>
      <x:c r="Y549" s="55"/>
      <x:c r="Z549" s="55"/>
      <x:c r="AA549" s="55"/>
      <x:c r="AB549" s="55" t="str">
        <x:f>IF(C549="","", "Напиши " &amp; AA549 &amp; " за бизнес: " &amp; C549 &amp; ". Тип: " &amp; D549 &amp; ". Град: " &amp; E549 &amp; ". Проблем: " &amp; L549 &amp; ". Предложение: " &amp; M549 &amp; ". Етап: " &amp; N549 &amp; ". Бележки: " &amp; Y549)</x:f>
      </x:c>
      <x:c r="AC549" s="55"/>
    </x:row>
    <x:row r="550">
      <x:c r="A550" s="55"/>
      <x:c r="B550" s="55"/>
      <x:c r="C550" s="55"/>
      <x:c r="D550" s="55"/>
      <x:c r="E550" s="55"/>
      <x:c r="F550" s="55"/>
      <x:c r="G550" s="55"/>
      <x:c r="H550" s="55"/>
      <x:c r="I550" s="55"/>
      <x:c r="J550" s="55"/>
      <x:c r="K550" s="55"/>
      <x:c r="L550" s="55"/>
      <x:c r="M550" s="55"/>
      <x:c r="N550" s="55"/>
      <x:c r="O550" s="55"/>
      <x:c r="P550" s="55"/>
      <x:c r="Q550" s="55"/>
      <x:c r="R550" s="55"/>
      <x:c r="S550" s="55" t="str">
        <x:f>IF(C550="","",IFERROR(Q550*R550/100,""))</x:f>
      </x:c>
      <x:c r="T550" s="55"/>
      <x:c r="U550" s="55"/>
      <x:c r="V550" s="55" t="str">
        <x:f>IF(U550="","",U550-TODAY())</x:f>
      </x:c>
      <x:c r="W550" s="55" t="str">
        <x:f>IF(AND(U550&lt;&gt;"",U550&lt;TODAY(),O550="Активен"),"ДА","")</x:f>
      </x:c>
      <x:c r="X550" s="55"/>
      <x:c r="Y550" s="55"/>
      <x:c r="Z550" s="55"/>
      <x:c r="AA550" s="55"/>
      <x:c r="AB550" s="55" t="str">
        <x:f>IF(C550="","", "Напиши " &amp; AA550 &amp; " за бизнес: " &amp; C550 &amp; ". Тип: " &amp; D550 &amp; ". Град: " &amp; E550 &amp; ". Проблем: " &amp; L550 &amp; ". Предложение: " &amp; M550 &amp; ". Етап: " &amp; N550 &amp; ". Бележки: " &amp; Y550)</x:f>
      </x:c>
      <x:c r="AC550" s="55"/>
    </x:row>
    <x:row r="551">
      <x:c r="A551" s="55"/>
      <x:c r="B551" s="55"/>
      <x:c r="C551" s="55"/>
      <x:c r="D551" s="55"/>
      <x:c r="E551" s="55"/>
      <x:c r="F551" s="55"/>
      <x:c r="G551" s="55"/>
      <x:c r="H551" s="55"/>
      <x:c r="I551" s="55"/>
      <x:c r="J551" s="55"/>
      <x:c r="K551" s="55"/>
      <x:c r="L551" s="55"/>
      <x:c r="M551" s="55"/>
      <x:c r="N551" s="55"/>
      <x:c r="O551" s="55"/>
      <x:c r="P551" s="55"/>
      <x:c r="Q551" s="55"/>
      <x:c r="R551" s="55"/>
      <x:c r="S551" s="55" t="str">
        <x:f>IF(C551="","",IFERROR(Q551*R551/100,""))</x:f>
      </x:c>
      <x:c r="T551" s="55"/>
      <x:c r="U551" s="55"/>
      <x:c r="V551" s="55" t="str">
        <x:f>IF(U551="","",U551-TODAY())</x:f>
      </x:c>
      <x:c r="W551" s="55" t="str">
        <x:f>IF(AND(U551&lt;&gt;"",U551&lt;TODAY(),O551="Активен"),"ДА","")</x:f>
      </x:c>
      <x:c r="X551" s="55"/>
      <x:c r="Y551" s="55"/>
      <x:c r="Z551" s="55"/>
      <x:c r="AA551" s="55"/>
      <x:c r="AB551" s="55" t="str">
        <x:f>IF(C551="","", "Напиши " &amp; AA551 &amp; " за бизнес: " &amp; C551 &amp; ". Тип: " &amp; D551 &amp; ". Град: " &amp; E551 &amp; ". Проблем: " &amp; L551 &amp; ". Предложение: " &amp; M551 &amp; ". Етап: " &amp; N551 &amp; ". Бележки: " &amp; Y551)</x:f>
      </x:c>
      <x:c r="AC551" s="55"/>
    </x:row>
    <x:row r="552">
      <x:c r="A552" s="55"/>
      <x:c r="B552" s="55"/>
      <x:c r="C552" s="55"/>
      <x:c r="D552" s="55"/>
      <x:c r="E552" s="55"/>
      <x:c r="F552" s="55"/>
      <x:c r="G552" s="55"/>
      <x:c r="H552" s="55"/>
      <x:c r="I552" s="55"/>
      <x:c r="J552" s="55"/>
      <x:c r="K552" s="55"/>
      <x:c r="L552" s="55"/>
      <x:c r="M552" s="55"/>
      <x:c r="N552" s="55"/>
      <x:c r="O552" s="55"/>
      <x:c r="P552" s="55"/>
      <x:c r="Q552" s="55"/>
      <x:c r="R552" s="55"/>
      <x:c r="S552" s="55" t="str">
        <x:f>IF(C552="","",IFERROR(Q552*R552/100,""))</x:f>
      </x:c>
      <x:c r="T552" s="55"/>
      <x:c r="U552" s="55"/>
      <x:c r="V552" s="55" t="str">
        <x:f>IF(U552="","",U552-TODAY())</x:f>
      </x:c>
      <x:c r="W552" s="55" t="str">
        <x:f>IF(AND(U552&lt;&gt;"",U552&lt;TODAY(),O552="Активен"),"ДА","")</x:f>
      </x:c>
      <x:c r="X552" s="55"/>
      <x:c r="Y552" s="55"/>
      <x:c r="Z552" s="55"/>
      <x:c r="AA552" s="55"/>
      <x:c r="AB552" s="55" t="str">
        <x:f>IF(C552="","", "Напиши " &amp; AA552 &amp; " за бизнес: " &amp; C552 &amp; ". Тип: " &amp; D552 &amp; ". Град: " &amp; E552 &amp; ". Проблем: " &amp; L552 &amp; ". Предложение: " &amp; M552 &amp; ". Етап: " &amp; N552 &amp; ". Бележки: " &amp; Y552)</x:f>
      </x:c>
      <x:c r="AC552" s="55"/>
    </x:row>
    <x:row r="553">
      <x:c r="A553" s="55"/>
      <x:c r="B553" s="55"/>
      <x:c r="C553" s="55"/>
      <x:c r="D553" s="55"/>
      <x:c r="E553" s="55"/>
      <x:c r="F553" s="55"/>
      <x:c r="G553" s="55"/>
      <x:c r="H553" s="55"/>
      <x:c r="I553" s="55"/>
      <x:c r="J553" s="55"/>
      <x:c r="K553" s="55"/>
      <x:c r="L553" s="55"/>
      <x:c r="M553" s="55"/>
      <x:c r="N553" s="55"/>
      <x:c r="O553" s="55"/>
      <x:c r="P553" s="55"/>
      <x:c r="Q553" s="55"/>
      <x:c r="R553" s="55"/>
      <x:c r="S553" s="55" t="str">
        <x:f>IF(C553="","",IFERROR(Q553*R553/100,""))</x:f>
      </x:c>
      <x:c r="T553" s="55"/>
      <x:c r="U553" s="55"/>
      <x:c r="V553" s="55" t="str">
        <x:f>IF(U553="","",U553-TODAY())</x:f>
      </x:c>
      <x:c r="W553" s="55" t="str">
        <x:f>IF(AND(U553&lt;&gt;"",U553&lt;TODAY(),O553="Активен"),"ДА","")</x:f>
      </x:c>
      <x:c r="X553" s="55"/>
      <x:c r="Y553" s="55"/>
      <x:c r="Z553" s="55"/>
      <x:c r="AA553" s="55"/>
      <x:c r="AB553" s="55" t="str">
        <x:f>IF(C553="","", "Напиши " &amp; AA553 &amp; " за бизнес: " &amp; C553 &amp; ". Тип: " &amp; D553 &amp; ". Град: " &amp; E553 &amp; ". Проблем: " &amp; L553 &amp; ". Предложение: " &amp; M553 &amp; ". Етап: " &amp; N553 &amp; ". Бележки: " &amp; Y553)</x:f>
      </x:c>
      <x:c r="AC553" s="55"/>
    </x:row>
    <x:row r="554">
      <x:c r="A554" s="55"/>
      <x:c r="B554" s="55"/>
      <x:c r="C554" s="55"/>
      <x:c r="D554" s="55"/>
      <x:c r="E554" s="55"/>
      <x:c r="F554" s="55"/>
      <x:c r="G554" s="55"/>
      <x:c r="H554" s="55"/>
      <x:c r="I554" s="55"/>
      <x:c r="J554" s="55"/>
      <x:c r="K554" s="55"/>
      <x:c r="L554" s="55"/>
      <x:c r="M554" s="55"/>
      <x:c r="N554" s="55"/>
      <x:c r="O554" s="55"/>
      <x:c r="P554" s="55"/>
      <x:c r="Q554" s="55"/>
      <x:c r="R554" s="55"/>
      <x:c r="S554" s="55" t="str">
        <x:f>IF(C554="","",IFERROR(Q554*R554/100,""))</x:f>
      </x:c>
      <x:c r="T554" s="55"/>
      <x:c r="U554" s="55"/>
      <x:c r="V554" s="55" t="str">
        <x:f>IF(U554="","",U554-TODAY())</x:f>
      </x:c>
      <x:c r="W554" s="55" t="str">
        <x:f>IF(AND(U554&lt;&gt;"",U554&lt;TODAY(),O554="Активен"),"ДА","")</x:f>
      </x:c>
      <x:c r="X554" s="55"/>
      <x:c r="Y554" s="55"/>
      <x:c r="Z554" s="55"/>
      <x:c r="AA554" s="55"/>
      <x:c r="AB554" s="55" t="str">
        <x:f>IF(C554="","", "Напиши " &amp; AA554 &amp; " за бизнес: " &amp; C554 &amp; ". Тип: " &amp; D554 &amp; ". Град: " &amp; E554 &amp; ". Проблем: " &amp; L554 &amp; ". Предложение: " &amp; M554 &amp; ". Етап: " &amp; N554 &amp; ". Бележки: " &amp; Y554)</x:f>
      </x:c>
      <x:c r="AC554" s="55"/>
    </x:row>
    <x:row r="555">
      <x:c r="A555" s="55"/>
      <x:c r="B555" s="55"/>
      <x:c r="C555" s="55"/>
      <x:c r="D555" s="55"/>
      <x:c r="E555" s="55"/>
      <x:c r="F555" s="55"/>
      <x:c r="G555" s="55"/>
      <x:c r="H555" s="55"/>
      <x:c r="I555" s="55"/>
      <x:c r="J555" s="55"/>
      <x:c r="K555" s="55"/>
      <x:c r="L555" s="55"/>
      <x:c r="M555" s="55"/>
      <x:c r="N555" s="55"/>
      <x:c r="O555" s="55"/>
      <x:c r="P555" s="55"/>
      <x:c r="Q555" s="55"/>
      <x:c r="R555" s="55"/>
      <x:c r="S555" s="55" t="str">
        <x:f>IF(C555="","",IFERROR(Q555*R555/100,""))</x:f>
      </x:c>
      <x:c r="T555" s="55"/>
      <x:c r="U555" s="55"/>
      <x:c r="V555" s="55" t="str">
        <x:f>IF(U555="","",U555-TODAY())</x:f>
      </x:c>
      <x:c r="W555" s="55" t="str">
        <x:f>IF(AND(U555&lt;&gt;"",U555&lt;TODAY(),O555="Активен"),"ДА","")</x:f>
      </x:c>
      <x:c r="X555" s="55"/>
      <x:c r="Y555" s="55"/>
      <x:c r="Z555" s="55"/>
      <x:c r="AA555" s="55"/>
      <x:c r="AB555" s="55" t="str">
        <x:f>IF(C555="","", "Напиши " &amp; AA555 &amp; " за бизнес: " &amp; C555 &amp; ". Тип: " &amp; D555 &amp; ". Град: " &amp; E555 &amp; ". Проблем: " &amp; L555 &amp; ". Предложение: " &amp; M555 &amp; ". Етап: " &amp; N555 &amp; ". Бележки: " &amp; Y555)</x:f>
      </x:c>
      <x:c r="AC555" s="55"/>
    </x:row>
    <x:row r="556">
      <x:c r="A556" s="55"/>
      <x:c r="B556" s="55"/>
      <x:c r="C556" s="55"/>
      <x:c r="D556" s="55"/>
      <x:c r="E556" s="55"/>
      <x:c r="F556" s="55"/>
      <x:c r="G556" s="55"/>
      <x:c r="H556" s="55"/>
      <x:c r="I556" s="55"/>
      <x:c r="J556" s="55"/>
      <x:c r="K556" s="55"/>
      <x:c r="L556" s="55"/>
      <x:c r="M556" s="55"/>
      <x:c r="N556" s="55"/>
      <x:c r="O556" s="55"/>
      <x:c r="P556" s="55"/>
      <x:c r="Q556" s="55"/>
      <x:c r="R556" s="55"/>
      <x:c r="S556" s="55" t="str">
        <x:f>IF(C556="","",IFERROR(Q556*R556/100,""))</x:f>
      </x:c>
      <x:c r="T556" s="55"/>
      <x:c r="U556" s="55"/>
      <x:c r="V556" s="55" t="str">
        <x:f>IF(U556="","",U556-TODAY())</x:f>
      </x:c>
      <x:c r="W556" s="55" t="str">
        <x:f>IF(AND(U556&lt;&gt;"",U556&lt;TODAY(),O556="Активен"),"ДА","")</x:f>
      </x:c>
      <x:c r="X556" s="55"/>
      <x:c r="Y556" s="55"/>
      <x:c r="Z556" s="55"/>
      <x:c r="AA556" s="55"/>
      <x:c r="AB556" s="55" t="str">
        <x:f>IF(C556="","", "Напиши " &amp; AA556 &amp; " за бизнес: " &amp; C556 &amp; ". Тип: " &amp; D556 &amp; ". Град: " &amp; E556 &amp; ". Проблем: " &amp; L556 &amp; ". Предложение: " &amp; M556 &amp; ". Етап: " &amp; N556 &amp; ". Бележки: " &amp; Y556)</x:f>
      </x:c>
      <x:c r="AC556" s="55"/>
    </x:row>
    <x:row r="557">
      <x:c r="A557" s="55"/>
      <x:c r="B557" s="55"/>
      <x:c r="C557" s="55"/>
      <x:c r="D557" s="55"/>
      <x:c r="E557" s="55"/>
      <x:c r="F557" s="55"/>
      <x:c r="G557" s="55"/>
      <x:c r="H557" s="55"/>
      <x:c r="I557" s="55"/>
      <x:c r="J557" s="55"/>
      <x:c r="K557" s="55"/>
      <x:c r="L557" s="55"/>
      <x:c r="M557" s="55"/>
      <x:c r="N557" s="55"/>
      <x:c r="O557" s="55"/>
      <x:c r="P557" s="55"/>
      <x:c r="Q557" s="55"/>
      <x:c r="R557" s="55"/>
      <x:c r="S557" s="55" t="str">
        <x:f>IF(C557="","",IFERROR(Q557*R557/100,""))</x:f>
      </x:c>
      <x:c r="T557" s="55"/>
      <x:c r="U557" s="55"/>
      <x:c r="V557" s="55" t="str">
        <x:f>IF(U557="","",U557-TODAY())</x:f>
      </x:c>
      <x:c r="W557" s="55" t="str">
        <x:f>IF(AND(U557&lt;&gt;"",U557&lt;TODAY(),O557="Активен"),"ДА","")</x:f>
      </x:c>
      <x:c r="X557" s="55"/>
      <x:c r="Y557" s="55"/>
      <x:c r="Z557" s="55"/>
      <x:c r="AA557" s="55"/>
      <x:c r="AB557" s="55" t="str">
        <x:f>IF(C557="","", "Напиши " &amp; AA557 &amp; " за бизнес: " &amp; C557 &amp; ". Тип: " &amp; D557 &amp; ". Град: " &amp; E557 &amp; ". Проблем: " &amp; L557 &amp; ". Предложение: " &amp; M557 &amp; ". Етап: " &amp; N557 &amp; ". Бележки: " &amp; Y557)</x:f>
      </x:c>
      <x:c r="AC557" s="55"/>
    </x:row>
    <x:row r="558">
      <x:c r="A558" s="55"/>
      <x:c r="B558" s="55"/>
      <x:c r="C558" s="55"/>
      <x:c r="D558" s="55"/>
      <x:c r="E558" s="55"/>
      <x:c r="F558" s="55"/>
      <x:c r="G558" s="55"/>
      <x:c r="H558" s="55"/>
      <x:c r="I558" s="55"/>
      <x:c r="J558" s="55"/>
      <x:c r="K558" s="55"/>
      <x:c r="L558" s="55"/>
      <x:c r="M558" s="55"/>
      <x:c r="N558" s="55"/>
      <x:c r="O558" s="55"/>
      <x:c r="P558" s="55"/>
      <x:c r="Q558" s="55"/>
      <x:c r="R558" s="55"/>
      <x:c r="S558" s="55" t="str">
        <x:f>IF(C558="","",IFERROR(Q558*R558/100,""))</x:f>
      </x:c>
      <x:c r="T558" s="55"/>
      <x:c r="U558" s="55"/>
      <x:c r="V558" s="55" t="str">
        <x:f>IF(U558="","",U558-TODAY())</x:f>
      </x:c>
      <x:c r="W558" s="55" t="str">
        <x:f>IF(AND(U558&lt;&gt;"",U558&lt;TODAY(),O558="Активен"),"ДА","")</x:f>
      </x:c>
      <x:c r="X558" s="55"/>
      <x:c r="Y558" s="55"/>
      <x:c r="Z558" s="55"/>
      <x:c r="AA558" s="55"/>
      <x:c r="AB558" s="55" t="str">
        <x:f>IF(C558="","", "Напиши " &amp; AA558 &amp; " за бизнес: " &amp; C558 &amp; ". Тип: " &amp; D558 &amp; ". Град: " &amp; E558 &amp; ". Проблем: " &amp; L558 &amp; ". Предложение: " &amp; M558 &amp; ". Етап: " &amp; N558 &amp; ". Бележки: " &amp; Y558)</x:f>
      </x:c>
      <x:c r="AC558" s="55"/>
    </x:row>
    <x:row r="559">
      <x:c r="A559" s="55"/>
      <x:c r="B559" s="55"/>
      <x:c r="C559" s="55"/>
      <x:c r="D559" s="55"/>
      <x:c r="E559" s="55"/>
      <x:c r="F559" s="55"/>
      <x:c r="G559" s="55"/>
      <x:c r="H559" s="55"/>
      <x:c r="I559" s="55"/>
      <x:c r="J559" s="55"/>
      <x:c r="K559" s="55"/>
      <x:c r="L559" s="55"/>
      <x:c r="M559" s="55"/>
      <x:c r="N559" s="55"/>
      <x:c r="O559" s="55"/>
      <x:c r="P559" s="55"/>
      <x:c r="Q559" s="55"/>
      <x:c r="R559" s="55"/>
      <x:c r="S559" s="55" t="str">
        <x:f>IF(C559="","",IFERROR(Q559*R559/100,""))</x:f>
      </x:c>
      <x:c r="T559" s="55"/>
      <x:c r="U559" s="55"/>
      <x:c r="V559" s="55" t="str">
        <x:f>IF(U559="","",U559-TODAY())</x:f>
      </x:c>
      <x:c r="W559" s="55" t="str">
        <x:f>IF(AND(U559&lt;&gt;"",U559&lt;TODAY(),O559="Активен"),"ДА","")</x:f>
      </x:c>
      <x:c r="X559" s="55"/>
      <x:c r="Y559" s="55"/>
      <x:c r="Z559" s="55"/>
      <x:c r="AA559" s="55"/>
      <x:c r="AB559" s="55" t="str">
        <x:f>IF(C559="","", "Напиши " &amp; AA559 &amp; " за бизнес: " &amp; C559 &amp; ". Тип: " &amp; D559 &amp; ". Град: " &amp; E559 &amp; ". Проблем: " &amp; L559 &amp; ". Предложение: " &amp; M559 &amp; ". Етап: " &amp; N559 &amp; ". Бележки: " &amp; Y559)</x:f>
      </x:c>
      <x:c r="AC559" s="55"/>
    </x:row>
    <x:row r="560">
      <x:c r="A560" s="55"/>
      <x:c r="B560" s="55"/>
      <x:c r="C560" s="55"/>
      <x:c r="D560" s="55"/>
      <x:c r="E560" s="55"/>
      <x:c r="F560" s="55"/>
      <x:c r="G560" s="55"/>
      <x:c r="H560" s="55"/>
      <x:c r="I560" s="55"/>
      <x:c r="J560" s="55"/>
      <x:c r="K560" s="55"/>
      <x:c r="L560" s="55"/>
      <x:c r="M560" s="55"/>
      <x:c r="N560" s="55"/>
      <x:c r="O560" s="55"/>
      <x:c r="P560" s="55"/>
      <x:c r="Q560" s="55"/>
      <x:c r="R560" s="55"/>
      <x:c r="S560" s="55" t="str">
        <x:f>IF(C560="","",IFERROR(Q560*R560/100,""))</x:f>
      </x:c>
      <x:c r="T560" s="55"/>
      <x:c r="U560" s="55"/>
      <x:c r="V560" s="55" t="str">
        <x:f>IF(U560="","",U560-TODAY())</x:f>
      </x:c>
      <x:c r="W560" s="55" t="str">
        <x:f>IF(AND(U560&lt;&gt;"",U560&lt;TODAY(),O560="Активен"),"ДА","")</x:f>
      </x:c>
      <x:c r="X560" s="55"/>
      <x:c r="Y560" s="55"/>
      <x:c r="Z560" s="55"/>
      <x:c r="AA560" s="55"/>
      <x:c r="AB560" s="55" t="str">
        <x:f>IF(C560="","", "Напиши " &amp; AA560 &amp; " за бизнес: " &amp; C560 &amp; ". Тип: " &amp; D560 &amp; ". Град: " &amp; E560 &amp; ". Проблем: " &amp; L560 &amp; ". Предложение: " &amp; M560 &amp; ". Етап: " &amp; N560 &amp; ". Бележки: " &amp; Y560)</x:f>
      </x:c>
      <x:c r="AC560" s="55"/>
    </x:row>
    <x:row r="561">
      <x:c r="A561" s="55"/>
      <x:c r="B561" s="55"/>
      <x:c r="C561" s="55"/>
      <x:c r="D561" s="55"/>
      <x:c r="E561" s="55"/>
      <x:c r="F561" s="55"/>
      <x:c r="G561" s="55"/>
      <x:c r="H561" s="55"/>
      <x:c r="I561" s="55"/>
      <x:c r="J561" s="55"/>
      <x:c r="K561" s="55"/>
      <x:c r="L561" s="55"/>
      <x:c r="M561" s="55"/>
      <x:c r="N561" s="55"/>
      <x:c r="O561" s="55"/>
      <x:c r="P561" s="55"/>
      <x:c r="Q561" s="55"/>
      <x:c r="R561" s="55"/>
      <x:c r="S561" s="55" t="str">
        <x:f>IF(C561="","",IFERROR(Q561*R561/100,""))</x:f>
      </x:c>
      <x:c r="T561" s="55"/>
      <x:c r="U561" s="55"/>
      <x:c r="V561" s="55" t="str">
        <x:f>IF(U561="","",U561-TODAY())</x:f>
      </x:c>
      <x:c r="W561" s="55" t="str">
        <x:f>IF(AND(U561&lt;&gt;"",U561&lt;TODAY(),O561="Активен"),"ДА","")</x:f>
      </x:c>
      <x:c r="X561" s="55"/>
      <x:c r="Y561" s="55"/>
      <x:c r="Z561" s="55"/>
      <x:c r="AA561" s="55"/>
      <x:c r="AB561" s="55" t="str">
        <x:f>IF(C561="","", "Напиши " &amp; AA561 &amp; " за бизнес: " &amp; C561 &amp; ". Тип: " &amp; D561 &amp; ". Град: " &amp; E561 &amp; ". Проблем: " &amp; L561 &amp; ". Предложение: " &amp; M561 &amp; ". Етап: " &amp; N561 &amp; ". Бележки: " &amp; Y561)</x:f>
      </x:c>
      <x:c r="AC561" s="55"/>
    </x:row>
    <x:row r="562">
      <x:c r="A562" s="55"/>
      <x:c r="B562" s="55"/>
      <x:c r="C562" s="55"/>
      <x:c r="D562" s="55"/>
      <x:c r="E562" s="55"/>
      <x:c r="F562" s="55"/>
      <x:c r="G562" s="55"/>
      <x:c r="H562" s="55"/>
      <x:c r="I562" s="55"/>
      <x:c r="J562" s="55"/>
      <x:c r="K562" s="55"/>
      <x:c r="L562" s="55"/>
      <x:c r="M562" s="55"/>
      <x:c r="N562" s="55"/>
      <x:c r="O562" s="55"/>
      <x:c r="P562" s="55"/>
      <x:c r="Q562" s="55"/>
      <x:c r="R562" s="55"/>
      <x:c r="S562" s="55" t="str">
        <x:f>IF(C562="","",IFERROR(Q562*R562/100,""))</x:f>
      </x:c>
      <x:c r="T562" s="55"/>
      <x:c r="U562" s="55"/>
      <x:c r="V562" s="55" t="str">
        <x:f>IF(U562="","",U562-TODAY())</x:f>
      </x:c>
      <x:c r="W562" s="55" t="str">
        <x:f>IF(AND(U562&lt;&gt;"",U562&lt;TODAY(),O562="Активен"),"ДА","")</x:f>
      </x:c>
      <x:c r="X562" s="55"/>
      <x:c r="Y562" s="55"/>
      <x:c r="Z562" s="55"/>
      <x:c r="AA562" s="55"/>
      <x:c r="AB562" s="55" t="str">
        <x:f>IF(C562="","", "Напиши " &amp; AA562 &amp; " за бизнес: " &amp; C562 &amp; ". Тип: " &amp; D562 &amp; ". Град: " &amp; E562 &amp; ". Проблем: " &amp; L562 &amp; ". Предложение: " &amp; M562 &amp; ". Етап: " &amp; N562 &amp; ". Бележки: " &amp; Y562)</x:f>
      </x:c>
      <x:c r="AC562" s="55"/>
    </x:row>
    <x:row r="563">
      <x:c r="A563" s="55"/>
      <x:c r="B563" s="55"/>
      <x:c r="C563" s="55"/>
      <x:c r="D563" s="55"/>
      <x:c r="E563" s="55"/>
      <x:c r="F563" s="55"/>
      <x:c r="G563" s="55"/>
      <x:c r="H563" s="55"/>
      <x:c r="I563" s="55"/>
      <x:c r="J563" s="55"/>
      <x:c r="K563" s="55"/>
      <x:c r="L563" s="55"/>
      <x:c r="M563" s="55"/>
      <x:c r="N563" s="55"/>
      <x:c r="O563" s="55"/>
      <x:c r="P563" s="55"/>
      <x:c r="Q563" s="55"/>
      <x:c r="R563" s="55"/>
      <x:c r="S563" s="55" t="str">
        <x:f>IF(C563="","",IFERROR(Q563*R563/100,""))</x:f>
      </x:c>
      <x:c r="T563" s="55"/>
      <x:c r="U563" s="55"/>
      <x:c r="V563" s="55" t="str">
        <x:f>IF(U563="","",U563-TODAY())</x:f>
      </x:c>
      <x:c r="W563" s="55" t="str">
        <x:f>IF(AND(U563&lt;&gt;"",U563&lt;TODAY(),O563="Активен"),"ДА","")</x:f>
      </x:c>
      <x:c r="X563" s="55"/>
      <x:c r="Y563" s="55"/>
      <x:c r="Z563" s="55"/>
      <x:c r="AA563" s="55"/>
      <x:c r="AB563" s="55" t="str">
        <x:f>IF(C563="","", "Напиши " &amp; AA563 &amp; " за бизнес: " &amp; C563 &amp; ". Тип: " &amp; D563 &amp; ". Град: " &amp; E563 &amp; ". Проблем: " &amp; L563 &amp; ". Предложение: " &amp; M563 &amp; ". Етап: " &amp; N563 &amp; ". Бележки: " &amp; Y563)</x:f>
      </x:c>
      <x:c r="AC563" s="55"/>
    </x:row>
    <x:row r="564">
      <x:c r="A564" s="55"/>
      <x:c r="B564" s="55"/>
      <x:c r="C564" s="55"/>
      <x:c r="D564" s="55"/>
      <x:c r="E564" s="55"/>
      <x:c r="F564" s="55"/>
      <x:c r="G564" s="55"/>
      <x:c r="H564" s="55"/>
      <x:c r="I564" s="55"/>
      <x:c r="J564" s="55"/>
      <x:c r="K564" s="55"/>
      <x:c r="L564" s="55"/>
      <x:c r="M564" s="55"/>
      <x:c r="N564" s="55"/>
      <x:c r="O564" s="55"/>
      <x:c r="P564" s="55"/>
      <x:c r="Q564" s="55"/>
      <x:c r="R564" s="55"/>
      <x:c r="S564" s="55" t="str">
        <x:f>IF(C564="","",IFERROR(Q564*R564/100,""))</x:f>
      </x:c>
      <x:c r="T564" s="55"/>
      <x:c r="U564" s="55"/>
      <x:c r="V564" s="55" t="str">
        <x:f>IF(U564="","",U564-TODAY())</x:f>
      </x:c>
      <x:c r="W564" s="55" t="str">
        <x:f>IF(AND(U564&lt;&gt;"",U564&lt;TODAY(),O564="Активен"),"ДА","")</x:f>
      </x:c>
      <x:c r="X564" s="55"/>
      <x:c r="Y564" s="55"/>
      <x:c r="Z564" s="55"/>
      <x:c r="AA564" s="55"/>
      <x:c r="AB564" s="55" t="str">
        <x:f>IF(C564="","", "Напиши " &amp; AA564 &amp; " за бизнес: " &amp; C564 &amp; ". Тип: " &amp; D564 &amp; ". Град: " &amp; E564 &amp; ". Проблем: " &amp; L564 &amp; ". Предложение: " &amp; M564 &amp; ". Етап: " &amp; N564 &amp; ". Бележки: " &amp; Y564)</x:f>
      </x:c>
      <x:c r="AC564" s="55"/>
    </x:row>
    <x:row r="565">
      <x:c r="A565" s="55"/>
      <x:c r="B565" s="55"/>
      <x:c r="C565" s="55"/>
      <x:c r="D565" s="55"/>
      <x:c r="E565" s="55"/>
      <x:c r="F565" s="55"/>
      <x:c r="G565" s="55"/>
      <x:c r="H565" s="55"/>
      <x:c r="I565" s="55"/>
      <x:c r="J565" s="55"/>
      <x:c r="K565" s="55"/>
      <x:c r="L565" s="55"/>
      <x:c r="M565" s="55"/>
      <x:c r="N565" s="55"/>
      <x:c r="O565" s="55"/>
      <x:c r="P565" s="55"/>
      <x:c r="Q565" s="55"/>
      <x:c r="R565" s="55"/>
      <x:c r="S565" s="55" t="str">
        <x:f>IF(C565="","",IFERROR(Q565*R565/100,""))</x:f>
      </x:c>
      <x:c r="T565" s="55"/>
      <x:c r="U565" s="55"/>
      <x:c r="V565" s="55" t="str">
        <x:f>IF(U565="","",U565-TODAY())</x:f>
      </x:c>
      <x:c r="W565" s="55" t="str">
        <x:f>IF(AND(U565&lt;&gt;"",U565&lt;TODAY(),O565="Активен"),"ДА","")</x:f>
      </x:c>
      <x:c r="X565" s="55"/>
      <x:c r="Y565" s="55"/>
      <x:c r="Z565" s="55"/>
      <x:c r="AA565" s="55"/>
      <x:c r="AB565" s="55" t="str">
        <x:f>IF(C565="","", "Напиши " &amp; AA565 &amp; " за бизнес: " &amp; C565 &amp; ". Тип: " &amp; D565 &amp; ". Град: " &amp; E565 &amp; ". Проблем: " &amp; L565 &amp; ". Предложение: " &amp; M565 &amp; ". Етап: " &amp; N565 &amp; ". Бележки: " &amp; Y565)</x:f>
      </x:c>
      <x:c r="AC565" s="55"/>
    </x:row>
    <x:row r="566">
      <x:c r="A566" s="55"/>
      <x:c r="B566" s="55"/>
      <x:c r="C566" s="55"/>
      <x:c r="D566" s="55"/>
      <x:c r="E566" s="55"/>
      <x:c r="F566" s="55"/>
      <x:c r="G566" s="55"/>
      <x:c r="H566" s="55"/>
      <x:c r="I566" s="55"/>
      <x:c r="J566" s="55"/>
      <x:c r="K566" s="55"/>
      <x:c r="L566" s="55"/>
      <x:c r="M566" s="55"/>
      <x:c r="N566" s="55"/>
      <x:c r="O566" s="55"/>
      <x:c r="P566" s="55"/>
      <x:c r="Q566" s="55"/>
      <x:c r="R566" s="55"/>
      <x:c r="S566" s="55" t="str">
        <x:f>IF(C566="","",IFERROR(Q566*R566/100,""))</x:f>
      </x:c>
      <x:c r="T566" s="55"/>
      <x:c r="U566" s="55"/>
      <x:c r="V566" s="55" t="str">
        <x:f>IF(U566="","",U566-TODAY())</x:f>
      </x:c>
      <x:c r="W566" s="55" t="str">
        <x:f>IF(AND(U566&lt;&gt;"",U566&lt;TODAY(),O566="Активен"),"ДА","")</x:f>
      </x:c>
      <x:c r="X566" s="55"/>
      <x:c r="Y566" s="55"/>
      <x:c r="Z566" s="55"/>
      <x:c r="AA566" s="55"/>
      <x:c r="AB566" s="55" t="str">
        <x:f>IF(C566="","", "Напиши " &amp; AA566 &amp; " за бизнес: " &amp; C566 &amp; ". Тип: " &amp; D566 &amp; ". Град: " &amp; E566 &amp; ". Проблем: " &amp; L566 &amp; ". Предложение: " &amp; M566 &amp; ". Етап: " &amp; N566 &amp; ". Бележки: " &amp; Y566)</x:f>
      </x:c>
      <x:c r="AC566" s="55"/>
    </x:row>
    <x:row r="567">
      <x:c r="A567" s="55"/>
      <x:c r="B567" s="55"/>
      <x:c r="C567" s="55"/>
      <x:c r="D567" s="55"/>
      <x:c r="E567" s="55"/>
      <x:c r="F567" s="55"/>
      <x:c r="G567" s="55"/>
      <x:c r="H567" s="55"/>
      <x:c r="I567" s="55"/>
      <x:c r="J567" s="55"/>
      <x:c r="K567" s="55"/>
      <x:c r="L567" s="55"/>
      <x:c r="M567" s="55"/>
      <x:c r="N567" s="55"/>
      <x:c r="O567" s="55"/>
      <x:c r="P567" s="55"/>
      <x:c r="Q567" s="55"/>
      <x:c r="R567" s="55"/>
      <x:c r="S567" s="55" t="str">
        <x:f>IF(C567="","",IFERROR(Q567*R567/100,""))</x:f>
      </x:c>
      <x:c r="T567" s="55"/>
      <x:c r="U567" s="55"/>
      <x:c r="V567" s="55" t="str">
        <x:f>IF(U567="","",U567-TODAY())</x:f>
      </x:c>
      <x:c r="W567" s="55" t="str">
        <x:f>IF(AND(U567&lt;&gt;"",U567&lt;TODAY(),O567="Активен"),"ДА","")</x:f>
      </x:c>
      <x:c r="X567" s="55"/>
      <x:c r="Y567" s="55"/>
      <x:c r="Z567" s="55"/>
      <x:c r="AA567" s="55"/>
      <x:c r="AB567" s="55" t="str">
        <x:f>IF(C567="","", "Напиши " &amp; AA567 &amp; " за бизнес: " &amp; C567 &amp; ". Тип: " &amp; D567 &amp; ". Град: " &amp; E567 &amp; ". Проблем: " &amp; L567 &amp; ". Предложение: " &amp; M567 &amp; ". Етап: " &amp; N567 &amp; ". Бележки: " &amp; Y567)</x:f>
      </x:c>
      <x:c r="AC567" s="55"/>
    </x:row>
    <x:row r="568">
      <x:c r="A568" s="55"/>
      <x:c r="B568" s="55"/>
      <x:c r="C568" s="55"/>
      <x:c r="D568" s="55"/>
      <x:c r="E568" s="55"/>
      <x:c r="F568" s="55"/>
      <x:c r="G568" s="55"/>
      <x:c r="H568" s="55"/>
      <x:c r="I568" s="55"/>
      <x:c r="J568" s="55"/>
      <x:c r="K568" s="55"/>
      <x:c r="L568" s="55"/>
      <x:c r="M568" s="55"/>
      <x:c r="N568" s="55"/>
      <x:c r="O568" s="55"/>
      <x:c r="P568" s="55"/>
      <x:c r="Q568" s="55"/>
      <x:c r="R568" s="55"/>
      <x:c r="S568" s="55" t="str">
        <x:f>IF(C568="","",IFERROR(Q568*R568/100,""))</x:f>
      </x:c>
      <x:c r="T568" s="55"/>
      <x:c r="U568" s="55"/>
      <x:c r="V568" s="55" t="str">
        <x:f>IF(U568="","",U568-TODAY())</x:f>
      </x:c>
      <x:c r="W568" s="55" t="str">
        <x:f>IF(AND(U568&lt;&gt;"",U568&lt;TODAY(),O568="Активен"),"ДА","")</x:f>
      </x:c>
      <x:c r="X568" s="55"/>
      <x:c r="Y568" s="55"/>
      <x:c r="Z568" s="55"/>
      <x:c r="AA568" s="55"/>
      <x:c r="AB568" s="55" t="str">
        <x:f>IF(C568="","", "Напиши " &amp; AA568 &amp; " за бизнес: " &amp; C568 &amp; ". Тип: " &amp; D568 &amp; ". Град: " &amp; E568 &amp; ". Проблем: " &amp; L568 &amp; ". Предложение: " &amp; M568 &amp; ". Етап: " &amp; N568 &amp; ". Бележки: " &amp; Y568)</x:f>
      </x:c>
      <x:c r="AC568" s="55"/>
    </x:row>
    <x:row r="569">
      <x:c r="A569" s="55"/>
      <x:c r="B569" s="55"/>
      <x:c r="C569" s="55"/>
      <x:c r="D569" s="55"/>
      <x:c r="E569" s="55"/>
      <x:c r="F569" s="55"/>
      <x:c r="G569" s="55"/>
      <x:c r="H569" s="55"/>
      <x:c r="I569" s="55"/>
      <x:c r="J569" s="55"/>
      <x:c r="K569" s="55"/>
      <x:c r="L569" s="55"/>
      <x:c r="M569" s="55"/>
      <x:c r="N569" s="55"/>
      <x:c r="O569" s="55"/>
      <x:c r="P569" s="55"/>
      <x:c r="Q569" s="55"/>
      <x:c r="R569" s="55"/>
      <x:c r="S569" s="55" t="str">
        <x:f>IF(C569="","",IFERROR(Q569*R569/100,""))</x:f>
      </x:c>
      <x:c r="T569" s="55"/>
      <x:c r="U569" s="55"/>
      <x:c r="V569" s="55" t="str">
        <x:f>IF(U569="","",U569-TODAY())</x:f>
      </x:c>
      <x:c r="W569" s="55" t="str">
        <x:f>IF(AND(U569&lt;&gt;"",U569&lt;TODAY(),O569="Активен"),"ДА","")</x:f>
      </x:c>
      <x:c r="X569" s="55"/>
      <x:c r="Y569" s="55"/>
      <x:c r="Z569" s="55"/>
      <x:c r="AA569" s="55"/>
      <x:c r="AB569" s="55" t="str">
        <x:f>IF(C569="","", "Напиши " &amp; AA569 &amp; " за бизнес: " &amp; C569 &amp; ". Тип: " &amp; D569 &amp; ". Град: " &amp; E569 &amp; ". Проблем: " &amp; L569 &amp; ". Предложение: " &amp; M569 &amp; ". Етап: " &amp; N569 &amp; ". Бележки: " &amp; Y569)</x:f>
      </x:c>
      <x:c r="AC569" s="55"/>
    </x:row>
    <x:row r="570">
      <x:c r="A570" s="55"/>
      <x:c r="B570" s="55"/>
      <x:c r="C570" s="55"/>
      <x:c r="D570" s="55"/>
      <x:c r="E570" s="55"/>
      <x:c r="F570" s="55"/>
      <x:c r="G570" s="55"/>
      <x:c r="H570" s="55"/>
      <x:c r="I570" s="55"/>
      <x:c r="J570" s="55"/>
      <x:c r="K570" s="55"/>
      <x:c r="L570" s="55"/>
      <x:c r="M570" s="55"/>
      <x:c r="N570" s="55"/>
      <x:c r="O570" s="55"/>
      <x:c r="P570" s="55"/>
      <x:c r="Q570" s="55"/>
      <x:c r="R570" s="55"/>
      <x:c r="S570" s="55" t="str">
        <x:f>IF(C570="","",IFERROR(Q570*R570/100,""))</x:f>
      </x:c>
      <x:c r="T570" s="55"/>
      <x:c r="U570" s="55"/>
      <x:c r="V570" s="55" t="str">
        <x:f>IF(U570="","",U570-TODAY())</x:f>
      </x:c>
      <x:c r="W570" s="55" t="str">
        <x:f>IF(AND(U570&lt;&gt;"",U570&lt;TODAY(),O570="Активен"),"ДА","")</x:f>
      </x:c>
      <x:c r="X570" s="55"/>
      <x:c r="Y570" s="55"/>
      <x:c r="Z570" s="55"/>
      <x:c r="AA570" s="55"/>
      <x:c r="AB570" s="55" t="str">
        <x:f>IF(C570="","", "Напиши " &amp; AA570 &amp; " за бизнес: " &amp; C570 &amp; ". Тип: " &amp; D570 &amp; ". Град: " &amp; E570 &amp; ". Проблем: " &amp; L570 &amp; ". Предложение: " &amp; M570 &amp; ". Етап: " &amp; N570 &amp; ". Бележки: " &amp; Y570)</x:f>
      </x:c>
      <x:c r="AC570" s="55"/>
    </x:row>
    <x:row r="571">
      <x:c r="A571" s="55"/>
      <x:c r="B571" s="55"/>
      <x:c r="C571" s="55"/>
      <x:c r="D571" s="55"/>
      <x:c r="E571" s="55"/>
      <x:c r="F571" s="55"/>
      <x:c r="G571" s="55"/>
      <x:c r="H571" s="55"/>
      <x:c r="I571" s="55"/>
      <x:c r="J571" s="55"/>
      <x:c r="K571" s="55"/>
      <x:c r="L571" s="55"/>
      <x:c r="M571" s="55"/>
      <x:c r="N571" s="55"/>
      <x:c r="O571" s="55"/>
      <x:c r="P571" s="55"/>
      <x:c r="Q571" s="55"/>
      <x:c r="R571" s="55"/>
      <x:c r="S571" s="55" t="str">
        <x:f>IF(C571="","",IFERROR(Q571*R571/100,""))</x:f>
      </x:c>
      <x:c r="T571" s="55"/>
      <x:c r="U571" s="55"/>
      <x:c r="V571" s="55" t="str">
        <x:f>IF(U571="","",U571-TODAY())</x:f>
      </x:c>
      <x:c r="W571" s="55" t="str">
        <x:f>IF(AND(U571&lt;&gt;"",U571&lt;TODAY(),O571="Активен"),"ДА","")</x:f>
      </x:c>
      <x:c r="X571" s="55"/>
      <x:c r="Y571" s="55"/>
      <x:c r="Z571" s="55"/>
      <x:c r="AA571" s="55"/>
      <x:c r="AB571" s="55" t="str">
        <x:f>IF(C571="","", "Напиши " &amp; AA571 &amp; " за бизнес: " &amp; C571 &amp; ". Тип: " &amp; D571 &amp; ". Град: " &amp; E571 &amp; ". Проблем: " &amp; L571 &amp; ". Предложение: " &amp; M571 &amp; ". Етап: " &amp; N571 &amp; ". Бележки: " &amp; Y571)</x:f>
      </x:c>
      <x:c r="AC571" s="55"/>
    </x:row>
    <x:row r="572">
      <x:c r="A572" s="55"/>
      <x:c r="B572" s="55"/>
      <x:c r="C572" s="55"/>
      <x:c r="D572" s="55"/>
      <x:c r="E572" s="55"/>
      <x:c r="F572" s="55"/>
      <x:c r="G572" s="55"/>
      <x:c r="H572" s="55"/>
      <x:c r="I572" s="55"/>
      <x:c r="J572" s="55"/>
      <x:c r="K572" s="55"/>
      <x:c r="L572" s="55"/>
      <x:c r="M572" s="55"/>
      <x:c r="N572" s="55"/>
      <x:c r="O572" s="55"/>
      <x:c r="P572" s="55"/>
      <x:c r="Q572" s="55"/>
      <x:c r="R572" s="55"/>
      <x:c r="S572" s="55" t="str">
        <x:f>IF(C572="","",IFERROR(Q572*R572/100,""))</x:f>
      </x:c>
      <x:c r="T572" s="55"/>
      <x:c r="U572" s="55"/>
      <x:c r="V572" s="55" t="str">
        <x:f>IF(U572="","",U572-TODAY())</x:f>
      </x:c>
      <x:c r="W572" s="55" t="str">
        <x:f>IF(AND(U572&lt;&gt;"",U572&lt;TODAY(),O572="Активен"),"ДА","")</x:f>
      </x:c>
      <x:c r="X572" s="55"/>
      <x:c r="Y572" s="55"/>
      <x:c r="Z572" s="55"/>
      <x:c r="AA572" s="55"/>
      <x:c r="AB572" s="55" t="str">
        <x:f>IF(C572="","", "Напиши " &amp; AA572 &amp; " за бизнес: " &amp; C572 &amp; ". Тип: " &amp; D572 &amp; ". Град: " &amp; E572 &amp; ". Проблем: " &amp; L572 &amp; ". Предложение: " &amp; M572 &amp; ". Етап: " &amp; N572 &amp; ". Бележки: " &amp; Y572)</x:f>
      </x:c>
      <x:c r="AC572" s="55"/>
    </x:row>
    <x:row r="573">
      <x:c r="A573" s="55"/>
      <x:c r="B573" s="55"/>
      <x:c r="C573" s="55"/>
      <x:c r="D573" s="55"/>
      <x:c r="E573" s="55"/>
      <x:c r="F573" s="55"/>
      <x:c r="G573" s="55"/>
      <x:c r="H573" s="55"/>
      <x:c r="I573" s="55"/>
      <x:c r="J573" s="55"/>
      <x:c r="K573" s="55"/>
      <x:c r="L573" s="55"/>
      <x:c r="M573" s="55"/>
      <x:c r="N573" s="55"/>
      <x:c r="O573" s="55"/>
      <x:c r="P573" s="55"/>
      <x:c r="Q573" s="55"/>
      <x:c r="R573" s="55"/>
      <x:c r="S573" s="55" t="str">
        <x:f>IF(C573="","",IFERROR(Q573*R573/100,""))</x:f>
      </x:c>
      <x:c r="T573" s="55"/>
      <x:c r="U573" s="55"/>
      <x:c r="V573" s="55" t="str">
        <x:f>IF(U573="","",U573-TODAY())</x:f>
      </x:c>
      <x:c r="W573" s="55" t="str">
        <x:f>IF(AND(U573&lt;&gt;"",U573&lt;TODAY(),O573="Активен"),"ДА","")</x:f>
      </x:c>
      <x:c r="X573" s="55"/>
      <x:c r="Y573" s="55"/>
      <x:c r="Z573" s="55"/>
      <x:c r="AA573" s="55"/>
      <x:c r="AB573" s="55" t="str">
        <x:f>IF(C573="","", "Напиши " &amp; AA573 &amp; " за бизнес: " &amp; C573 &amp; ". Тип: " &amp; D573 &amp; ". Град: " &amp; E573 &amp; ". Проблем: " &amp; L573 &amp; ". Предложение: " &amp; M573 &amp; ". Етап: " &amp; N573 &amp; ". Бележки: " &amp; Y573)</x:f>
      </x:c>
      <x:c r="AC573" s="55"/>
    </x:row>
    <x:row r="574">
      <x:c r="A574" s="55"/>
      <x:c r="B574" s="55"/>
      <x:c r="C574" s="55"/>
      <x:c r="D574" s="55"/>
      <x:c r="E574" s="55"/>
      <x:c r="F574" s="55"/>
      <x:c r="G574" s="55"/>
      <x:c r="H574" s="55"/>
      <x:c r="I574" s="55"/>
      <x:c r="J574" s="55"/>
      <x:c r="K574" s="55"/>
      <x:c r="L574" s="55"/>
      <x:c r="M574" s="55"/>
      <x:c r="N574" s="55"/>
      <x:c r="O574" s="55"/>
      <x:c r="P574" s="55"/>
      <x:c r="Q574" s="55"/>
      <x:c r="R574" s="55"/>
      <x:c r="S574" s="55" t="str">
        <x:f>IF(C574="","",IFERROR(Q574*R574/100,""))</x:f>
      </x:c>
      <x:c r="T574" s="55"/>
      <x:c r="U574" s="55"/>
      <x:c r="V574" s="55" t="str">
        <x:f>IF(U574="","",U574-TODAY())</x:f>
      </x:c>
      <x:c r="W574" s="55" t="str">
        <x:f>IF(AND(U574&lt;&gt;"",U574&lt;TODAY(),O574="Активен"),"ДА","")</x:f>
      </x:c>
      <x:c r="X574" s="55"/>
      <x:c r="Y574" s="55"/>
      <x:c r="Z574" s="55"/>
      <x:c r="AA574" s="55"/>
      <x:c r="AB574" s="55" t="str">
        <x:f>IF(C574="","", "Напиши " &amp; AA574 &amp; " за бизнес: " &amp; C574 &amp; ". Тип: " &amp; D574 &amp; ". Град: " &amp; E574 &amp; ". Проблем: " &amp; L574 &amp; ". Предложение: " &amp; M574 &amp; ". Етап: " &amp; N574 &amp; ". Бележки: " &amp; Y574)</x:f>
      </x:c>
      <x:c r="AC574" s="55"/>
    </x:row>
    <x:row r="575">
      <x:c r="A575" s="55"/>
      <x:c r="B575" s="55"/>
      <x:c r="C575" s="55"/>
      <x:c r="D575" s="55"/>
      <x:c r="E575" s="55"/>
      <x:c r="F575" s="55"/>
      <x:c r="G575" s="55"/>
      <x:c r="H575" s="55"/>
      <x:c r="I575" s="55"/>
      <x:c r="J575" s="55"/>
      <x:c r="K575" s="55"/>
      <x:c r="L575" s="55"/>
      <x:c r="M575" s="55"/>
      <x:c r="N575" s="55"/>
      <x:c r="O575" s="55"/>
      <x:c r="P575" s="55"/>
      <x:c r="Q575" s="55"/>
      <x:c r="R575" s="55"/>
      <x:c r="S575" s="55" t="str">
        <x:f>IF(C575="","",IFERROR(Q575*R575/100,""))</x:f>
      </x:c>
      <x:c r="T575" s="55"/>
      <x:c r="U575" s="55"/>
      <x:c r="V575" s="55" t="str">
        <x:f>IF(U575="","",U575-TODAY())</x:f>
      </x:c>
      <x:c r="W575" s="55" t="str">
        <x:f>IF(AND(U575&lt;&gt;"",U575&lt;TODAY(),O575="Активен"),"ДА","")</x:f>
      </x:c>
      <x:c r="X575" s="55"/>
      <x:c r="Y575" s="55"/>
      <x:c r="Z575" s="55"/>
      <x:c r="AA575" s="55"/>
      <x:c r="AB575" s="55" t="str">
        <x:f>IF(C575="","", "Напиши " &amp; AA575 &amp; " за бизнес: " &amp; C575 &amp; ". Тип: " &amp; D575 &amp; ". Град: " &amp; E575 &amp; ". Проблем: " &amp; L575 &amp; ". Предложение: " &amp; M575 &amp; ". Етап: " &amp; N575 &amp; ". Бележки: " &amp; Y575)</x:f>
      </x:c>
      <x:c r="AC575" s="55"/>
    </x:row>
    <x:row r="576">
      <x:c r="A576" s="55"/>
      <x:c r="B576" s="55"/>
      <x:c r="C576" s="55"/>
      <x:c r="D576" s="55"/>
      <x:c r="E576" s="55"/>
      <x:c r="F576" s="55"/>
      <x:c r="G576" s="55"/>
      <x:c r="H576" s="55"/>
      <x:c r="I576" s="55"/>
      <x:c r="J576" s="55"/>
      <x:c r="K576" s="55"/>
      <x:c r="L576" s="55"/>
      <x:c r="M576" s="55"/>
      <x:c r="N576" s="55"/>
      <x:c r="O576" s="55"/>
      <x:c r="P576" s="55"/>
      <x:c r="Q576" s="55"/>
      <x:c r="R576" s="55"/>
      <x:c r="S576" s="55" t="str">
        <x:f>IF(C576="","",IFERROR(Q576*R576/100,""))</x:f>
      </x:c>
      <x:c r="T576" s="55"/>
      <x:c r="U576" s="55"/>
      <x:c r="V576" s="55" t="str">
        <x:f>IF(U576="","",U576-TODAY())</x:f>
      </x:c>
      <x:c r="W576" s="55" t="str">
        <x:f>IF(AND(U576&lt;&gt;"",U576&lt;TODAY(),O576="Активен"),"ДА","")</x:f>
      </x:c>
      <x:c r="X576" s="55"/>
      <x:c r="Y576" s="55"/>
      <x:c r="Z576" s="55"/>
      <x:c r="AA576" s="55"/>
      <x:c r="AB576" s="55" t="str">
        <x:f>IF(C576="","", "Напиши " &amp; AA576 &amp; " за бизнес: " &amp; C576 &amp; ". Тип: " &amp; D576 &amp; ". Град: " &amp; E576 &amp; ". Проблем: " &amp; L576 &amp; ". Предложение: " &amp; M576 &amp; ". Етап: " &amp; N576 &amp; ". Бележки: " &amp; Y576)</x:f>
      </x:c>
      <x:c r="AC576" s="55"/>
    </x:row>
    <x:row r="577">
      <x:c r="A577" s="55"/>
      <x:c r="B577" s="55"/>
      <x:c r="C577" s="55"/>
      <x:c r="D577" s="55"/>
      <x:c r="E577" s="55"/>
      <x:c r="F577" s="55"/>
      <x:c r="G577" s="55"/>
      <x:c r="H577" s="55"/>
      <x:c r="I577" s="55"/>
      <x:c r="J577" s="55"/>
      <x:c r="K577" s="55"/>
      <x:c r="L577" s="55"/>
      <x:c r="M577" s="55"/>
      <x:c r="N577" s="55"/>
      <x:c r="O577" s="55"/>
      <x:c r="P577" s="55"/>
      <x:c r="Q577" s="55"/>
      <x:c r="R577" s="55"/>
      <x:c r="S577" s="55" t="str">
        <x:f>IF(C577="","",IFERROR(Q577*R577/100,""))</x:f>
      </x:c>
      <x:c r="T577" s="55"/>
      <x:c r="U577" s="55"/>
      <x:c r="V577" s="55" t="str">
        <x:f>IF(U577="","",U577-TODAY())</x:f>
      </x:c>
      <x:c r="W577" s="55" t="str">
        <x:f>IF(AND(U577&lt;&gt;"",U577&lt;TODAY(),O577="Активен"),"ДА","")</x:f>
      </x:c>
      <x:c r="X577" s="55"/>
      <x:c r="Y577" s="55"/>
      <x:c r="Z577" s="55"/>
      <x:c r="AA577" s="55"/>
      <x:c r="AB577" s="55" t="str">
        <x:f>IF(C577="","", "Напиши " &amp; AA577 &amp; " за бизнес: " &amp; C577 &amp; ". Тип: " &amp; D577 &amp; ". Град: " &amp; E577 &amp; ". Проблем: " &amp; L577 &amp; ". Предложение: " &amp; M577 &amp; ". Етап: " &amp; N577 &amp; ". Бележки: " &amp; Y577)</x:f>
      </x:c>
      <x:c r="AC577" s="55"/>
    </x:row>
    <x:row r="578">
      <x:c r="A578" s="55"/>
      <x:c r="B578" s="55"/>
      <x:c r="C578" s="55"/>
      <x:c r="D578" s="55"/>
      <x:c r="E578" s="55"/>
      <x:c r="F578" s="55"/>
      <x:c r="G578" s="55"/>
      <x:c r="H578" s="55"/>
      <x:c r="I578" s="55"/>
      <x:c r="J578" s="55"/>
      <x:c r="K578" s="55"/>
      <x:c r="L578" s="55"/>
      <x:c r="M578" s="55"/>
      <x:c r="N578" s="55"/>
      <x:c r="O578" s="55"/>
      <x:c r="P578" s="55"/>
      <x:c r="Q578" s="55"/>
      <x:c r="R578" s="55"/>
      <x:c r="S578" s="55" t="str">
        <x:f>IF(C578="","",IFERROR(Q578*R578/100,""))</x:f>
      </x:c>
      <x:c r="T578" s="55"/>
      <x:c r="U578" s="55"/>
      <x:c r="V578" s="55" t="str">
        <x:f>IF(U578="","",U578-TODAY())</x:f>
      </x:c>
      <x:c r="W578" s="55" t="str">
        <x:f>IF(AND(U578&lt;&gt;"",U578&lt;TODAY(),O578="Активен"),"ДА","")</x:f>
      </x:c>
      <x:c r="X578" s="55"/>
      <x:c r="Y578" s="55"/>
      <x:c r="Z578" s="55"/>
      <x:c r="AA578" s="55"/>
      <x:c r="AB578" s="55" t="str">
        <x:f>IF(C578="","", "Напиши " &amp; AA578 &amp; " за бизнес: " &amp; C578 &amp; ". Тип: " &amp; D578 &amp; ". Град: " &amp; E578 &amp; ". Проблем: " &amp; L578 &amp; ". Предложение: " &amp; M578 &amp; ". Етап: " &amp; N578 &amp; ". Бележки: " &amp; Y578)</x:f>
      </x:c>
      <x:c r="AC578" s="55"/>
    </x:row>
    <x:row r="579">
      <x:c r="A579" s="55"/>
      <x:c r="B579" s="55"/>
      <x:c r="C579" s="55"/>
      <x:c r="D579" s="55"/>
      <x:c r="E579" s="55"/>
      <x:c r="F579" s="55"/>
      <x:c r="G579" s="55"/>
      <x:c r="H579" s="55"/>
      <x:c r="I579" s="55"/>
      <x:c r="J579" s="55"/>
      <x:c r="K579" s="55"/>
      <x:c r="L579" s="55"/>
      <x:c r="M579" s="55"/>
      <x:c r="N579" s="55"/>
      <x:c r="O579" s="55"/>
      <x:c r="P579" s="55"/>
      <x:c r="Q579" s="55"/>
      <x:c r="R579" s="55"/>
      <x:c r="S579" s="55" t="str">
        <x:f>IF(C579="","",IFERROR(Q579*R579/100,""))</x:f>
      </x:c>
      <x:c r="T579" s="55"/>
      <x:c r="U579" s="55"/>
      <x:c r="V579" s="55" t="str">
        <x:f>IF(U579="","",U579-TODAY())</x:f>
      </x:c>
      <x:c r="W579" s="55" t="str">
        <x:f>IF(AND(U579&lt;&gt;"",U579&lt;TODAY(),O579="Активен"),"ДА","")</x:f>
      </x:c>
      <x:c r="X579" s="55"/>
      <x:c r="Y579" s="55"/>
      <x:c r="Z579" s="55"/>
      <x:c r="AA579" s="55"/>
      <x:c r="AB579" s="55" t="str">
        <x:f>IF(C579="","", "Напиши " &amp; AA579 &amp; " за бизнес: " &amp; C579 &amp; ". Тип: " &amp; D579 &amp; ". Град: " &amp; E579 &amp; ". Проблем: " &amp; L579 &amp; ". Предложение: " &amp; M579 &amp; ". Етап: " &amp; N579 &amp; ". Бележки: " &amp; Y579)</x:f>
      </x:c>
      <x:c r="AC579" s="55"/>
    </x:row>
    <x:row r="580">
      <x:c r="A580" s="55"/>
      <x:c r="B580" s="55"/>
      <x:c r="C580" s="55"/>
      <x:c r="D580" s="55"/>
      <x:c r="E580" s="55"/>
      <x:c r="F580" s="55"/>
      <x:c r="G580" s="55"/>
      <x:c r="H580" s="55"/>
      <x:c r="I580" s="55"/>
      <x:c r="J580" s="55"/>
      <x:c r="K580" s="55"/>
      <x:c r="L580" s="55"/>
      <x:c r="M580" s="55"/>
      <x:c r="N580" s="55"/>
      <x:c r="O580" s="55"/>
      <x:c r="P580" s="55"/>
      <x:c r="Q580" s="55"/>
      <x:c r="R580" s="55"/>
      <x:c r="S580" s="55" t="str">
        <x:f>IF(C580="","",IFERROR(Q580*R580/100,""))</x:f>
      </x:c>
      <x:c r="T580" s="55"/>
      <x:c r="U580" s="55"/>
      <x:c r="V580" s="55" t="str">
        <x:f>IF(U580="","",U580-TODAY())</x:f>
      </x:c>
      <x:c r="W580" s="55" t="str">
        <x:f>IF(AND(U580&lt;&gt;"",U580&lt;TODAY(),O580="Активен"),"ДА","")</x:f>
      </x:c>
      <x:c r="X580" s="55"/>
      <x:c r="Y580" s="55"/>
      <x:c r="Z580" s="55"/>
      <x:c r="AA580" s="55"/>
      <x:c r="AB580" s="55" t="str">
        <x:f>IF(C580="","", "Напиши " &amp; AA580 &amp; " за бизнес: " &amp; C580 &amp; ". Тип: " &amp; D580 &amp; ". Град: " &amp; E580 &amp; ". Проблем: " &amp; L580 &amp; ". Предложение: " &amp; M580 &amp; ". Етап: " &amp; N580 &amp; ". Бележки: " &amp; Y580)</x:f>
      </x:c>
      <x:c r="AC580" s="55"/>
    </x:row>
    <x:row r="581">
      <x:c r="A581" s="55"/>
      <x:c r="B581" s="55"/>
      <x:c r="C581" s="55"/>
      <x:c r="D581" s="55"/>
      <x:c r="E581" s="55"/>
      <x:c r="F581" s="55"/>
      <x:c r="G581" s="55"/>
      <x:c r="H581" s="55"/>
      <x:c r="I581" s="55"/>
      <x:c r="J581" s="55"/>
      <x:c r="K581" s="55"/>
      <x:c r="L581" s="55"/>
      <x:c r="M581" s="55"/>
      <x:c r="N581" s="55"/>
      <x:c r="O581" s="55"/>
      <x:c r="P581" s="55"/>
      <x:c r="Q581" s="55"/>
      <x:c r="R581" s="55"/>
      <x:c r="S581" s="55" t="str">
        <x:f>IF(C581="","",IFERROR(Q581*R581/100,""))</x:f>
      </x:c>
      <x:c r="T581" s="55"/>
      <x:c r="U581" s="55"/>
      <x:c r="V581" s="55" t="str">
        <x:f>IF(U581="","",U581-TODAY())</x:f>
      </x:c>
      <x:c r="W581" s="55" t="str">
        <x:f>IF(AND(U581&lt;&gt;"",U581&lt;TODAY(),O581="Активен"),"ДА","")</x:f>
      </x:c>
      <x:c r="X581" s="55"/>
      <x:c r="Y581" s="55"/>
      <x:c r="Z581" s="55"/>
      <x:c r="AA581" s="55"/>
      <x:c r="AB581" s="55" t="str">
        <x:f>IF(C581="","", "Напиши " &amp; AA581 &amp; " за бизнес: " &amp; C581 &amp; ". Тип: " &amp; D581 &amp; ". Град: " &amp; E581 &amp; ". Проблем: " &amp; L581 &amp; ". Предложение: " &amp; M581 &amp; ". Етап: " &amp; N581 &amp; ". Бележки: " &amp; Y581)</x:f>
      </x:c>
      <x:c r="AC581" s="55"/>
    </x:row>
    <x:row r="582">
      <x:c r="A582" s="55"/>
      <x:c r="B582" s="55"/>
      <x:c r="C582" s="55"/>
      <x:c r="D582" s="55"/>
      <x:c r="E582" s="55"/>
      <x:c r="F582" s="55"/>
      <x:c r="G582" s="55"/>
      <x:c r="H582" s="55"/>
      <x:c r="I582" s="55"/>
      <x:c r="J582" s="55"/>
      <x:c r="K582" s="55"/>
      <x:c r="L582" s="55"/>
      <x:c r="M582" s="55"/>
      <x:c r="N582" s="55"/>
      <x:c r="O582" s="55"/>
      <x:c r="P582" s="55"/>
      <x:c r="Q582" s="55"/>
      <x:c r="R582" s="55"/>
      <x:c r="S582" s="55" t="str">
        <x:f>IF(C582="","",IFERROR(Q582*R582/100,""))</x:f>
      </x:c>
      <x:c r="T582" s="55"/>
      <x:c r="U582" s="55"/>
      <x:c r="V582" s="55" t="str">
        <x:f>IF(U582="","",U582-TODAY())</x:f>
      </x:c>
      <x:c r="W582" s="55" t="str">
        <x:f>IF(AND(U582&lt;&gt;"",U582&lt;TODAY(),O582="Активен"),"ДА","")</x:f>
      </x:c>
      <x:c r="X582" s="55"/>
      <x:c r="Y582" s="55"/>
      <x:c r="Z582" s="55"/>
      <x:c r="AA582" s="55"/>
      <x:c r="AB582" s="55" t="str">
        <x:f>IF(C582="","", "Напиши " &amp; AA582 &amp; " за бизнес: " &amp; C582 &amp; ". Тип: " &amp; D582 &amp; ". Град: " &amp; E582 &amp; ". Проблем: " &amp; L582 &amp; ". Предложение: " &amp; M582 &amp; ". Етап: " &amp; N582 &amp; ". Бележки: " &amp; Y582)</x:f>
      </x:c>
      <x:c r="AC582" s="55"/>
    </x:row>
    <x:row r="583">
      <x:c r="A583" s="55"/>
      <x:c r="B583" s="55"/>
      <x:c r="C583" s="55"/>
      <x:c r="D583" s="55"/>
      <x:c r="E583" s="55"/>
      <x:c r="F583" s="55"/>
      <x:c r="G583" s="55"/>
      <x:c r="H583" s="55"/>
      <x:c r="I583" s="55"/>
      <x:c r="J583" s="55"/>
      <x:c r="K583" s="55"/>
      <x:c r="L583" s="55"/>
      <x:c r="M583" s="55"/>
      <x:c r="N583" s="55"/>
      <x:c r="O583" s="55"/>
      <x:c r="P583" s="55"/>
      <x:c r="Q583" s="55"/>
      <x:c r="R583" s="55"/>
      <x:c r="S583" s="55" t="str">
        <x:f>IF(C583="","",IFERROR(Q583*R583/100,""))</x:f>
      </x:c>
      <x:c r="T583" s="55"/>
      <x:c r="U583" s="55"/>
      <x:c r="V583" s="55" t="str">
        <x:f>IF(U583="","",U583-TODAY())</x:f>
      </x:c>
      <x:c r="W583" s="55" t="str">
        <x:f>IF(AND(U583&lt;&gt;"",U583&lt;TODAY(),O583="Активен"),"ДА","")</x:f>
      </x:c>
      <x:c r="X583" s="55"/>
      <x:c r="Y583" s="55"/>
      <x:c r="Z583" s="55"/>
      <x:c r="AA583" s="55"/>
      <x:c r="AB583" s="55" t="str">
        <x:f>IF(C583="","", "Напиши " &amp; AA583 &amp; " за бизнес: " &amp; C583 &amp; ". Тип: " &amp; D583 &amp; ". Град: " &amp; E583 &amp; ". Проблем: " &amp; L583 &amp; ". Предложение: " &amp; M583 &amp; ". Етап: " &amp; N583 &amp; ". Бележки: " &amp; Y583)</x:f>
      </x:c>
      <x:c r="AC583" s="55"/>
    </x:row>
    <x:row r="584">
      <x:c r="A584" s="55"/>
      <x:c r="B584" s="55"/>
      <x:c r="C584" s="55"/>
      <x:c r="D584" s="55"/>
      <x:c r="E584" s="55"/>
      <x:c r="F584" s="55"/>
      <x:c r="G584" s="55"/>
      <x:c r="H584" s="55"/>
      <x:c r="I584" s="55"/>
      <x:c r="J584" s="55"/>
      <x:c r="K584" s="55"/>
      <x:c r="L584" s="55"/>
      <x:c r="M584" s="55"/>
      <x:c r="N584" s="55"/>
      <x:c r="O584" s="55"/>
      <x:c r="P584" s="55"/>
      <x:c r="Q584" s="55"/>
      <x:c r="R584" s="55"/>
      <x:c r="S584" s="55" t="str">
        <x:f>IF(C584="","",IFERROR(Q584*R584/100,""))</x:f>
      </x:c>
      <x:c r="T584" s="55"/>
      <x:c r="U584" s="55"/>
      <x:c r="V584" s="55" t="str">
        <x:f>IF(U584="","",U584-TODAY())</x:f>
      </x:c>
      <x:c r="W584" s="55" t="str">
        <x:f>IF(AND(U584&lt;&gt;"",U584&lt;TODAY(),O584="Активен"),"ДА","")</x:f>
      </x:c>
      <x:c r="X584" s="55"/>
      <x:c r="Y584" s="55"/>
      <x:c r="Z584" s="55"/>
      <x:c r="AA584" s="55"/>
      <x:c r="AB584" s="55" t="str">
        <x:f>IF(C584="","", "Напиши " &amp; AA584 &amp; " за бизнес: " &amp; C584 &amp; ". Тип: " &amp; D584 &amp; ". Град: " &amp; E584 &amp; ". Проблем: " &amp; L584 &amp; ". Предложение: " &amp; M584 &amp; ". Етап: " &amp; N584 &amp; ". Бележки: " &amp; Y584)</x:f>
      </x:c>
      <x:c r="AC584" s="55"/>
    </x:row>
    <x:row r="585">
      <x:c r="A585" s="55"/>
      <x:c r="B585" s="55"/>
      <x:c r="C585" s="55"/>
      <x:c r="D585" s="55"/>
      <x:c r="E585" s="55"/>
      <x:c r="F585" s="55"/>
      <x:c r="G585" s="55"/>
      <x:c r="H585" s="55"/>
      <x:c r="I585" s="55"/>
      <x:c r="J585" s="55"/>
      <x:c r="K585" s="55"/>
      <x:c r="L585" s="55"/>
      <x:c r="M585" s="55"/>
      <x:c r="N585" s="55"/>
      <x:c r="O585" s="55"/>
      <x:c r="P585" s="55"/>
      <x:c r="Q585" s="55"/>
      <x:c r="R585" s="55"/>
      <x:c r="S585" s="55" t="str">
        <x:f>IF(C585="","",IFERROR(Q585*R585/100,""))</x:f>
      </x:c>
      <x:c r="T585" s="55"/>
      <x:c r="U585" s="55"/>
      <x:c r="V585" s="55" t="str">
        <x:f>IF(U585="","",U585-TODAY())</x:f>
      </x:c>
      <x:c r="W585" s="55" t="str">
        <x:f>IF(AND(U585&lt;&gt;"",U585&lt;TODAY(),O585="Активен"),"ДА","")</x:f>
      </x:c>
      <x:c r="X585" s="55"/>
      <x:c r="Y585" s="55"/>
      <x:c r="Z585" s="55"/>
      <x:c r="AA585" s="55"/>
      <x:c r="AB585" s="55" t="str">
        <x:f>IF(C585="","", "Напиши " &amp; AA585 &amp; " за бизнес: " &amp; C585 &amp; ". Тип: " &amp; D585 &amp; ". Град: " &amp; E585 &amp; ". Проблем: " &amp; L585 &amp; ". Предложение: " &amp; M585 &amp; ". Етап: " &amp; N585 &amp; ". Бележки: " &amp; Y585)</x:f>
      </x:c>
      <x:c r="AC585" s="55"/>
    </x:row>
    <x:row r="586">
      <x:c r="A586" s="55"/>
      <x:c r="B586" s="55"/>
      <x:c r="C586" s="55"/>
      <x:c r="D586" s="55"/>
      <x:c r="E586" s="55"/>
      <x:c r="F586" s="55"/>
      <x:c r="G586" s="55"/>
      <x:c r="H586" s="55"/>
      <x:c r="I586" s="55"/>
      <x:c r="J586" s="55"/>
      <x:c r="K586" s="55"/>
      <x:c r="L586" s="55"/>
      <x:c r="M586" s="55"/>
      <x:c r="N586" s="55"/>
      <x:c r="O586" s="55"/>
      <x:c r="P586" s="55"/>
      <x:c r="Q586" s="55"/>
      <x:c r="R586" s="55"/>
      <x:c r="S586" s="55" t="str">
        <x:f>IF(C586="","",IFERROR(Q586*R586/100,""))</x:f>
      </x:c>
      <x:c r="T586" s="55"/>
      <x:c r="U586" s="55"/>
      <x:c r="V586" s="55" t="str">
        <x:f>IF(U586="","",U586-TODAY())</x:f>
      </x:c>
      <x:c r="W586" s="55" t="str">
        <x:f>IF(AND(U586&lt;&gt;"",U586&lt;TODAY(),O586="Активен"),"ДА","")</x:f>
      </x:c>
      <x:c r="X586" s="55"/>
      <x:c r="Y586" s="55"/>
      <x:c r="Z586" s="55"/>
      <x:c r="AA586" s="55"/>
      <x:c r="AB586" s="55" t="str">
        <x:f>IF(C586="","", "Напиши " &amp; AA586 &amp; " за бизнес: " &amp; C586 &amp; ". Тип: " &amp; D586 &amp; ". Град: " &amp; E586 &amp; ". Проблем: " &amp; L586 &amp; ". Предложение: " &amp; M586 &amp; ". Етап: " &amp; N586 &amp; ". Бележки: " &amp; Y586)</x:f>
      </x:c>
      <x:c r="AC586" s="55"/>
    </x:row>
    <x:row r="587">
      <x:c r="A587" s="55"/>
      <x:c r="B587" s="55"/>
      <x:c r="C587" s="55"/>
      <x:c r="D587" s="55"/>
      <x:c r="E587" s="55"/>
      <x:c r="F587" s="55"/>
      <x:c r="G587" s="55"/>
      <x:c r="H587" s="55"/>
      <x:c r="I587" s="55"/>
      <x:c r="J587" s="55"/>
      <x:c r="K587" s="55"/>
      <x:c r="L587" s="55"/>
      <x:c r="M587" s="55"/>
      <x:c r="N587" s="55"/>
      <x:c r="O587" s="55"/>
      <x:c r="P587" s="55"/>
      <x:c r="Q587" s="55"/>
      <x:c r="R587" s="55"/>
      <x:c r="S587" s="55" t="str">
        <x:f>IF(C587="","",IFERROR(Q587*R587/100,""))</x:f>
      </x:c>
      <x:c r="T587" s="55"/>
      <x:c r="U587" s="55"/>
      <x:c r="V587" s="55" t="str">
        <x:f>IF(U587="","",U587-TODAY())</x:f>
      </x:c>
      <x:c r="W587" s="55" t="str">
        <x:f>IF(AND(U587&lt;&gt;"",U587&lt;TODAY(),O587="Активен"),"ДА","")</x:f>
      </x:c>
      <x:c r="X587" s="55"/>
      <x:c r="Y587" s="55"/>
      <x:c r="Z587" s="55"/>
      <x:c r="AA587" s="55"/>
      <x:c r="AB587" s="55" t="str">
        <x:f>IF(C587="","", "Напиши " &amp; AA587 &amp; " за бизнес: " &amp; C587 &amp; ". Тип: " &amp; D587 &amp; ". Град: " &amp; E587 &amp; ". Проблем: " &amp; L587 &amp; ". Предложение: " &amp; M587 &amp; ". Етап: " &amp; N587 &amp; ". Бележки: " &amp; Y587)</x:f>
      </x:c>
      <x:c r="AC587" s="55"/>
    </x:row>
    <x:row r="588">
      <x:c r="A588" s="55"/>
      <x:c r="B588" s="55"/>
      <x:c r="C588" s="55"/>
      <x:c r="D588" s="55"/>
      <x:c r="E588" s="55"/>
      <x:c r="F588" s="55"/>
      <x:c r="G588" s="55"/>
      <x:c r="H588" s="55"/>
      <x:c r="I588" s="55"/>
      <x:c r="J588" s="55"/>
      <x:c r="K588" s="55"/>
      <x:c r="L588" s="55"/>
      <x:c r="M588" s="55"/>
      <x:c r="N588" s="55"/>
      <x:c r="O588" s="55"/>
      <x:c r="P588" s="55"/>
      <x:c r="Q588" s="55"/>
      <x:c r="R588" s="55"/>
      <x:c r="S588" s="55" t="str">
        <x:f>IF(C588="","",IFERROR(Q588*R588/100,""))</x:f>
      </x:c>
      <x:c r="T588" s="55"/>
      <x:c r="U588" s="55"/>
      <x:c r="V588" s="55" t="str">
        <x:f>IF(U588="","",U588-TODAY())</x:f>
      </x:c>
      <x:c r="W588" s="55" t="str">
        <x:f>IF(AND(U588&lt;&gt;"",U588&lt;TODAY(),O588="Активен"),"ДА","")</x:f>
      </x:c>
      <x:c r="X588" s="55"/>
      <x:c r="Y588" s="55"/>
      <x:c r="Z588" s="55"/>
      <x:c r="AA588" s="55"/>
      <x:c r="AB588" s="55" t="str">
        <x:f>IF(C588="","", "Напиши " &amp; AA588 &amp; " за бизнес: " &amp; C588 &amp; ". Тип: " &amp; D588 &amp; ". Град: " &amp; E588 &amp; ". Проблем: " &amp; L588 &amp; ". Предложение: " &amp; M588 &amp; ". Етап: " &amp; N588 &amp; ". Бележки: " &amp; Y588)</x:f>
      </x:c>
      <x:c r="AC588" s="55"/>
    </x:row>
    <x:row r="589">
      <x:c r="A589" s="55"/>
      <x:c r="B589" s="55"/>
      <x:c r="C589" s="55"/>
      <x:c r="D589" s="55"/>
      <x:c r="E589" s="55"/>
      <x:c r="F589" s="55"/>
      <x:c r="G589" s="55"/>
      <x:c r="H589" s="55"/>
      <x:c r="I589" s="55"/>
      <x:c r="J589" s="55"/>
      <x:c r="K589" s="55"/>
      <x:c r="L589" s="55"/>
      <x:c r="M589" s="55"/>
      <x:c r="N589" s="55"/>
      <x:c r="O589" s="55"/>
      <x:c r="P589" s="55"/>
      <x:c r="Q589" s="55"/>
      <x:c r="R589" s="55"/>
      <x:c r="S589" s="55" t="str">
        <x:f>IF(C589="","",IFERROR(Q589*R589/100,""))</x:f>
      </x:c>
      <x:c r="T589" s="55"/>
      <x:c r="U589" s="55"/>
      <x:c r="V589" s="55" t="str">
        <x:f>IF(U589="","",U589-TODAY())</x:f>
      </x:c>
      <x:c r="W589" s="55" t="str">
        <x:f>IF(AND(U589&lt;&gt;"",U589&lt;TODAY(),O589="Активен"),"ДА","")</x:f>
      </x:c>
      <x:c r="X589" s="55"/>
      <x:c r="Y589" s="55"/>
      <x:c r="Z589" s="55"/>
      <x:c r="AA589" s="55"/>
      <x:c r="AB589" s="55" t="str">
        <x:f>IF(C589="","", "Напиши " &amp; AA589 &amp; " за бизнес: " &amp; C589 &amp; ". Тип: " &amp; D589 &amp; ". Град: " &amp; E589 &amp; ". Проблем: " &amp; L589 &amp; ". Предложение: " &amp; M589 &amp; ". Етап: " &amp; N589 &amp; ". Бележки: " &amp; Y589)</x:f>
      </x:c>
      <x:c r="AC589" s="55"/>
    </x:row>
    <x:row r="590">
      <x:c r="A590" s="55"/>
      <x:c r="B590" s="55"/>
      <x:c r="C590" s="55"/>
      <x:c r="D590" s="55"/>
      <x:c r="E590" s="55"/>
      <x:c r="F590" s="55"/>
      <x:c r="G590" s="55"/>
      <x:c r="H590" s="55"/>
      <x:c r="I590" s="55"/>
      <x:c r="J590" s="55"/>
      <x:c r="K590" s="55"/>
      <x:c r="L590" s="55"/>
      <x:c r="M590" s="55"/>
      <x:c r="N590" s="55"/>
      <x:c r="O590" s="55"/>
      <x:c r="P590" s="55"/>
      <x:c r="Q590" s="55"/>
      <x:c r="R590" s="55"/>
      <x:c r="S590" s="55" t="str">
        <x:f>IF(C590="","",IFERROR(Q590*R590/100,""))</x:f>
      </x:c>
      <x:c r="T590" s="55"/>
      <x:c r="U590" s="55"/>
      <x:c r="V590" s="55" t="str">
        <x:f>IF(U590="","",U590-TODAY())</x:f>
      </x:c>
      <x:c r="W590" s="55" t="str">
        <x:f>IF(AND(U590&lt;&gt;"",U590&lt;TODAY(),O590="Активен"),"ДА","")</x:f>
      </x:c>
      <x:c r="X590" s="55"/>
      <x:c r="Y590" s="55"/>
      <x:c r="Z590" s="55"/>
      <x:c r="AA590" s="55"/>
      <x:c r="AB590" s="55" t="str">
        <x:f>IF(C590="","", "Напиши " &amp; AA590 &amp; " за бизнес: " &amp; C590 &amp; ". Тип: " &amp; D590 &amp; ". Град: " &amp; E590 &amp; ". Проблем: " &amp; L590 &amp; ". Предложение: " &amp; M590 &amp; ". Етап: " &amp; N590 &amp; ". Бележки: " &amp; Y590)</x:f>
      </x:c>
      <x:c r="AC590" s="55"/>
    </x:row>
    <x:row r="591">
      <x:c r="A591" s="55"/>
      <x:c r="B591" s="55"/>
      <x:c r="C591" s="55"/>
      <x:c r="D591" s="55"/>
      <x:c r="E591" s="55"/>
      <x:c r="F591" s="55"/>
      <x:c r="G591" s="55"/>
      <x:c r="H591" s="55"/>
      <x:c r="I591" s="55"/>
      <x:c r="J591" s="55"/>
      <x:c r="K591" s="55"/>
      <x:c r="L591" s="55"/>
      <x:c r="M591" s="55"/>
      <x:c r="N591" s="55"/>
      <x:c r="O591" s="55"/>
      <x:c r="P591" s="55"/>
      <x:c r="Q591" s="55"/>
      <x:c r="R591" s="55"/>
      <x:c r="S591" s="55" t="str">
        <x:f>IF(C591="","",IFERROR(Q591*R591/100,""))</x:f>
      </x:c>
      <x:c r="T591" s="55"/>
      <x:c r="U591" s="55"/>
      <x:c r="V591" s="55" t="str">
        <x:f>IF(U591="","",U591-TODAY())</x:f>
      </x:c>
      <x:c r="W591" s="55" t="str">
        <x:f>IF(AND(U591&lt;&gt;"",U591&lt;TODAY(),O591="Активен"),"ДА","")</x:f>
      </x:c>
      <x:c r="X591" s="55"/>
      <x:c r="Y591" s="55"/>
      <x:c r="Z591" s="55"/>
      <x:c r="AA591" s="55"/>
      <x:c r="AB591" s="55" t="str">
        <x:f>IF(C591="","", "Напиши " &amp; AA591 &amp; " за бизнес: " &amp; C591 &amp; ". Тип: " &amp; D591 &amp; ". Град: " &amp; E591 &amp; ". Проблем: " &amp; L591 &amp; ". Предложение: " &amp; M591 &amp; ". Етап: " &amp; N591 &amp; ". Бележки: " &amp; Y591)</x:f>
      </x:c>
      <x:c r="AC591" s="55"/>
    </x:row>
    <x:row r="592">
      <x:c r="A592" s="55"/>
      <x:c r="B592" s="55"/>
      <x:c r="C592" s="55"/>
      <x:c r="D592" s="55"/>
      <x:c r="E592" s="55"/>
      <x:c r="F592" s="55"/>
      <x:c r="G592" s="55"/>
      <x:c r="H592" s="55"/>
      <x:c r="I592" s="55"/>
      <x:c r="J592" s="55"/>
      <x:c r="K592" s="55"/>
      <x:c r="L592" s="55"/>
      <x:c r="M592" s="55"/>
      <x:c r="N592" s="55"/>
      <x:c r="O592" s="55"/>
      <x:c r="P592" s="55"/>
      <x:c r="Q592" s="55"/>
      <x:c r="R592" s="55"/>
      <x:c r="S592" s="55" t="str">
        <x:f>IF(C592="","",IFERROR(Q592*R592/100,""))</x:f>
      </x:c>
      <x:c r="T592" s="55"/>
      <x:c r="U592" s="55"/>
      <x:c r="V592" s="55" t="str">
        <x:f>IF(U592="","",U592-TODAY())</x:f>
      </x:c>
      <x:c r="W592" s="55" t="str">
        <x:f>IF(AND(U592&lt;&gt;"",U592&lt;TODAY(),O592="Активен"),"ДА","")</x:f>
      </x:c>
      <x:c r="X592" s="55"/>
      <x:c r="Y592" s="55"/>
      <x:c r="Z592" s="55"/>
      <x:c r="AA592" s="55"/>
      <x:c r="AB592" s="55" t="str">
        <x:f>IF(C592="","", "Напиши " &amp; AA592 &amp; " за бизнес: " &amp; C592 &amp; ". Тип: " &amp; D592 &amp; ". Град: " &amp; E592 &amp; ". Проблем: " &amp; L592 &amp; ". Предложение: " &amp; M592 &amp; ". Етап: " &amp; N592 &amp; ". Бележки: " &amp; Y592)</x:f>
      </x:c>
      <x:c r="AC592" s="55"/>
    </x:row>
    <x:row r="593">
      <x:c r="A593" s="55"/>
      <x:c r="B593" s="55"/>
      <x:c r="C593" s="55"/>
      <x:c r="D593" s="55"/>
      <x:c r="E593" s="55"/>
      <x:c r="F593" s="55"/>
      <x:c r="G593" s="55"/>
      <x:c r="H593" s="55"/>
      <x:c r="I593" s="55"/>
      <x:c r="J593" s="55"/>
      <x:c r="K593" s="55"/>
      <x:c r="L593" s="55"/>
      <x:c r="M593" s="55"/>
      <x:c r="N593" s="55"/>
      <x:c r="O593" s="55"/>
      <x:c r="P593" s="55"/>
      <x:c r="Q593" s="55"/>
      <x:c r="R593" s="55"/>
      <x:c r="S593" s="55" t="str">
        <x:f>IF(C593="","",IFERROR(Q593*R593/100,""))</x:f>
      </x:c>
      <x:c r="T593" s="55"/>
      <x:c r="U593" s="55"/>
      <x:c r="V593" s="55" t="str">
        <x:f>IF(U593="","",U593-TODAY())</x:f>
      </x:c>
      <x:c r="W593" s="55" t="str">
        <x:f>IF(AND(U593&lt;&gt;"",U593&lt;TODAY(),O593="Активен"),"ДА","")</x:f>
      </x:c>
      <x:c r="X593" s="55"/>
      <x:c r="Y593" s="55"/>
      <x:c r="Z593" s="55"/>
      <x:c r="AA593" s="55"/>
      <x:c r="AB593" s="55" t="str">
        <x:f>IF(C593="","", "Напиши " &amp; AA593 &amp; " за бизнес: " &amp; C593 &amp; ". Тип: " &amp; D593 &amp; ". Град: " &amp; E593 &amp; ". Проблем: " &amp; L593 &amp; ". Предложение: " &amp; M593 &amp; ". Етап: " &amp; N593 &amp; ". Бележки: " &amp; Y593)</x:f>
      </x:c>
      <x:c r="AC593" s="55"/>
    </x:row>
    <x:row r="594">
      <x:c r="A594" s="55"/>
      <x:c r="B594" s="55"/>
      <x:c r="C594" s="55"/>
      <x:c r="D594" s="55"/>
      <x:c r="E594" s="55"/>
      <x:c r="F594" s="55"/>
      <x:c r="G594" s="55"/>
      <x:c r="H594" s="55"/>
      <x:c r="I594" s="55"/>
      <x:c r="J594" s="55"/>
      <x:c r="K594" s="55"/>
      <x:c r="L594" s="55"/>
      <x:c r="M594" s="55"/>
      <x:c r="N594" s="55"/>
      <x:c r="O594" s="55"/>
      <x:c r="P594" s="55"/>
      <x:c r="Q594" s="55"/>
      <x:c r="R594" s="55"/>
      <x:c r="S594" s="55" t="str">
        <x:f>IF(C594="","",IFERROR(Q594*R594/100,""))</x:f>
      </x:c>
      <x:c r="T594" s="55"/>
      <x:c r="U594" s="55"/>
      <x:c r="V594" s="55" t="str">
        <x:f>IF(U594="","",U594-TODAY())</x:f>
      </x:c>
      <x:c r="W594" s="55" t="str">
        <x:f>IF(AND(U594&lt;&gt;"",U594&lt;TODAY(),O594="Активен"),"ДА","")</x:f>
      </x:c>
      <x:c r="X594" s="55"/>
      <x:c r="Y594" s="55"/>
      <x:c r="Z594" s="55"/>
      <x:c r="AA594" s="55"/>
      <x:c r="AB594" s="55" t="str">
        <x:f>IF(C594="","", "Напиши " &amp; AA594 &amp; " за бизнес: " &amp; C594 &amp; ". Тип: " &amp; D594 &amp; ". Град: " &amp; E594 &amp; ". Проблем: " &amp; L594 &amp; ". Предложение: " &amp; M594 &amp; ". Етап: " &amp; N594 &amp; ". Бележки: " &amp; Y594)</x:f>
      </x:c>
      <x:c r="AC594" s="55"/>
    </x:row>
    <x:row r="595">
      <x:c r="A595" s="55"/>
      <x:c r="B595" s="55"/>
      <x:c r="C595" s="55"/>
      <x:c r="D595" s="55"/>
      <x:c r="E595" s="55"/>
      <x:c r="F595" s="55"/>
      <x:c r="G595" s="55"/>
      <x:c r="H595" s="55"/>
      <x:c r="I595" s="55"/>
      <x:c r="J595" s="55"/>
      <x:c r="K595" s="55"/>
      <x:c r="L595" s="55"/>
      <x:c r="M595" s="55"/>
      <x:c r="N595" s="55"/>
      <x:c r="O595" s="55"/>
      <x:c r="P595" s="55"/>
      <x:c r="Q595" s="55"/>
      <x:c r="R595" s="55"/>
      <x:c r="S595" s="55" t="str">
        <x:f>IF(C595="","",IFERROR(Q595*R595/100,""))</x:f>
      </x:c>
      <x:c r="T595" s="55"/>
      <x:c r="U595" s="55"/>
      <x:c r="V595" s="55" t="str">
        <x:f>IF(U595="","",U595-TODAY())</x:f>
      </x:c>
      <x:c r="W595" s="55" t="str">
        <x:f>IF(AND(U595&lt;&gt;"",U595&lt;TODAY(),O595="Активен"),"ДА","")</x:f>
      </x:c>
      <x:c r="X595" s="55"/>
      <x:c r="Y595" s="55"/>
      <x:c r="Z595" s="55"/>
      <x:c r="AA595" s="55"/>
      <x:c r="AB595" s="55" t="str">
        <x:f>IF(C595="","", "Напиши " &amp; AA595 &amp; " за бизнес: " &amp; C595 &amp; ". Тип: " &amp; D595 &amp; ". Град: " &amp; E595 &amp; ". Проблем: " &amp; L595 &amp; ". Предложение: " &amp; M595 &amp; ". Етап: " &amp; N595 &amp; ". Бележки: " &amp; Y595)</x:f>
      </x:c>
      <x:c r="AC595" s="55"/>
    </x:row>
    <x:row r="596">
      <x:c r="A596" s="55"/>
      <x:c r="B596" s="55"/>
      <x:c r="C596" s="55"/>
      <x:c r="D596" s="55"/>
      <x:c r="E596" s="55"/>
      <x:c r="F596" s="55"/>
      <x:c r="G596" s="55"/>
      <x:c r="H596" s="55"/>
      <x:c r="I596" s="55"/>
      <x:c r="J596" s="55"/>
      <x:c r="K596" s="55"/>
      <x:c r="L596" s="55"/>
      <x:c r="M596" s="55"/>
      <x:c r="N596" s="55"/>
      <x:c r="O596" s="55"/>
      <x:c r="P596" s="55"/>
      <x:c r="Q596" s="55"/>
      <x:c r="R596" s="55"/>
      <x:c r="S596" s="55" t="str">
        <x:f>IF(C596="","",IFERROR(Q596*R596/100,""))</x:f>
      </x:c>
      <x:c r="T596" s="55"/>
      <x:c r="U596" s="55"/>
      <x:c r="V596" s="55" t="str">
        <x:f>IF(U596="","",U596-TODAY())</x:f>
      </x:c>
      <x:c r="W596" s="55" t="str">
        <x:f>IF(AND(U596&lt;&gt;"",U596&lt;TODAY(),O596="Активен"),"ДА","")</x:f>
      </x:c>
      <x:c r="X596" s="55"/>
      <x:c r="Y596" s="55"/>
      <x:c r="Z596" s="55"/>
      <x:c r="AA596" s="55"/>
      <x:c r="AB596" s="55" t="str">
        <x:f>IF(C596="","", "Напиши " &amp; AA596 &amp; " за бизнес: " &amp; C596 &amp; ". Тип: " &amp; D596 &amp; ". Град: " &amp; E596 &amp; ". Проблем: " &amp; L596 &amp; ". Предложение: " &amp; M596 &amp; ". Етап: " &amp; N596 &amp; ". Бележки: " &amp; Y596)</x:f>
      </x:c>
      <x:c r="AC596" s="55"/>
    </x:row>
    <x:row r="597">
      <x:c r="A597" s="55"/>
      <x:c r="B597" s="55"/>
      <x:c r="C597" s="55"/>
      <x:c r="D597" s="55"/>
      <x:c r="E597" s="55"/>
      <x:c r="F597" s="55"/>
      <x:c r="G597" s="55"/>
      <x:c r="H597" s="55"/>
      <x:c r="I597" s="55"/>
      <x:c r="J597" s="55"/>
      <x:c r="K597" s="55"/>
      <x:c r="L597" s="55"/>
      <x:c r="M597" s="55"/>
      <x:c r="N597" s="55"/>
      <x:c r="O597" s="55"/>
      <x:c r="P597" s="55"/>
      <x:c r="Q597" s="55"/>
      <x:c r="R597" s="55"/>
      <x:c r="S597" s="55" t="str">
        <x:f>IF(C597="","",IFERROR(Q597*R597/100,""))</x:f>
      </x:c>
      <x:c r="T597" s="55"/>
      <x:c r="U597" s="55"/>
      <x:c r="V597" s="55" t="str">
        <x:f>IF(U597="","",U597-TODAY())</x:f>
      </x:c>
      <x:c r="W597" s="55" t="str">
        <x:f>IF(AND(U597&lt;&gt;"",U597&lt;TODAY(),O597="Активен"),"ДА","")</x:f>
      </x:c>
      <x:c r="X597" s="55"/>
      <x:c r="Y597" s="55"/>
      <x:c r="Z597" s="55"/>
      <x:c r="AA597" s="55"/>
      <x:c r="AB597" s="55" t="str">
        <x:f>IF(C597="","", "Напиши " &amp; AA597 &amp; " за бизнес: " &amp; C597 &amp; ". Тип: " &amp; D597 &amp; ". Град: " &amp; E597 &amp; ". Проблем: " &amp; L597 &amp; ". Предложение: " &amp; M597 &amp; ". Етап: " &amp; N597 &amp; ". Бележки: " &amp; Y597)</x:f>
      </x:c>
      <x:c r="AC597" s="55"/>
    </x:row>
    <x:row r="598">
      <x:c r="A598" s="55"/>
      <x:c r="B598" s="55"/>
      <x:c r="C598" s="55"/>
      <x:c r="D598" s="55"/>
      <x:c r="E598" s="55"/>
      <x:c r="F598" s="55"/>
      <x:c r="G598" s="55"/>
      <x:c r="H598" s="55"/>
      <x:c r="I598" s="55"/>
      <x:c r="J598" s="55"/>
      <x:c r="K598" s="55"/>
      <x:c r="L598" s="55"/>
      <x:c r="M598" s="55"/>
      <x:c r="N598" s="55"/>
      <x:c r="O598" s="55"/>
      <x:c r="P598" s="55"/>
      <x:c r="Q598" s="55"/>
      <x:c r="R598" s="55"/>
      <x:c r="S598" s="55" t="str">
        <x:f>IF(C598="","",IFERROR(Q598*R598/100,""))</x:f>
      </x:c>
      <x:c r="T598" s="55"/>
      <x:c r="U598" s="55"/>
      <x:c r="V598" s="55" t="str">
        <x:f>IF(U598="","",U598-TODAY())</x:f>
      </x:c>
      <x:c r="W598" s="55" t="str">
        <x:f>IF(AND(U598&lt;&gt;"",U598&lt;TODAY(),O598="Активен"),"ДА","")</x:f>
      </x:c>
      <x:c r="X598" s="55"/>
      <x:c r="Y598" s="55"/>
      <x:c r="Z598" s="55"/>
      <x:c r="AA598" s="55"/>
      <x:c r="AB598" s="55" t="str">
        <x:f>IF(C598="","", "Напиши " &amp; AA598 &amp; " за бизнес: " &amp; C598 &amp; ". Тип: " &amp; D598 &amp; ". Град: " &amp; E598 &amp; ". Проблем: " &amp; L598 &amp; ". Предложение: " &amp; M598 &amp; ". Етап: " &amp; N598 &amp; ". Бележки: " &amp; Y598)</x:f>
      </x:c>
      <x:c r="AC598" s="55"/>
    </x:row>
    <x:row r="599">
      <x:c r="A599" s="55"/>
      <x:c r="B599" s="55"/>
      <x:c r="C599" s="55"/>
      <x:c r="D599" s="55"/>
      <x:c r="E599" s="55"/>
      <x:c r="F599" s="55"/>
      <x:c r="G599" s="55"/>
      <x:c r="H599" s="55"/>
      <x:c r="I599" s="55"/>
      <x:c r="J599" s="55"/>
      <x:c r="K599" s="55"/>
      <x:c r="L599" s="55"/>
      <x:c r="M599" s="55"/>
      <x:c r="N599" s="55"/>
      <x:c r="O599" s="55"/>
      <x:c r="P599" s="55"/>
      <x:c r="Q599" s="55"/>
      <x:c r="R599" s="55"/>
      <x:c r="S599" s="55" t="str">
        <x:f>IF(C599="","",IFERROR(Q599*R599/100,""))</x:f>
      </x:c>
      <x:c r="T599" s="55"/>
      <x:c r="U599" s="55"/>
      <x:c r="V599" s="55" t="str">
        <x:f>IF(U599="","",U599-TODAY())</x:f>
      </x:c>
      <x:c r="W599" s="55" t="str">
        <x:f>IF(AND(U599&lt;&gt;"",U599&lt;TODAY(),O599="Активен"),"ДА","")</x:f>
      </x:c>
      <x:c r="X599" s="55"/>
      <x:c r="Y599" s="55"/>
      <x:c r="Z599" s="55"/>
      <x:c r="AA599" s="55"/>
      <x:c r="AB599" s="55" t="str">
        <x:f>IF(C599="","", "Напиши " &amp; AA599 &amp; " за бизнес: " &amp; C599 &amp; ". Тип: " &amp; D599 &amp; ". Град: " &amp; E599 &amp; ". Проблем: " &amp; L599 &amp; ". Предложение: " &amp; M599 &amp; ". Етап: " &amp; N599 &amp; ". Бележки: " &amp; Y599)</x:f>
      </x:c>
      <x:c r="AC599" s="55"/>
    </x:row>
    <x:row r="600">
      <x:c r="A600" s="55"/>
      <x:c r="B600" s="55"/>
      <x:c r="C600" s="55"/>
      <x:c r="D600" s="55"/>
      <x:c r="E600" s="55"/>
      <x:c r="F600" s="55"/>
      <x:c r="G600" s="55"/>
      <x:c r="H600" s="55"/>
      <x:c r="I600" s="55"/>
      <x:c r="J600" s="55"/>
      <x:c r="K600" s="55"/>
      <x:c r="L600" s="55"/>
      <x:c r="M600" s="55"/>
      <x:c r="N600" s="55"/>
      <x:c r="O600" s="55"/>
      <x:c r="P600" s="55"/>
      <x:c r="Q600" s="55"/>
      <x:c r="R600" s="55"/>
      <x:c r="S600" s="55" t="str">
        <x:f>IF(C600="","",IFERROR(Q600*R600/100,""))</x:f>
      </x:c>
      <x:c r="T600" s="55"/>
      <x:c r="U600" s="55"/>
      <x:c r="V600" s="55" t="str">
        <x:f>IF(U600="","",U600-TODAY())</x:f>
      </x:c>
      <x:c r="W600" s="55" t="str">
        <x:f>IF(AND(U600&lt;&gt;"",U600&lt;TODAY(),O600="Активен"),"ДА","")</x:f>
      </x:c>
      <x:c r="X600" s="55"/>
      <x:c r="Y600" s="55"/>
      <x:c r="Z600" s="55"/>
      <x:c r="AA600" s="55"/>
      <x:c r="AB600" s="55" t="str">
        <x:f>IF(C600="","", "Напиши " &amp; AA600 &amp; " за бизнес: " &amp; C600 &amp; ". Тип: " &amp; D600 &amp; ". Град: " &amp; E600 &amp; ". Проблем: " &amp; L600 &amp; ". Предложение: " &amp; M600 &amp; ". Етап: " &amp; N600 &amp; ". Бележки: " &amp; Y600)</x:f>
      </x:c>
      <x:c r="AC600" s="55"/>
    </x:row>
    <x:row r="601">
      <x:c r="A601" s="55"/>
      <x:c r="B601" s="55"/>
      <x:c r="C601" s="55"/>
      <x:c r="D601" s="55"/>
      <x:c r="E601" s="55"/>
      <x:c r="F601" s="55"/>
      <x:c r="G601" s="55"/>
      <x:c r="H601" s="55"/>
      <x:c r="I601" s="55"/>
      <x:c r="J601" s="55"/>
      <x:c r="K601" s="55"/>
      <x:c r="L601" s="55"/>
      <x:c r="M601" s="55"/>
      <x:c r="N601" s="55"/>
      <x:c r="O601" s="55"/>
      <x:c r="P601" s="55"/>
      <x:c r="Q601" s="55"/>
      <x:c r="R601" s="55"/>
      <x:c r="S601" s="55" t="str">
        <x:f>IF(C601="","",IFERROR(Q601*R601/100,""))</x:f>
      </x:c>
      <x:c r="T601" s="55"/>
      <x:c r="U601" s="55"/>
      <x:c r="V601" s="55" t="str">
        <x:f>IF(U601="","",U601-TODAY())</x:f>
      </x:c>
      <x:c r="W601" s="55" t="str">
        <x:f>IF(AND(U601&lt;&gt;"",U601&lt;TODAY(),O601="Активен"),"ДА","")</x:f>
      </x:c>
      <x:c r="X601" s="55"/>
      <x:c r="Y601" s="55"/>
      <x:c r="Z601" s="55"/>
      <x:c r="AA601" s="55"/>
      <x:c r="AB601" s="55" t="str">
        <x:f>IF(C601="","", "Напиши " &amp; AA601 &amp; " за бизнес: " &amp; C601 &amp; ". Тип: " &amp; D601 &amp; ". Град: " &amp; E601 &amp; ". Проблем: " &amp; L601 &amp; ". Предложение: " &amp; M601 &amp; ". Етап: " &amp; N601 &amp; ". Бележки: " &amp; Y601)</x:f>
      </x:c>
      <x:c r="AC601" s="55"/>
    </x:row>
    <x:row r="602">
      <x:c r="A602" s="55"/>
      <x:c r="B602" s="55"/>
      <x:c r="C602" s="55"/>
      <x:c r="D602" s="55"/>
      <x:c r="E602" s="55"/>
      <x:c r="F602" s="55"/>
      <x:c r="G602" s="55"/>
      <x:c r="H602" s="55"/>
      <x:c r="I602" s="55"/>
      <x:c r="J602" s="55"/>
      <x:c r="K602" s="55"/>
      <x:c r="L602" s="55"/>
      <x:c r="M602" s="55"/>
      <x:c r="N602" s="55"/>
      <x:c r="O602" s="55"/>
      <x:c r="P602" s="55"/>
      <x:c r="Q602" s="55"/>
      <x:c r="R602" s="55"/>
      <x:c r="S602" s="55" t="str">
        <x:f>IF(C602="","",IFERROR(Q602*R602/100,""))</x:f>
      </x:c>
      <x:c r="T602" s="55"/>
      <x:c r="U602" s="55"/>
      <x:c r="V602" s="55" t="str">
        <x:f>IF(U602="","",U602-TODAY())</x:f>
      </x:c>
      <x:c r="W602" s="55" t="str">
        <x:f>IF(AND(U602&lt;&gt;"",U602&lt;TODAY(),O602="Активен"),"ДА","")</x:f>
      </x:c>
      <x:c r="X602" s="55"/>
      <x:c r="Y602" s="55"/>
      <x:c r="Z602" s="55"/>
      <x:c r="AA602" s="55"/>
      <x:c r="AB602" s="55" t="str">
        <x:f>IF(C602="","", "Напиши " &amp; AA602 &amp; " за бизнес: " &amp; C602 &amp; ". Тип: " &amp; D602 &amp; ". Град: " &amp; E602 &amp; ". Проблем: " &amp; L602 &amp; ". Предложение: " &amp; M602 &amp; ". Етап: " &amp; N602 &amp; ". Бележки: " &amp; Y602)</x:f>
      </x:c>
      <x:c r="AC602" s="55"/>
    </x:row>
    <x:row r="603">
      <x:c r="A603" s="55"/>
      <x:c r="B603" s="55"/>
      <x:c r="C603" s="55"/>
      <x:c r="D603" s="55"/>
      <x:c r="E603" s="55"/>
      <x:c r="F603" s="55"/>
      <x:c r="G603" s="55"/>
      <x:c r="H603" s="55"/>
      <x:c r="I603" s="55"/>
      <x:c r="J603" s="55"/>
      <x:c r="K603" s="55"/>
      <x:c r="L603" s="55"/>
      <x:c r="M603" s="55"/>
      <x:c r="N603" s="55"/>
      <x:c r="O603" s="55"/>
      <x:c r="P603" s="55"/>
      <x:c r="Q603" s="55"/>
      <x:c r="R603" s="55"/>
      <x:c r="S603" s="55" t="str">
        <x:f>IF(C603="","",IFERROR(Q603*R603/100,""))</x:f>
      </x:c>
      <x:c r="T603" s="55"/>
      <x:c r="U603" s="55"/>
      <x:c r="V603" s="55" t="str">
        <x:f>IF(U603="","",U603-TODAY())</x:f>
      </x:c>
      <x:c r="W603" s="55" t="str">
        <x:f>IF(AND(U603&lt;&gt;"",U603&lt;TODAY(),O603="Активен"),"ДА","")</x:f>
      </x:c>
      <x:c r="X603" s="55"/>
      <x:c r="Y603" s="55"/>
      <x:c r="Z603" s="55"/>
      <x:c r="AA603" s="55"/>
      <x:c r="AB603" s="55" t="str">
        <x:f>IF(C603="","", "Напиши " &amp; AA603 &amp; " за бизнес: " &amp; C603 &amp; ". Тип: " &amp; D603 &amp; ". Град: " &amp; E603 &amp; ". Проблем: " &amp; L603 &amp; ". Предложение: " &amp; M603 &amp; ". Етап: " &amp; N603 &amp; ". Бележки: " &amp; Y603)</x:f>
      </x:c>
      <x:c r="AC603" s="55"/>
    </x:row>
    <x:row r="604">
      <x:c r="A604" s="55"/>
      <x:c r="B604" s="55"/>
      <x:c r="C604" s="55"/>
      <x:c r="D604" s="55"/>
      <x:c r="E604" s="55"/>
      <x:c r="F604" s="55"/>
      <x:c r="G604" s="55"/>
      <x:c r="H604" s="55"/>
      <x:c r="I604" s="55"/>
      <x:c r="J604" s="55"/>
      <x:c r="K604" s="55"/>
      <x:c r="L604" s="55"/>
      <x:c r="M604" s="55"/>
      <x:c r="N604" s="55"/>
      <x:c r="O604" s="55"/>
      <x:c r="P604" s="55"/>
      <x:c r="Q604" s="55"/>
      <x:c r="R604" s="55"/>
      <x:c r="S604" s="55" t="str">
        <x:f>IF(C604="","",IFERROR(Q604*R604/100,""))</x:f>
      </x:c>
      <x:c r="T604" s="55"/>
      <x:c r="U604" s="55"/>
      <x:c r="V604" s="55" t="str">
        <x:f>IF(U604="","",U604-TODAY())</x:f>
      </x:c>
      <x:c r="W604" s="55" t="str">
        <x:f>IF(AND(U604&lt;&gt;"",U604&lt;TODAY(),O604="Активен"),"ДА","")</x:f>
      </x:c>
      <x:c r="X604" s="55"/>
      <x:c r="Y604" s="55"/>
      <x:c r="Z604" s="55"/>
      <x:c r="AA604" s="55"/>
      <x:c r="AB604" s="55" t="str">
        <x:f>IF(C604="","", "Напиши " &amp; AA604 &amp; " за бизнес: " &amp; C604 &amp; ". Тип: " &amp; D604 &amp; ". Град: " &amp; E604 &amp; ". Проблем: " &amp; L604 &amp; ". Предложение: " &amp; M604 &amp; ". Етап: " &amp; N604 &amp; ". Бележки: " &amp; Y604)</x:f>
      </x:c>
      <x:c r="AC604" s="55"/>
    </x:row>
    <x:row r="605">
      <x:c r="A605" s="55"/>
      <x:c r="B605" s="55"/>
      <x:c r="C605" s="55"/>
      <x:c r="D605" s="55"/>
      <x:c r="E605" s="55"/>
      <x:c r="F605" s="55"/>
      <x:c r="G605" s="55"/>
      <x:c r="H605" s="55"/>
      <x:c r="I605" s="55"/>
      <x:c r="J605" s="55"/>
      <x:c r="K605" s="55"/>
      <x:c r="L605" s="55"/>
      <x:c r="M605" s="55"/>
      <x:c r="N605" s="55"/>
      <x:c r="O605" s="55"/>
      <x:c r="P605" s="55"/>
      <x:c r="Q605" s="55"/>
      <x:c r="R605" s="55"/>
      <x:c r="S605" s="55" t="str">
        <x:f>IF(C605="","",IFERROR(Q605*R605/100,""))</x:f>
      </x:c>
      <x:c r="T605" s="55"/>
      <x:c r="U605" s="55"/>
      <x:c r="V605" s="55" t="str">
        <x:f>IF(U605="","",U605-TODAY())</x:f>
      </x:c>
      <x:c r="W605" s="55" t="str">
        <x:f>IF(AND(U605&lt;&gt;"",U605&lt;TODAY(),O605="Активен"),"ДА","")</x:f>
      </x:c>
      <x:c r="X605" s="55"/>
      <x:c r="Y605" s="55"/>
      <x:c r="Z605" s="55"/>
      <x:c r="AA605" s="55"/>
      <x:c r="AB605" s="55" t="str">
        <x:f>IF(C605="","", "Напиши " &amp; AA605 &amp; " за бизнес: " &amp; C605 &amp; ". Тип: " &amp; D605 &amp; ". Град: " &amp; E605 &amp; ". Проблем: " &amp; L605 &amp; ". Предложение: " &amp; M605 &amp; ". Етап: " &amp; N605 &amp; ". Бележки: " &amp; Y605)</x:f>
      </x:c>
      <x:c r="AC605" s="55"/>
    </x:row>
    <x:row r="606">
      <x:c r="A606" s="55"/>
      <x:c r="B606" s="55"/>
      <x:c r="C606" s="55"/>
      <x:c r="D606" s="55"/>
      <x:c r="E606" s="55"/>
      <x:c r="F606" s="55"/>
      <x:c r="G606" s="55"/>
      <x:c r="H606" s="55"/>
      <x:c r="I606" s="55"/>
      <x:c r="J606" s="55"/>
      <x:c r="K606" s="55"/>
      <x:c r="L606" s="55"/>
      <x:c r="M606" s="55"/>
      <x:c r="N606" s="55"/>
      <x:c r="O606" s="55"/>
      <x:c r="P606" s="55"/>
      <x:c r="Q606" s="55"/>
      <x:c r="R606" s="55"/>
      <x:c r="S606" s="55" t="str">
        <x:f>IF(C606="","",IFERROR(Q606*R606/100,""))</x:f>
      </x:c>
      <x:c r="T606" s="55"/>
      <x:c r="U606" s="55"/>
      <x:c r="V606" s="55" t="str">
        <x:f>IF(U606="","",U606-TODAY())</x:f>
      </x:c>
      <x:c r="W606" s="55" t="str">
        <x:f>IF(AND(U606&lt;&gt;"",U606&lt;TODAY(),O606="Активен"),"ДА","")</x:f>
      </x:c>
      <x:c r="X606" s="55"/>
      <x:c r="Y606" s="55"/>
      <x:c r="Z606" s="55"/>
      <x:c r="AA606" s="55"/>
      <x:c r="AB606" s="55" t="str">
        <x:f>IF(C606="","", "Напиши " &amp; AA606 &amp; " за бизнес: " &amp; C606 &amp; ". Тип: " &amp; D606 &amp; ". Град: " &amp; E606 &amp; ". Проблем: " &amp; L606 &amp; ". Предложение: " &amp; M606 &amp; ". Етап: " &amp; N606 &amp; ". Бележки: " &amp; Y606)</x:f>
      </x:c>
      <x:c r="AC606" s="55"/>
    </x:row>
    <x:row r="607">
      <x:c r="A607" s="55"/>
      <x:c r="B607" s="55"/>
      <x:c r="C607" s="55"/>
      <x:c r="D607" s="55"/>
      <x:c r="E607" s="55"/>
      <x:c r="F607" s="55"/>
      <x:c r="G607" s="55"/>
      <x:c r="H607" s="55"/>
      <x:c r="I607" s="55"/>
      <x:c r="J607" s="55"/>
      <x:c r="K607" s="55"/>
      <x:c r="L607" s="55"/>
      <x:c r="M607" s="55"/>
      <x:c r="N607" s="55"/>
      <x:c r="O607" s="55"/>
      <x:c r="P607" s="55"/>
      <x:c r="Q607" s="55"/>
      <x:c r="R607" s="55"/>
      <x:c r="S607" s="55" t="str">
        <x:f>IF(C607="","",IFERROR(Q607*R607/100,""))</x:f>
      </x:c>
      <x:c r="T607" s="55"/>
      <x:c r="U607" s="55"/>
      <x:c r="V607" s="55" t="str">
        <x:f>IF(U607="","",U607-TODAY())</x:f>
      </x:c>
      <x:c r="W607" s="55" t="str">
        <x:f>IF(AND(U607&lt;&gt;"",U607&lt;TODAY(),O607="Активен"),"ДА","")</x:f>
      </x:c>
      <x:c r="X607" s="55"/>
      <x:c r="Y607" s="55"/>
      <x:c r="Z607" s="55"/>
      <x:c r="AA607" s="55"/>
      <x:c r="AB607" s="55" t="str">
        <x:f>IF(C607="","", "Напиши " &amp; AA607 &amp; " за бизнес: " &amp; C607 &amp; ". Тип: " &amp; D607 &amp; ". Град: " &amp; E607 &amp; ". Проблем: " &amp; L607 &amp; ". Предложение: " &amp; M607 &amp; ". Етап: " &amp; N607 &amp; ". Бележки: " &amp; Y607)</x:f>
      </x:c>
      <x:c r="AC607" s="55"/>
    </x:row>
    <x:row r="608">
      <x:c r="A608" s="55"/>
      <x:c r="B608" s="55"/>
      <x:c r="C608" s="55"/>
      <x:c r="D608" s="55"/>
      <x:c r="E608" s="55"/>
      <x:c r="F608" s="55"/>
      <x:c r="G608" s="55"/>
      <x:c r="H608" s="55"/>
      <x:c r="I608" s="55"/>
      <x:c r="J608" s="55"/>
      <x:c r="K608" s="55"/>
      <x:c r="L608" s="55"/>
      <x:c r="M608" s="55"/>
      <x:c r="N608" s="55"/>
      <x:c r="O608" s="55"/>
      <x:c r="P608" s="55"/>
      <x:c r="Q608" s="55"/>
      <x:c r="R608" s="55"/>
      <x:c r="S608" s="55" t="str">
        <x:f>IF(C608="","",IFERROR(Q608*R608/100,""))</x:f>
      </x:c>
      <x:c r="T608" s="55"/>
      <x:c r="U608" s="55"/>
      <x:c r="V608" s="55" t="str">
        <x:f>IF(U608="","",U608-TODAY())</x:f>
      </x:c>
      <x:c r="W608" s="55" t="str">
        <x:f>IF(AND(U608&lt;&gt;"",U608&lt;TODAY(),O608="Активен"),"ДА","")</x:f>
      </x:c>
      <x:c r="X608" s="55"/>
      <x:c r="Y608" s="55"/>
      <x:c r="Z608" s="55"/>
      <x:c r="AA608" s="55"/>
      <x:c r="AB608" s="55" t="str">
        <x:f>IF(C608="","", "Напиши " &amp; AA608 &amp; " за бизнес: " &amp; C608 &amp; ". Тип: " &amp; D608 &amp; ". Град: " &amp; E608 &amp; ". Проблем: " &amp; L608 &amp; ". Предложение: " &amp; M608 &amp; ". Етап: " &amp; N608 &amp; ". Бележки: " &amp; Y608)</x:f>
      </x:c>
      <x:c r="AC608" s="55"/>
    </x:row>
    <x:row r="609">
      <x:c r="A609" s="55"/>
      <x:c r="B609" s="55"/>
      <x:c r="C609" s="55"/>
      <x:c r="D609" s="55"/>
      <x:c r="E609" s="55"/>
      <x:c r="F609" s="55"/>
      <x:c r="G609" s="55"/>
      <x:c r="H609" s="55"/>
      <x:c r="I609" s="55"/>
      <x:c r="J609" s="55"/>
      <x:c r="K609" s="55"/>
      <x:c r="L609" s="55"/>
      <x:c r="M609" s="55"/>
      <x:c r="N609" s="55"/>
      <x:c r="O609" s="55"/>
      <x:c r="P609" s="55"/>
      <x:c r="Q609" s="55"/>
      <x:c r="R609" s="55"/>
      <x:c r="S609" s="55" t="str">
        <x:f>IF(C609="","",IFERROR(Q609*R609/100,""))</x:f>
      </x:c>
      <x:c r="T609" s="55"/>
      <x:c r="U609" s="55"/>
      <x:c r="V609" s="55" t="str">
        <x:f>IF(U609="","",U609-TODAY())</x:f>
      </x:c>
      <x:c r="W609" s="55" t="str">
        <x:f>IF(AND(U609&lt;&gt;"",U609&lt;TODAY(),O609="Активен"),"ДА","")</x:f>
      </x:c>
      <x:c r="X609" s="55"/>
      <x:c r="Y609" s="55"/>
      <x:c r="Z609" s="55"/>
      <x:c r="AA609" s="55"/>
      <x:c r="AB609" s="55" t="str">
        <x:f>IF(C609="","", "Напиши " &amp; AA609 &amp; " за бизнес: " &amp; C609 &amp; ". Тип: " &amp; D609 &amp; ". Град: " &amp; E609 &amp; ". Проблем: " &amp; L609 &amp; ". Предложение: " &amp; M609 &amp; ". Етап: " &amp; N609 &amp; ". Бележки: " &amp; Y609)</x:f>
      </x:c>
      <x:c r="AC609" s="55"/>
    </x:row>
    <x:row r="610">
      <x:c r="A610" s="55"/>
      <x:c r="B610" s="55"/>
      <x:c r="C610" s="55"/>
      <x:c r="D610" s="55"/>
      <x:c r="E610" s="55"/>
      <x:c r="F610" s="55"/>
      <x:c r="G610" s="55"/>
      <x:c r="H610" s="55"/>
      <x:c r="I610" s="55"/>
      <x:c r="J610" s="55"/>
      <x:c r="K610" s="55"/>
      <x:c r="L610" s="55"/>
      <x:c r="M610" s="55"/>
      <x:c r="N610" s="55"/>
      <x:c r="O610" s="55"/>
      <x:c r="P610" s="55"/>
      <x:c r="Q610" s="55"/>
      <x:c r="R610" s="55"/>
      <x:c r="S610" s="55" t="str">
        <x:f>IF(C610="","",IFERROR(Q610*R610/100,""))</x:f>
      </x:c>
      <x:c r="T610" s="55"/>
      <x:c r="U610" s="55"/>
      <x:c r="V610" s="55" t="str">
        <x:f>IF(U610="","",U610-TODAY())</x:f>
      </x:c>
      <x:c r="W610" s="55" t="str">
        <x:f>IF(AND(U610&lt;&gt;"",U610&lt;TODAY(),O610="Активен"),"ДА","")</x:f>
      </x:c>
      <x:c r="X610" s="55"/>
      <x:c r="Y610" s="55"/>
      <x:c r="Z610" s="55"/>
      <x:c r="AA610" s="55"/>
      <x:c r="AB610" s="55" t="str">
        <x:f>IF(C610="","", "Напиши " &amp; AA610 &amp; " за бизнес: " &amp; C610 &amp; ". Тип: " &amp; D610 &amp; ". Град: " &amp; E610 &amp; ". Проблем: " &amp; L610 &amp; ". Предложение: " &amp; M610 &amp; ". Етап: " &amp; N610 &amp; ". Бележки: " &amp; Y610)</x:f>
      </x:c>
      <x:c r="AC610" s="55"/>
    </x:row>
    <x:row r="611">
      <x:c r="A611" s="55"/>
      <x:c r="B611" s="55"/>
      <x:c r="C611" s="55"/>
      <x:c r="D611" s="55"/>
      <x:c r="E611" s="55"/>
      <x:c r="F611" s="55"/>
      <x:c r="G611" s="55"/>
      <x:c r="H611" s="55"/>
      <x:c r="I611" s="55"/>
      <x:c r="J611" s="55"/>
      <x:c r="K611" s="55"/>
      <x:c r="L611" s="55"/>
      <x:c r="M611" s="55"/>
      <x:c r="N611" s="55"/>
      <x:c r="O611" s="55"/>
      <x:c r="P611" s="55"/>
      <x:c r="Q611" s="55"/>
      <x:c r="R611" s="55"/>
      <x:c r="S611" s="55" t="str">
        <x:f>IF(C611="","",IFERROR(Q611*R611/100,""))</x:f>
      </x:c>
      <x:c r="T611" s="55"/>
      <x:c r="U611" s="55"/>
      <x:c r="V611" s="55" t="str">
        <x:f>IF(U611="","",U611-TODAY())</x:f>
      </x:c>
      <x:c r="W611" s="55" t="str">
        <x:f>IF(AND(U611&lt;&gt;"",U611&lt;TODAY(),O611="Активен"),"ДА","")</x:f>
      </x:c>
      <x:c r="X611" s="55"/>
      <x:c r="Y611" s="55"/>
      <x:c r="Z611" s="55"/>
      <x:c r="AA611" s="55"/>
      <x:c r="AB611" s="55" t="str">
        <x:f>IF(C611="","", "Напиши " &amp; AA611 &amp; " за бизнес: " &amp; C611 &amp; ". Тип: " &amp; D611 &amp; ". Град: " &amp; E611 &amp; ". Проблем: " &amp; L611 &amp; ". Предложение: " &amp; M611 &amp; ". Етап: " &amp; N611 &amp; ". Бележки: " &amp; Y611)</x:f>
      </x:c>
      <x:c r="AC611" s="55"/>
    </x:row>
    <x:row r="612">
      <x:c r="A612" s="55"/>
      <x:c r="B612" s="55"/>
      <x:c r="C612" s="55"/>
      <x:c r="D612" s="55"/>
      <x:c r="E612" s="55"/>
      <x:c r="F612" s="55"/>
      <x:c r="G612" s="55"/>
      <x:c r="H612" s="55"/>
      <x:c r="I612" s="55"/>
      <x:c r="J612" s="55"/>
      <x:c r="K612" s="55"/>
      <x:c r="L612" s="55"/>
      <x:c r="M612" s="55"/>
      <x:c r="N612" s="55"/>
      <x:c r="O612" s="55"/>
      <x:c r="P612" s="55"/>
      <x:c r="Q612" s="55"/>
      <x:c r="R612" s="55"/>
      <x:c r="S612" s="55" t="str">
        <x:f>IF(C612="","",IFERROR(Q612*R612/100,""))</x:f>
      </x:c>
      <x:c r="T612" s="55"/>
      <x:c r="U612" s="55"/>
      <x:c r="V612" s="55" t="str">
        <x:f>IF(U612="","",U612-TODAY())</x:f>
      </x:c>
      <x:c r="W612" s="55" t="str">
        <x:f>IF(AND(U612&lt;&gt;"",U612&lt;TODAY(),O612="Активен"),"ДА","")</x:f>
      </x:c>
      <x:c r="X612" s="55"/>
      <x:c r="Y612" s="55"/>
      <x:c r="Z612" s="55"/>
      <x:c r="AA612" s="55"/>
      <x:c r="AB612" s="55" t="str">
        <x:f>IF(C612="","", "Напиши " &amp; AA612 &amp; " за бизнес: " &amp; C612 &amp; ". Тип: " &amp; D612 &amp; ". Град: " &amp; E612 &amp; ". Проблем: " &amp; L612 &amp; ". Предложение: " &amp; M612 &amp; ". Етап: " &amp; N612 &amp; ". Бележки: " &amp; Y612)</x:f>
      </x:c>
      <x:c r="AC612" s="55"/>
    </x:row>
    <x:row r="613">
      <x:c r="A613" s="55"/>
      <x:c r="B613" s="55"/>
      <x:c r="C613" s="55"/>
      <x:c r="D613" s="55"/>
      <x:c r="E613" s="55"/>
      <x:c r="F613" s="55"/>
      <x:c r="G613" s="55"/>
      <x:c r="H613" s="55"/>
      <x:c r="I613" s="55"/>
      <x:c r="J613" s="55"/>
      <x:c r="K613" s="55"/>
      <x:c r="L613" s="55"/>
      <x:c r="M613" s="55"/>
      <x:c r="N613" s="55"/>
      <x:c r="O613" s="55"/>
      <x:c r="P613" s="55"/>
      <x:c r="Q613" s="55"/>
      <x:c r="R613" s="55"/>
      <x:c r="S613" s="55" t="str">
        <x:f>IF(C613="","",IFERROR(Q613*R613/100,""))</x:f>
      </x:c>
      <x:c r="T613" s="55"/>
      <x:c r="U613" s="55"/>
      <x:c r="V613" s="55" t="str">
        <x:f>IF(U613="","",U613-TODAY())</x:f>
      </x:c>
      <x:c r="W613" s="55" t="str">
        <x:f>IF(AND(U613&lt;&gt;"",U613&lt;TODAY(),O613="Активен"),"ДА","")</x:f>
      </x:c>
      <x:c r="X613" s="55"/>
      <x:c r="Y613" s="55"/>
      <x:c r="Z613" s="55"/>
      <x:c r="AA613" s="55"/>
      <x:c r="AB613" s="55" t="str">
        <x:f>IF(C613="","", "Напиши " &amp; AA613 &amp; " за бизнес: " &amp; C613 &amp; ". Тип: " &amp; D613 &amp; ". Град: " &amp; E613 &amp; ". Проблем: " &amp; L613 &amp; ". Предложение: " &amp; M613 &amp; ". Етап: " &amp; N613 &amp; ". Бележки: " &amp; Y613)</x:f>
      </x:c>
      <x:c r="AC613" s="55"/>
    </x:row>
    <x:row r="614">
      <x:c r="A614" s="55"/>
      <x:c r="B614" s="55"/>
      <x:c r="C614" s="55"/>
      <x:c r="D614" s="55"/>
      <x:c r="E614" s="55"/>
      <x:c r="F614" s="55"/>
      <x:c r="G614" s="55"/>
      <x:c r="H614" s="55"/>
      <x:c r="I614" s="55"/>
      <x:c r="J614" s="55"/>
      <x:c r="K614" s="55"/>
      <x:c r="L614" s="55"/>
      <x:c r="M614" s="55"/>
      <x:c r="N614" s="55"/>
      <x:c r="O614" s="55"/>
      <x:c r="P614" s="55"/>
      <x:c r="Q614" s="55"/>
      <x:c r="R614" s="55"/>
      <x:c r="S614" s="55" t="str">
        <x:f>IF(C614="","",IFERROR(Q614*R614/100,""))</x:f>
      </x:c>
      <x:c r="T614" s="55"/>
      <x:c r="U614" s="55"/>
      <x:c r="V614" s="55" t="str">
        <x:f>IF(U614="","",U614-TODAY())</x:f>
      </x:c>
      <x:c r="W614" s="55" t="str">
        <x:f>IF(AND(U614&lt;&gt;"",U614&lt;TODAY(),O614="Активен"),"ДА","")</x:f>
      </x:c>
      <x:c r="X614" s="55"/>
      <x:c r="Y614" s="55"/>
      <x:c r="Z614" s="55"/>
      <x:c r="AA614" s="55"/>
      <x:c r="AB614" s="55" t="str">
        <x:f>IF(C614="","", "Напиши " &amp; AA614 &amp; " за бизнес: " &amp; C614 &amp; ". Тип: " &amp; D614 &amp; ". Град: " &amp; E614 &amp; ". Проблем: " &amp; L614 &amp; ". Предложение: " &amp; M614 &amp; ". Етап: " &amp; N614 &amp; ". Бележки: " &amp; Y614)</x:f>
      </x:c>
      <x:c r="AC614" s="55"/>
    </x:row>
    <x:row r="615">
      <x:c r="A615" s="55"/>
      <x:c r="B615" s="55"/>
      <x:c r="C615" s="55"/>
      <x:c r="D615" s="55"/>
      <x:c r="E615" s="55"/>
      <x:c r="F615" s="55"/>
      <x:c r="G615" s="55"/>
      <x:c r="H615" s="55"/>
      <x:c r="I615" s="55"/>
      <x:c r="J615" s="55"/>
      <x:c r="K615" s="55"/>
      <x:c r="L615" s="55"/>
      <x:c r="M615" s="55"/>
      <x:c r="N615" s="55"/>
      <x:c r="O615" s="55"/>
      <x:c r="P615" s="55"/>
      <x:c r="Q615" s="55"/>
      <x:c r="R615" s="55"/>
      <x:c r="S615" s="55" t="str">
        <x:f>IF(C615="","",IFERROR(Q615*R615/100,""))</x:f>
      </x:c>
      <x:c r="T615" s="55"/>
      <x:c r="U615" s="55"/>
      <x:c r="V615" s="55" t="str">
        <x:f>IF(U615="","",U615-TODAY())</x:f>
      </x:c>
      <x:c r="W615" s="55" t="str">
        <x:f>IF(AND(U615&lt;&gt;"",U615&lt;TODAY(),O615="Активен"),"ДА","")</x:f>
      </x:c>
      <x:c r="X615" s="55"/>
      <x:c r="Y615" s="55"/>
      <x:c r="Z615" s="55"/>
      <x:c r="AA615" s="55"/>
      <x:c r="AB615" s="55" t="str">
        <x:f>IF(C615="","", "Напиши " &amp; AA615 &amp; " за бизнес: " &amp; C615 &amp; ". Тип: " &amp; D615 &amp; ". Град: " &amp; E615 &amp; ". Проблем: " &amp; L615 &amp; ". Предложение: " &amp; M615 &amp; ". Етап: " &amp; N615 &amp; ". Бележки: " &amp; Y615)</x:f>
      </x:c>
      <x:c r="AC615" s="55"/>
    </x:row>
    <x:row r="616">
      <x:c r="A616" s="55"/>
      <x:c r="B616" s="55"/>
      <x:c r="C616" s="55"/>
      <x:c r="D616" s="55"/>
      <x:c r="E616" s="55"/>
      <x:c r="F616" s="55"/>
      <x:c r="G616" s="55"/>
      <x:c r="H616" s="55"/>
      <x:c r="I616" s="55"/>
      <x:c r="J616" s="55"/>
      <x:c r="K616" s="55"/>
      <x:c r="L616" s="55"/>
      <x:c r="M616" s="55"/>
      <x:c r="N616" s="55"/>
      <x:c r="O616" s="55"/>
      <x:c r="P616" s="55"/>
      <x:c r="Q616" s="55"/>
      <x:c r="R616" s="55"/>
      <x:c r="S616" s="55" t="str">
        <x:f>IF(C616="","",IFERROR(Q616*R616/100,""))</x:f>
      </x:c>
      <x:c r="T616" s="55"/>
      <x:c r="U616" s="55"/>
      <x:c r="V616" s="55" t="str">
        <x:f>IF(U616="","",U616-TODAY())</x:f>
      </x:c>
      <x:c r="W616" s="55" t="str">
        <x:f>IF(AND(U616&lt;&gt;"",U616&lt;TODAY(),O616="Активен"),"ДА","")</x:f>
      </x:c>
      <x:c r="X616" s="55"/>
      <x:c r="Y616" s="55"/>
      <x:c r="Z616" s="55"/>
      <x:c r="AA616" s="55"/>
      <x:c r="AB616" s="55" t="str">
        <x:f>IF(C616="","", "Напиши " &amp; AA616 &amp; " за бизнес: " &amp; C616 &amp; ". Тип: " &amp; D616 &amp; ". Град: " &amp; E616 &amp; ". Проблем: " &amp; L616 &amp; ". Предложение: " &amp; M616 &amp; ". Етап: " &amp; N616 &amp; ". Бележки: " &amp; Y616)</x:f>
      </x:c>
      <x:c r="AC616" s="55"/>
    </x:row>
    <x:row r="617">
      <x:c r="A617" s="55"/>
      <x:c r="B617" s="55"/>
      <x:c r="C617" s="55"/>
      <x:c r="D617" s="55"/>
      <x:c r="E617" s="55"/>
      <x:c r="F617" s="55"/>
      <x:c r="G617" s="55"/>
      <x:c r="H617" s="55"/>
      <x:c r="I617" s="55"/>
      <x:c r="J617" s="55"/>
      <x:c r="K617" s="55"/>
      <x:c r="L617" s="55"/>
      <x:c r="M617" s="55"/>
      <x:c r="N617" s="55"/>
      <x:c r="O617" s="55"/>
      <x:c r="P617" s="55"/>
      <x:c r="Q617" s="55"/>
      <x:c r="R617" s="55"/>
      <x:c r="S617" s="55" t="str">
        <x:f>IF(C617="","",IFERROR(Q617*R617/100,""))</x:f>
      </x:c>
      <x:c r="T617" s="55"/>
      <x:c r="U617" s="55"/>
      <x:c r="V617" s="55" t="str">
        <x:f>IF(U617="","",U617-TODAY())</x:f>
      </x:c>
      <x:c r="W617" s="55" t="str">
        <x:f>IF(AND(U617&lt;&gt;"",U617&lt;TODAY(),O617="Активен"),"ДА","")</x:f>
      </x:c>
      <x:c r="X617" s="55"/>
      <x:c r="Y617" s="55"/>
      <x:c r="Z617" s="55"/>
      <x:c r="AA617" s="55"/>
      <x:c r="AB617" s="55" t="str">
        <x:f>IF(C617="","", "Напиши " &amp; AA617 &amp; " за бизнес: " &amp; C617 &amp; ". Тип: " &amp; D617 &amp; ". Град: " &amp; E617 &amp; ". Проблем: " &amp; L617 &amp; ". Предложение: " &amp; M617 &amp; ". Етап: " &amp; N617 &amp; ". Бележки: " &amp; Y617)</x:f>
      </x:c>
      <x:c r="AC617" s="55"/>
    </x:row>
    <x:row r="618">
      <x:c r="A618" s="55"/>
      <x:c r="B618" s="55"/>
      <x:c r="C618" s="55"/>
      <x:c r="D618" s="55"/>
      <x:c r="E618" s="55"/>
      <x:c r="F618" s="55"/>
      <x:c r="G618" s="55"/>
      <x:c r="H618" s="55"/>
      <x:c r="I618" s="55"/>
      <x:c r="J618" s="55"/>
      <x:c r="K618" s="55"/>
      <x:c r="L618" s="55"/>
      <x:c r="M618" s="55"/>
      <x:c r="N618" s="55"/>
      <x:c r="O618" s="55"/>
      <x:c r="P618" s="55"/>
      <x:c r="Q618" s="55"/>
      <x:c r="R618" s="55"/>
      <x:c r="S618" s="55" t="str">
        <x:f>IF(C618="","",IFERROR(Q618*R618/100,""))</x:f>
      </x:c>
      <x:c r="T618" s="55"/>
      <x:c r="U618" s="55"/>
      <x:c r="V618" s="55" t="str">
        <x:f>IF(U618="","",U618-TODAY())</x:f>
      </x:c>
      <x:c r="W618" s="55" t="str">
        <x:f>IF(AND(U618&lt;&gt;"",U618&lt;TODAY(),O618="Активен"),"ДА","")</x:f>
      </x:c>
      <x:c r="X618" s="55"/>
      <x:c r="Y618" s="55"/>
      <x:c r="Z618" s="55"/>
      <x:c r="AA618" s="55"/>
      <x:c r="AB618" s="55" t="str">
        <x:f>IF(C618="","", "Напиши " &amp; AA618 &amp; " за бизнес: " &amp; C618 &amp; ". Тип: " &amp; D618 &amp; ". Град: " &amp; E618 &amp; ". Проблем: " &amp; L618 &amp; ". Предложение: " &amp; M618 &amp; ". Етап: " &amp; N618 &amp; ". Бележки: " &amp; Y618)</x:f>
      </x:c>
      <x:c r="AC618" s="55"/>
    </x:row>
    <x:row r="619">
      <x:c r="A619" s="55"/>
      <x:c r="B619" s="55"/>
      <x:c r="C619" s="55"/>
      <x:c r="D619" s="55"/>
      <x:c r="E619" s="55"/>
      <x:c r="F619" s="55"/>
      <x:c r="G619" s="55"/>
      <x:c r="H619" s="55"/>
      <x:c r="I619" s="55"/>
      <x:c r="J619" s="55"/>
      <x:c r="K619" s="55"/>
      <x:c r="L619" s="55"/>
      <x:c r="M619" s="55"/>
      <x:c r="N619" s="55"/>
      <x:c r="O619" s="55"/>
      <x:c r="P619" s="55"/>
      <x:c r="Q619" s="55"/>
      <x:c r="R619" s="55"/>
      <x:c r="S619" s="55" t="str">
        <x:f>IF(C619="","",IFERROR(Q619*R619/100,""))</x:f>
      </x:c>
      <x:c r="T619" s="55"/>
      <x:c r="U619" s="55"/>
      <x:c r="V619" s="55" t="str">
        <x:f>IF(U619="","",U619-TODAY())</x:f>
      </x:c>
      <x:c r="W619" s="55" t="str">
        <x:f>IF(AND(U619&lt;&gt;"",U619&lt;TODAY(),O619="Активен"),"ДА","")</x:f>
      </x:c>
      <x:c r="X619" s="55"/>
      <x:c r="Y619" s="55"/>
      <x:c r="Z619" s="55"/>
      <x:c r="AA619" s="55"/>
      <x:c r="AB619" s="55" t="str">
        <x:f>IF(C619="","", "Напиши " &amp; AA619 &amp; " за бизнес: " &amp; C619 &amp; ". Тип: " &amp; D619 &amp; ". Град: " &amp; E619 &amp; ". Проблем: " &amp; L619 &amp; ". Предложение: " &amp; M619 &amp; ". Етап: " &amp; N619 &amp; ". Бележки: " &amp; Y619)</x:f>
      </x:c>
      <x:c r="AC619" s="55"/>
    </x:row>
    <x:row r="620">
      <x:c r="A620" s="55"/>
      <x:c r="B620" s="55"/>
      <x:c r="C620" s="55"/>
      <x:c r="D620" s="55"/>
      <x:c r="E620" s="55"/>
      <x:c r="F620" s="55"/>
      <x:c r="G620" s="55"/>
      <x:c r="H620" s="55"/>
      <x:c r="I620" s="55"/>
      <x:c r="J620" s="55"/>
      <x:c r="K620" s="55"/>
      <x:c r="L620" s="55"/>
      <x:c r="M620" s="55"/>
      <x:c r="N620" s="55"/>
      <x:c r="O620" s="55"/>
      <x:c r="P620" s="55"/>
      <x:c r="Q620" s="55"/>
      <x:c r="R620" s="55"/>
      <x:c r="S620" s="55" t="str">
        <x:f>IF(C620="","",IFERROR(Q620*R620/100,""))</x:f>
      </x:c>
      <x:c r="T620" s="55"/>
      <x:c r="U620" s="55"/>
      <x:c r="V620" s="55" t="str">
        <x:f>IF(U620="","",U620-TODAY())</x:f>
      </x:c>
      <x:c r="W620" s="55" t="str">
        <x:f>IF(AND(U620&lt;&gt;"",U620&lt;TODAY(),O620="Активен"),"ДА","")</x:f>
      </x:c>
      <x:c r="X620" s="55"/>
      <x:c r="Y620" s="55"/>
      <x:c r="Z620" s="55"/>
      <x:c r="AA620" s="55"/>
      <x:c r="AB620" s="55" t="str">
        <x:f>IF(C620="","", "Напиши " &amp; AA620 &amp; " за бизнес: " &amp; C620 &amp; ". Тип: " &amp; D620 &amp; ". Град: " &amp; E620 &amp; ". Проблем: " &amp; L620 &amp; ". Предложение: " &amp; M620 &amp; ". Етап: " &amp; N620 &amp; ". Бележки: " &amp; Y620)</x:f>
      </x:c>
      <x:c r="AC620" s="55"/>
    </x:row>
    <x:row r="621">
      <x:c r="A621" s="55"/>
      <x:c r="B621" s="55"/>
      <x:c r="C621" s="55"/>
      <x:c r="D621" s="55"/>
      <x:c r="E621" s="55"/>
      <x:c r="F621" s="55"/>
      <x:c r="G621" s="55"/>
      <x:c r="H621" s="55"/>
      <x:c r="I621" s="55"/>
      <x:c r="J621" s="55"/>
      <x:c r="K621" s="55"/>
      <x:c r="L621" s="55"/>
      <x:c r="M621" s="55"/>
      <x:c r="N621" s="55"/>
      <x:c r="O621" s="55"/>
      <x:c r="P621" s="55"/>
      <x:c r="Q621" s="55"/>
      <x:c r="R621" s="55"/>
      <x:c r="S621" s="55" t="str">
        <x:f>IF(C621="","",IFERROR(Q621*R621/100,""))</x:f>
      </x:c>
      <x:c r="T621" s="55"/>
      <x:c r="U621" s="55"/>
      <x:c r="V621" s="55" t="str">
        <x:f>IF(U621="","",U621-TODAY())</x:f>
      </x:c>
      <x:c r="W621" s="55" t="str">
        <x:f>IF(AND(U621&lt;&gt;"",U621&lt;TODAY(),O621="Активен"),"ДА","")</x:f>
      </x:c>
      <x:c r="X621" s="55"/>
      <x:c r="Y621" s="55"/>
      <x:c r="Z621" s="55"/>
      <x:c r="AA621" s="55"/>
      <x:c r="AB621" s="55" t="str">
        <x:f>IF(C621="","", "Напиши " &amp; AA621 &amp; " за бизнес: " &amp; C621 &amp; ". Тип: " &amp; D621 &amp; ". Град: " &amp; E621 &amp; ". Проблем: " &amp; L621 &amp; ". Предложение: " &amp; M621 &amp; ". Етап: " &amp; N621 &amp; ". Бележки: " &amp; Y621)</x:f>
      </x:c>
      <x:c r="AC621" s="55"/>
    </x:row>
    <x:row r="622">
      <x:c r="A622" s="55"/>
      <x:c r="B622" s="55"/>
      <x:c r="C622" s="55"/>
      <x:c r="D622" s="55"/>
      <x:c r="E622" s="55"/>
      <x:c r="F622" s="55"/>
      <x:c r="G622" s="55"/>
      <x:c r="H622" s="55"/>
      <x:c r="I622" s="55"/>
      <x:c r="J622" s="55"/>
      <x:c r="K622" s="55"/>
      <x:c r="L622" s="55"/>
      <x:c r="M622" s="55"/>
      <x:c r="N622" s="55"/>
      <x:c r="O622" s="55"/>
      <x:c r="P622" s="55"/>
      <x:c r="Q622" s="55"/>
      <x:c r="R622" s="55"/>
      <x:c r="S622" s="55" t="str">
        <x:f>IF(C622="","",IFERROR(Q622*R622/100,""))</x:f>
      </x:c>
      <x:c r="T622" s="55"/>
      <x:c r="U622" s="55"/>
      <x:c r="V622" s="55" t="str">
        <x:f>IF(U622="","",U622-TODAY())</x:f>
      </x:c>
      <x:c r="W622" s="55" t="str">
        <x:f>IF(AND(U622&lt;&gt;"",U622&lt;TODAY(),O622="Активен"),"ДА","")</x:f>
      </x:c>
      <x:c r="X622" s="55"/>
      <x:c r="Y622" s="55"/>
      <x:c r="Z622" s="55"/>
      <x:c r="AA622" s="55"/>
      <x:c r="AB622" s="55" t="str">
        <x:f>IF(C622="","", "Напиши " &amp; AA622 &amp; " за бизнес: " &amp; C622 &amp; ". Тип: " &amp; D622 &amp; ". Град: " &amp; E622 &amp; ". Проблем: " &amp; L622 &amp; ". Предложение: " &amp; M622 &amp; ". Етап: " &amp; N622 &amp; ". Бележки: " &amp; Y622)</x:f>
      </x:c>
      <x:c r="AC622" s="55"/>
    </x:row>
    <x:row r="623">
      <x:c r="A623" s="55"/>
      <x:c r="B623" s="55"/>
      <x:c r="C623" s="55"/>
      <x:c r="D623" s="55"/>
      <x:c r="E623" s="55"/>
      <x:c r="F623" s="55"/>
      <x:c r="G623" s="55"/>
      <x:c r="H623" s="55"/>
      <x:c r="I623" s="55"/>
      <x:c r="J623" s="55"/>
      <x:c r="K623" s="55"/>
      <x:c r="L623" s="55"/>
      <x:c r="M623" s="55"/>
      <x:c r="N623" s="55"/>
      <x:c r="O623" s="55"/>
      <x:c r="P623" s="55"/>
      <x:c r="Q623" s="55"/>
      <x:c r="R623" s="55"/>
      <x:c r="S623" s="55" t="str">
        <x:f>IF(C623="","",IFERROR(Q623*R623/100,""))</x:f>
      </x:c>
      <x:c r="T623" s="55"/>
      <x:c r="U623" s="55"/>
      <x:c r="V623" s="55" t="str">
        <x:f>IF(U623="","",U623-TODAY())</x:f>
      </x:c>
      <x:c r="W623" s="55" t="str">
        <x:f>IF(AND(U623&lt;&gt;"",U623&lt;TODAY(),O623="Активен"),"ДА","")</x:f>
      </x:c>
      <x:c r="X623" s="55"/>
      <x:c r="Y623" s="55"/>
      <x:c r="Z623" s="55"/>
      <x:c r="AA623" s="55"/>
      <x:c r="AB623" s="55" t="str">
        <x:f>IF(C623="","", "Напиши " &amp; AA623 &amp; " за бизнес: " &amp; C623 &amp; ". Тип: " &amp; D623 &amp; ". Град: " &amp; E623 &amp; ". Проблем: " &amp; L623 &amp; ". Предложение: " &amp; M623 &amp; ". Етап: " &amp; N623 &amp; ". Бележки: " &amp; Y623)</x:f>
      </x:c>
      <x:c r="AC623" s="55"/>
    </x:row>
    <x:row r="624">
      <x:c r="A624" s="55"/>
      <x:c r="B624" s="55"/>
      <x:c r="C624" s="55"/>
      <x:c r="D624" s="55"/>
      <x:c r="E624" s="55"/>
      <x:c r="F624" s="55"/>
      <x:c r="G624" s="55"/>
      <x:c r="H624" s="55"/>
      <x:c r="I624" s="55"/>
      <x:c r="J624" s="55"/>
      <x:c r="K624" s="55"/>
      <x:c r="L624" s="55"/>
      <x:c r="M624" s="55"/>
      <x:c r="N624" s="55"/>
      <x:c r="O624" s="55"/>
      <x:c r="P624" s="55"/>
      <x:c r="Q624" s="55"/>
      <x:c r="R624" s="55"/>
      <x:c r="S624" s="55" t="str">
        <x:f>IF(C624="","",IFERROR(Q624*R624/100,""))</x:f>
      </x:c>
      <x:c r="T624" s="55"/>
      <x:c r="U624" s="55"/>
      <x:c r="V624" s="55" t="str">
        <x:f>IF(U624="","",U624-TODAY())</x:f>
      </x:c>
      <x:c r="W624" s="55" t="str">
        <x:f>IF(AND(U624&lt;&gt;"",U624&lt;TODAY(),O624="Активен"),"ДА","")</x:f>
      </x:c>
      <x:c r="X624" s="55"/>
      <x:c r="Y624" s="55"/>
      <x:c r="Z624" s="55"/>
      <x:c r="AA624" s="55"/>
      <x:c r="AB624" s="55" t="str">
        <x:f>IF(C624="","", "Напиши " &amp; AA624 &amp; " за бизнес: " &amp; C624 &amp; ". Тип: " &amp; D624 &amp; ". Град: " &amp; E624 &amp; ". Проблем: " &amp; L624 &amp; ". Предложение: " &amp; M624 &amp; ". Етап: " &amp; N624 &amp; ". Бележки: " &amp; Y624)</x:f>
      </x:c>
      <x:c r="AC624" s="55"/>
    </x:row>
    <x:row r="625">
      <x:c r="A625" s="55"/>
      <x:c r="B625" s="55"/>
      <x:c r="C625" s="55"/>
      <x:c r="D625" s="55"/>
      <x:c r="E625" s="55"/>
      <x:c r="F625" s="55"/>
      <x:c r="G625" s="55"/>
      <x:c r="H625" s="55"/>
      <x:c r="I625" s="55"/>
      <x:c r="J625" s="55"/>
      <x:c r="K625" s="55"/>
      <x:c r="L625" s="55"/>
      <x:c r="M625" s="55"/>
      <x:c r="N625" s="55"/>
      <x:c r="O625" s="55"/>
      <x:c r="P625" s="55"/>
      <x:c r="Q625" s="55"/>
      <x:c r="R625" s="55"/>
      <x:c r="S625" s="55" t="str">
        <x:f>IF(C625="","",IFERROR(Q625*R625/100,""))</x:f>
      </x:c>
      <x:c r="T625" s="55"/>
      <x:c r="U625" s="55"/>
      <x:c r="V625" s="55" t="str">
        <x:f>IF(U625="","",U625-TODAY())</x:f>
      </x:c>
      <x:c r="W625" s="55" t="str">
        <x:f>IF(AND(U625&lt;&gt;"",U625&lt;TODAY(),O625="Активен"),"ДА","")</x:f>
      </x:c>
      <x:c r="X625" s="55"/>
      <x:c r="Y625" s="55"/>
      <x:c r="Z625" s="55"/>
      <x:c r="AA625" s="55"/>
      <x:c r="AB625" s="55" t="str">
        <x:f>IF(C625="","", "Напиши " &amp; AA625 &amp; " за бизнес: " &amp; C625 &amp; ". Тип: " &amp; D625 &amp; ". Град: " &amp; E625 &amp; ". Проблем: " &amp; L625 &amp; ". Предложение: " &amp; M625 &amp; ". Етап: " &amp; N625 &amp; ". Бележки: " &amp; Y625)</x:f>
      </x:c>
      <x:c r="AC625" s="55"/>
    </x:row>
    <x:row r="626">
      <x:c r="A626" s="55"/>
      <x:c r="B626" s="55"/>
      <x:c r="C626" s="55"/>
      <x:c r="D626" s="55"/>
      <x:c r="E626" s="55"/>
      <x:c r="F626" s="55"/>
      <x:c r="G626" s="55"/>
      <x:c r="H626" s="55"/>
      <x:c r="I626" s="55"/>
      <x:c r="J626" s="55"/>
      <x:c r="K626" s="55"/>
      <x:c r="L626" s="55"/>
      <x:c r="M626" s="55"/>
      <x:c r="N626" s="55"/>
      <x:c r="O626" s="55"/>
      <x:c r="P626" s="55"/>
      <x:c r="Q626" s="55"/>
      <x:c r="R626" s="55"/>
      <x:c r="S626" s="55" t="str">
        <x:f>IF(C626="","",IFERROR(Q626*R626/100,""))</x:f>
      </x:c>
      <x:c r="T626" s="55"/>
      <x:c r="U626" s="55"/>
      <x:c r="V626" s="55" t="str">
        <x:f>IF(U626="","",U626-TODAY())</x:f>
      </x:c>
      <x:c r="W626" s="55" t="str">
        <x:f>IF(AND(U626&lt;&gt;"",U626&lt;TODAY(),O626="Активен"),"ДА","")</x:f>
      </x:c>
      <x:c r="X626" s="55"/>
      <x:c r="Y626" s="55"/>
      <x:c r="Z626" s="55"/>
      <x:c r="AA626" s="55"/>
      <x:c r="AB626" s="55" t="str">
        <x:f>IF(C626="","", "Напиши " &amp; AA626 &amp; " за бизнес: " &amp; C626 &amp; ". Тип: " &amp; D626 &amp; ". Град: " &amp; E626 &amp; ". Проблем: " &amp; L626 &amp; ". Предложение: " &amp; M626 &amp; ". Етап: " &amp; N626 &amp; ". Бележки: " &amp; Y626)</x:f>
      </x:c>
      <x:c r="AC626" s="55"/>
    </x:row>
    <x:row r="627">
      <x:c r="A627" s="55"/>
      <x:c r="B627" s="55"/>
      <x:c r="C627" s="55"/>
      <x:c r="D627" s="55"/>
      <x:c r="E627" s="55"/>
      <x:c r="F627" s="55"/>
      <x:c r="G627" s="55"/>
      <x:c r="H627" s="55"/>
      <x:c r="I627" s="55"/>
      <x:c r="J627" s="55"/>
      <x:c r="K627" s="55"/>
      <x:c r="L627" s="55"/>
      <x:c r="M627" s="55"/>
      <x:c r="N627" s="55"/>
      <x:c r="O627" s="55"/>
      <x:c r="P627" s="55"/>
      <x:c r="Q627" s="55"/>
      <x:c r="R627" s="55"/>
      <x:c r="S627" s="55" t="str">
        <x:f>IF(C627="","",IFERROR(Q627*R627/100,""))</x:f>
      </x:c>
      <x:c r="T627" s="55"/>
      <x:c r="U627" s="55"/>
      <x:c r="V627" s="55" t="str">
        <x:f>IF(U627="","",U627-TODAY())</x:f>
      </x:c>
      <x:c r="W627" s="55" t="str">
        <x:f>IF(AND(U627&lt;&gt;"",U627&lt;TODAY(),O627="Активен"),"ДА","")</x:f>
      </x:c>
      <x:c r="X627" s="55"/>
      <x:c r="Y627" s="55"/>
      <x:c r="Z627" s="55"/>
      <x:c r="AA627" s="55"/>
      <x:c r="AB627" s="55" t="str">
        <x:f>IF(C627="","", "Напиши " &amp; AA627 &amp; " за бизнес: " &amp; C627 &amp; ". Тип: " &amp; D627 &amp; ". Град: " &amp; E627 &amp; ". Проблем: " &amp; L627 &amp; ". Предложение: " &amp; M627 &amp; ". Етап: " &amp; N627 &amp; ". Бележки: " &amp; Y627)</x:f>
      </x:c>
      <x:c r="AC627" s="55"/>
    </x:row>
    <x:row r="628">
      <x:c r="A628" s="55"/>
      <x:c r="B628" s="55"/>
      <x:c r="C628" s="55"/>
      <x:c r="D628" s="55"/>
      <x:c r="E628" s="55"/>
      <x:c r="F628" s="55"/>
      <x:c r="G628" s="55"/>
      <x:c r="H628" s="55"/>
      <x:c r="I628" s="55"/>
      <x:c r="J628" s="55"/>
      <x:c r="K628" s="55"/>
      <x:c r="L628" s="55"/>
      <x:c r="M628" s="55"/>
      <x:c r="N628" s="55"/>
      <x:c r="O628" s="55"/>
      <x:c r="P628" s="55"/>
      <x:c r="Q628" s="55"/>
      <x:c r="R628" s="55"/>
      <x:c r="S628" s="55" t="str">
        <x:f>IF(C628="","",IFERROR(Q628*R628/100,""))</x:f>
      </x:c>
      <x:c r="T628" s="55"/>
      <x:c r="U628" s="55"/>
      <x:c r="V628" s="55" t="str">
        <x:f>IF(U628="","",U628-TODAY())</x:f>
      </x:c>
      <x:c r="W628" s="55" t="str">
        <x:f>IF(AND(U628&lt;&gt;"",U628&lt;TODAY(),O628="Активен"),"ДА","")</x:f>
      </x:c>
      <x:c r="X628" s="55"/>
      <x:c r="Y628" s="55"/>
      <x:c r="Z628" s="55"/>
      <x:c r="AA628" s="55"/>
      <x:c r="AB628" s="55" t="str">
        <x:f>IF(C628="","", "Напиши " &amp; AA628 &amp; " за бизнес: " &amp; C628 &amp; ". Тип: " &amp; D628 &amp; ". Град: " &amp; E628 &amp; ". Проблем: " &amp; L628 &amp; ". Предложение: " &amp; M628 &amp; ". Етап: " &amp; N628 &amp; ". Бележки: " &amp; Y628)</x:f>
      </x:c>
      <x:c r="AC628" s="55"/>
    </x:row>
    <x:row r="629">
      <x:c r="A629" s="55"/>
      <x:c r="B629" s="55"/>
      <x:c r="C629" s="55"/>
      <x:c r="D629" s="55"/>
      <x:c r="E629" s="55"/>
      <x:c r="F629" s="55"/>
      <x:c r="G629" s="55"/>
      <x:c r="H629" s="55"/>
      <x:c r="I629" s="55"/>
      <x:c r="J629" s="55"/>
      <x:c r="K629" s="55"/>
      <x:c r="L629" s="55"/>
      <x:c r="M629" s="55"/>
      <x:c r="N629" s="55"/>
      <x:c r="O629" s="55"/>
      <x:c r="P629" s="55"/>
      <x:c r="Q629" s="55"/>
      <x:c r="R629" s="55"/>
      <x:c r="S629" s="55" t="str">
        <x:f>IF(C629="","",IFERROR(Q629*R629/100,""))</x:f>
      </x:c>
      <x:c r="T629" s="55"/>
      <x:c r="U629" s="55"/>
      <x:c r="V629" s="55" t="str">
        <x:f>IF(U629="","",U629-TODAY())</x:f>
      </x:c>
      <x:c r="W629" s="55" t="str">
        <x:f>IF(AND(U629&lt;&gt;"",U629&lt;TODAY(),O629="Активен"),"ДА","")</x:f>
      </x:c>
      <x:c r="X629" s="55"/>
      <x:c r="Y629" s="55"/>
      <x:c r="Z629" s="55"/>
      <x:c r="AA629" s="55"/>
      <x:c r="AB629" s="55" t="str">
        <x:f>IF(C629="","", "Напиши " &amp; AA629 &amp; " за бизнес: " &amp; C629 &amp; ". Тип: " &amp; D629 &amp; ". Град: " &amp; E629 &amp; ". Проблем: " &amp; L629 &amp; ". Предложение: " &amp; M629 &amp; ". Етап: " &amp; N629 &amp; ". Бележки: " &amp; Y629)</x:f>
      </x:c>
      <x:c r="AC629" s="55"/>
    </x:row>
    <x:row r="630">
      <x:c r="A630" s="55"/>
      <x:c r="B630" s="55"/>
      <x:c r="C630" s="55"/>
      <x:c r="D630" s="55"/>
      <x:c r="E630" s="55"/>
      <x:c r="F630" s="55"/>
      <x:c r="G630" s="55"/>
      <x:c r="H630" s="55"/>
      <x:c r="I630" s="55"/>
      <x:c r="J630" s="55"/>
      <x:c r="K630" s="55"/>
      <x:c r="L630" s="55"/>
      <x:c r="M630" s="55"/>
      <x:c r="N630" s="55"/>
      <x:c r="O630" s="55"/>
      <x:c r="P630" s="55"/>
      <x:c r="Q630" s="55"/>
      <x:c r="R630" s="55"/>
      <x:c r="S630" s="55" t="str">
        <x:f>IF(C630="","",IFERROR(Q630*R630/100,""))</x:f>
      </x:c>
      <x:c r="T630" s="55"/>
      <x:c r="U630" s="55"/>
      <x:c r="V630" s="55" t="str">
        <x:f>IF(U630="","",U630-TODAY())</x:f>
      </x:c>
      <x:c r="W630" s="55" t="str">
        <x:f>IF(AND(U630&lt;&gt;"",U630&lt;TODAY(),O630="Активен"),"ДА","")</x:f>
      </x:c>
      <x:c r="X630" s="55"/>
      <x:c r="Y630" s="55"/>
      <x:c r="Z630" s="55"/>
      <x:c r="AA630" s="55"/>
      <x:c r="AB630" s="55" t="str">
        <x:f>IF(C630="","", "Напиши " &amp; AA630 &amp; " за бизнес: " &amp; C630 &amp; ". Тип: " &amp; D630 &amp; ". Град: " &amp; E630 &amp; ". Проблем: " &amp; L630 &amp; ". Предложение: " &amp; M630 &amp; ". Етап: " &amp; N630 &amp; ". Бележки: " &amp; Y630)</x:f>
      </x:c>
      <x:c r="AC630" s="55"/>
    </x:row>
    <x:row r="631">
      <x:c r="A631" s="55"/>
      <x:c r="B631" s="55"/>
      <x:c r="C631" s="55"/>
      <x:c r="D631" s="55"/>
      <x:c r="E631" s="55"/>
      <x:c r="F631" s="55"/>
      <x:c r="G631" s="55"/>
      <x:c r="H631" s="55"/>
      <x:c r="I631" s="55"/>
      <x:c r="J631" s="55"/>
      <x:c r="K631" s="55"/>
      <x:c r="L631" s="55"/>
      <x:c r="M631" s="55"/>
      <x:c r="N631" s="55"/>
      <x:c r="O631" s="55"/>
      <x:c r="P631" s="55"/>
      <x:c r="Q631" s="55"/>
      <x:c r="R631" s="55"/>
      <x:c r="S631" s="55" t="str">
        <x:f>IF(C631="","",IFERROR(Q631*R631/100,""))</x:f>
      </x:c>
      <x:c r="T631" s="55"/>
      <x:c r="U631" s="55"/>
      <x:c r="V631" s="55" t="str">
        <x:f>IF(U631="","",U631-TODAY())</x:f>
      </x:c>
      <x:c r="W631" s="55" t="str">
        <x:f>IF(AND(U631&lt;&gt;"",U631&lt;TODAY(),O631="Активен"),"ДА","")</x:f>
      </x:c>
      <x:c r="X631" s="55"/>
      <x:c r="Y631" s="55"/>
      <x:c r="Z631" s="55"/>
      <x:c r="AA631" s="55"/>
      <x:c r="AB631" s="55" t="str">
        <x:f>IF(C631="","", "Напиши " &amp; AA631 &amp; " за бизнес: " &amp; C631 &amp; ". Тип: " &amp; D631 &amp; ". Град: " &amp; E631 &amp; ". Проблем: " &amp; L631 &amp; ". Предложение: " &amp; M631 &amp; ". Етап: " &amp; N631 &amp; ". Бележки: " &amp; Y631)</x:f>
      </x:c>
      <x:c r="AC631" s="55"/>
    </x:row>
    <x:row r="632">
      <x:c r="A632" s="55"/>
      <x:c r="B632" s="55"/>
      <x:c r="C632" s="55"/>
      <x:c r="D632" s="55"/>
      <x:c r="E632" s="55"/>
      <x:c r="F632" s="55"/>
      <x:c r="G632" s="55"/>
      <x:c r="H632" s="55"/>
      <x:c r="I632" s="55"/>
      <x:c r="J632" s="55"/>
      <x:c r="K632" s="55"/>
      <x:c r="L632" s="55"/>
      <x:c r="M632" s="55"/>
      <x:c r="N632" s="55"/>
      <x:c r="O632" s="55"/>
      <x:c r="P632" s="55"/>
      <x:c r="Q632" s="55"/>
      <x:c r="R632" s="55"/>
      <x:c r="S632" s="55" t="str">
        <x:f>IF(C632="","",IFERROR(Q632*R632/100,""))</x:f>
      </x:c>
      <x:c r="T632" s="55"/>
      <x:c r="U632" s="55"/>
      <x:c r="V632" s="55" t="str">
        <x:f>IF(U632="","",U632-TODAY())</x:f>
      </x:c>
      <x:c r="W632" s="55" t="str">
        <x:f>IF(AND(U632&lt;&gt;"",U632&lt;TODAY(),O632="Активен"),"ДА","")</x:f>
      </x:c>
      <x:c r="X632" s="55"/>
      <x:c r="Y632" s="55"/>
      <x:c r="Z632" s="55"/>
      <x:c r="AA632" s="55"/>
      <x:c r="AB632" s="55" t="str">
        <x:f>IF(C632="","", "Напиши " &amp; AA632 &amp; " за бизнес: " &amp; C632 &amp; ". Тип: " &amp; D632 &amp; ". Град: " &amp; E632 &amp; ". Проблем: " &amp; L632 &amp; ". Предложение: " &amp; M632 &amp; ". Етап: " &amp; N632 &amp; ". Бележки: " &amp; Y632)</x:f>
      </x:c>
      <x:c r="AC632" s="55"/>
    </x:row>
    <x:row r="633">
      <x:c r="A633" s="55"/>
      <x:c r="B633" s="55"/>
      <x:c r="C633" s="55"/>
      <x:c r="D633" s="55"/>
      <x:c r="E633" s="55"/>
      <x:c r="F633" s="55"/>
      <x:c r="G633" s="55"/>
      <x:c r="H633" s="55"/>
      <x:c r="I633" s="55"/>
      <x:c r="J633" s="55"/>
      <x:c r="K633" s="55"/>
      <x:c r="L633" s="55"/>
      <x:c r="M633" s="55"/>
      <x:c r="N633" s="55"/>
      <x:c r="O633" s="55"/>
      <x:c r="P633" s="55"/>
      <x:c r="Q633" s="55"/>
      <x:c r="R633" s="55"/>
      <x:c r="S633" s="55" t="str">
        <x:f>IF(C633="","",IFERROR(Q633*R633/100,""))</x:f>
      </x:c>
      <x:c r="T633" s="55"/>
      <x:c r="U633" s="55"/>
      <x:c r="V633" s="55" t="str">
        <x:f>IF(U633="","",U633-TODAY())</x:f>
      </x:c>
      <x:c r="W633" s="55" t="str">
        <x:f>IF(AND(U633&lt;&gt;"",U633&lt;TODAY(),O633="Активен"),"ДА","")</x:f>
      </x:c>
      <x:c r="X633" s="55"/>
      <x:c r="Y633" s="55"/>
      <x:c r="Z633" s="55"/>
      <x:c r="AA633" s="55"/>
      <x:c r="AB633" s="55" t="str">
        <x:f>IF(C633="","", "Напиши " &amp; AA633 &amp; " за бизнес: " &amp; C633 &amp; ". Тип: " &amp; D633 &amp; ". Град: " &amp; E633 &amp; ". Проблем: " &amp; L633 &amp; ". Предложение: " &amp; M633 &amp; ". Етап: " &amp; N633 &amp; ". Бележки: " &amp; Y633)</x:f>
      </x:c>
      <x:c r="AC633" s="55"/>
    </x:row>
    <x:row r="634">
      <x:c r="A634" s="55"/>
      <x:c r="B634" s="55"/>
      <x:c r="C634" s="55"/>
      <x:c r="D634" s="55"/>
      <x:c r="E634" s="55"/>
      <x:c r="F634" s="55"/>
      <x:c r="G634" s="55"/>
      <x:c r="H634" s="55"/>
      <x:c r="I634" s="55"/>
      <x:c r="J634" s="55"/>
      <x:c r="K634" s="55"/>
      <x:c r="L634" s="55"/>
      <x:c r="M634" s="55"/>
      <x:c r="N634" s="55"/>
      <x:c r="O634" s="55"/>
      <x:c r="P634" s="55"/>
      <x:c r="Q634" s="55"/>
      <x:c r="R634" s="55"/>
      <x:c r="S634" s="55" t="str">
        <x:f>IF(C634="","",IFERROR(Q634*R634/100,""))</x:f>
      </x:c>
      <x:c r="T634" s="55"/>
      <x:c r="U634" s="55"/>
      <x:c r="V634" s="55" t="str">
        <x:f>IF(U634="","",U634-TODAY())</x:f>
      </x:c>
      <x:c r="W634" s="55" t="str">
        <x:f>IF(AND(U634&lt;&gt;"",U634&lt;TODAY(),O634="Активен"),"ДА","")</x:f>
      </x:c>
      <x:c r="X634" s="55"/>
      <x:c r="Y634" s="55"/>
      <x:c r="Z634" s="55"/>
      <x:c r="AA634" s="55"/>
      <x:c r="AB634" s="55" t="str">
        <x:f>IF(C634="","", "Напиши " &amp; AA634 &amp; " за бизнес: " &amp; C634 &amp; ". Тип: " &amp; D634 &amp; ". Град: " &amp; E634 &amp; ". Проблем: " &amp; L634 &amp; ". Предложение: " &amp; M634 &amp; ". Етап: " &amp; N634 &amp; ". Бележки: " &amp; Y634)</x:f>
      </x:c>
      <x:c r="AC634" s="55"/>
    </x:row>
    <x:row r="635">
      <x:c r="A635" s="55"/>
      <x:c r="B635" s="55"/>
      <x:c r="C635" s="55"/>
      <x:c r="D635" s="55"/>
      <x:c r="E635" s="55"/>
      <x:c r="F635" s="55"/>
      <x:c r="G635" s="55"/>
      <x:c r="H635" s="55"/>
      <x:c r="I635" s="55"/>
      <x:c r="J635" s="55"/>
      <x:c r="K635" s="55"/>
      <x:c r="L635" s="55"/>
      <x:c r="M635" s="55"/>
      <x:c r="N635" s="55"/>
      <x:c r="O635" s="55"/>
      <x:c r="P635" s="55"/>
      <x:c r="Q635" s="55"/>
      <x:c r="R635" s="55"/>
      <x:c r="S635" s="55" t="str">
        <x:f>IF(C635="","",IFERROR(Q635*R635/100,""))</x:f>
      </x:c>
      <x:c r="T635" s="55"/>
      <x:c r="U635" s="55"/>
      <x:c r="V635" s="55" t="str">
        <x:f>IF(U635="","",U635-TODAY())</x:f>
      </x:c>
      <x:c r="W635" s="55" t="str">
        <x:f>IF(AND(U635&lt;&gt;"",U635&lt;TODAY(),O635="Активен"),"ДА","")</x:f>
      </x:c>
      <x:c r="X635" s="55"/>
      <x:c r="Y635" s="55"/>
      <x:c r="Z635" s="55"/>
      <x:c r="AA635" s="55"/>
      <x:c r="AB635" s="55" t="str">
        <x:f>IF(C635="","", "Напиши " &amp; AA635 &amp; " за бизнес: " &amp; C635 &amp; ". Тип: " &amp; D635 &amp; ". Град: " &amp; E635 &amp; ". Проблем: " &amp; L635 &amp; ". Предложение: " &amp; M635 &amp; ". Етап: " &amp; N635 &amp; ". Бележки: " &amp; Y635)</x:f>
      </x:c>
      <x:c r="AC635" s="55"/>
    </x:row>
    <x:row r="636">
      <x:c r="A636" s="55"/>
      <x:c r="B636" s="55"/>
      <x:c r="C636" s="55"/>
      <x:c r="D636" s="55"/>
      <x:c r="E636" s="55"/>
      <x:c r="F636" s="55"/>
      <x:c r="G636" s="55"/>
      <x:c r="H636" s="55"/>
      <x:c r="I636" s="55"/>
      <x:c r="J636" s="55"/>
      <x:c r="K636" s="55"/>
      <x:c r="L636" s="55"/>
      <x:c r="M636" s="55"/>
      <x:c r="N636" s="55"/>
      <x:c r="O636" s="55"/>
      <x:c r="P636" s="55"/>
      <x:c r="Q636" s="55"/>
      <x:c r="R636" s="55"/>
      <x:c r="S636" s="55" t="str">
        <x:f>IF(C636="","",IFERROR(Q636*R636/100,""))</x:f>
      </x:c>
      <x:c r="T636" s="55"/>
      <x:c r="U636" s="55"/>
      <x:c r="V636" s="55" t="str">
        <x:f>IF(U636="","",U636-TODAY())</x:f>
      </x:c>
      <x:c r="W636" s="55" t="str">
        <x:f>IF(AND(U636&lt;&gt;"",U636&lt;TODAY(),O636="Активен"),"ДА","")</x:f>
      </x:c>
      <x:c r="X636" s="55"/>
      <x:c r="Y636" s="55"/>
      <x:c r="Z636" s="55"/>
      <x:c r="AA636" s="55"/>
      <x:c r="AB636" s="55" t="str">
        <x:f>IF(C636="","", "Напиши " &amp; AA636 &amp; " за бизнес: " &amp; C636 &amp; ". Тип: " &amp; D636 &amp; ". Град: " &amp; E636 &amp; ". Проблем: " &amp; L636 &amp; ". Предложение: " &amp; M636 &amp; ". Етап: " &amp; N636 &amp; ". Бележки: " &amp; Y636)</x:f>
      </x:c>
      <x:c r="AC636" s="55"/>
    </x:row>
    <x:row r="637">
      <x:c r="A637" s="55"/>
      <x:c r="B637" s="55"/>
      <x:c r="C637" s="55"/>
      <x:c r="D637" s="55"/>
      <x:c r="E637" s="55"/>
      <x:c r="F637" s="55"/>
      <x:c r="G637" s="55"/>
      <x:c r="H637" s="55"/>
      <x:c r="I637" s="55"/>
      <x:c r="J637" s="55"/>
      <x:c r="K637" s="55"/>
      <x:c r="L637" s="55"/>
      <x:c r="M637" s="55"/>
      <x:c r="N637" s="55"/>
      <x:c r="O637" s="55"/>
      <x:c r="P637" s="55"/>
      <x:c r="Q637" s="55"/>
      <x:c r="R637" s="55"/>
      <x:c r="S637" s="55" t="str">
        <x:f>IF(C637="","",IFERROR(Q637*R637/100,""))</x:f>
      </x:c>
      <x:c r="T637" s="55"/>
      <x:c r="U637" s="55"/>
      <x:c r="V637" s="55" t="str">
        <x:f>IF(U637="","",U637-TODAY())</x:f>
      </x:c>
      <x:c r="W637" s="55" t="str">
        <x:f>IF(AND(U637&lt;&gt;"",U637&lt;TODAY(),O637="Активен"),"ДА","")</x:f>
      </x:c>
      <x:c r="X637" s="55"/>
      <x:c r="Y637" s="55"/>
      <x:c r="Z637" s="55"/>
      <x:c r="AA637" s="55"/>
      <x:c r="AB637" s="55" t="str">
        <x:f>IF(C637="","", "Напиши " &amp; AA637 &amp; " за бизнес: " &amp; C637 &amp; ". Тип: " &amp; D637 &amp; ". Град: " &amp; E637 &amp; ". Проблем: " &amp; L637 &amp; ". Предложение: " &amp; M637 &amp; ". Етап: " &amp; N637 &amp; ". Бележки: " &amp; Y637)</x:f>
      </x:c>
      <x:c r="AC637" s="55"/>
    </x:row>
    <x:row r="638">
      <x:c r="A638" s="55"/>
      <x:c r="B638" s="55"/>
      <x:c r="C638" s="55"/>
      <x:c r="D638" s="55"/>
      <x:c r="E638" s="55"/>
      <x:c r="F638" s="55"/>
      <x:c r="G638" s="55"/>
      <x:c r="H638" s="55"/>
      <x:c r="I638" s="55"/>
      <x:c r="J638" s="55"/>
      <x:c r="K638" s="55"/>
      <x:c r="L638" s="55"/>
      <x:c r="M638" s="55"/>
      <x:c r="N638" s="55"/>
      <x:c r="O638" s="55"/>
      <x:c r="P638" s="55"/>
      <x:c r="Q638" s="55"/>
      <x:c r="R638" s="55"/>
      <x:c r="S638" s="55" t="str">
        <x:f>IF(C638="","",IFERROR(Q638*R638/100,""))</x:f>
      </x:c>
      <x:c r="T638" s="55"/>
      <x:c r="U638" s="55"/>
      <x:c r="V638" s="55" t="str">
        <x:f>IF(U638="","",U638-TODAY())</x:f>
      </x:c>
      <x:c r="W638" s="55" t="str">
        <x:f>IF(AND(U638&lt;&gt;"",U638&lt;TODAY(),O638="Активен"),"ДА","")</x:f>
      </x:c>
      <x:c r="X638" s="55"/>
      <x:c r="Y638" s="55"/>
      <x:c r="Z638" s="55"/>
      <x:c r="AA638" s="55"/>
      <x:c r="AB638" s="55" t="str">
        <x:f>IF(C638="","", "Напиши " &amp; AA638 &amp; " за бизнес: " &amp; C638 &amp; ". Тип: " &amp; D638 &amp; ". Град: " &amp; E638 &amp; ". Проблем: " &amp; L638 &amp; ". Предложение: " &amp; M638 &amp; ". Етап: " &amp; N638 &amp; ". Бележки: " &amp; Y638)</x:f>
      </x:c>
      <x:c r="AC638" s="55"/>
    </x:row>
    <x:row r="639">
      <x:c r="A639" s="55"/>
      <x:c r="B639" s="55"/>
      <x:c r="C639" s="55"/>
      <x:c r="D639" s="55"/>
      <x:c r="E639" s="55"/>
      <x:c r="F639" s="55"/>
      <x:c r="G639" s="55"/>
      <x:c r="H639" s="55"/>
      <x:c r="I639" s="55"/>
      <x:c r="J639" s="55"/>
      <x:c r="K639" s="55"/>
      <x:c r="L639" s="55"/>
      <x:c r="M639" s="55"/>
      <x:c r="N639" s="55"/>
      <x:c r="O639" s="55"/>
      <x:c r="P639" s="55"/>
      <x:c r="Q639" s="55"/>
      <x:c r="R639" s="55"/>
      <x:c r="S639" s="55" t="str">
        <x:f>IF(C639="","",IFERROR(Q639*R639/100,""))</x:f>
      </x:c>
      <x:c r="T639" s="55"/>
      <x:c r="U639" s="55"/>
      <x:c r="V639" s="55" t="str">
        <x:f>IF(U639="","",U639-TODAY())</x:f>
      </x:c>
      <x:c r="W639" s="55" t="str">
        <x:f>IF(AND(U639&lt;&gt;"",U639&lt;TODAY(),O639="Активен"),"ДА","")</x:f>
      </x:c>
      <x:c r="X639" s="55"/>
      <x:c r="Y639" s="55"/>
      <x:c r="Z639" s="55"/>
      <x:c r="AA639" s="55"/>
      <x:c r="AB639" s="55" t="str">
        <x:f>IF(C639="","", "Напиши " &amp; AA639 &amp; " за бизнес: " &amp; C639 &amp; ". Тип: " &amp; D639 &amp; ". Град: " &amp; E639 &amp; ". Проблем: " &amp; L639 &amp; ". Предложение: " &amp; M639 &amp; ". Етап: " &amp; N639 &amp; ". Бележки: " &amp; Y639)</x:f>
      </x:c>
      <x:c r="AC639" s="55"/>
    </x:row>
    <x:row r="640">
      <x:c r="A640" s="55"/>
      <x:c r="B640" s="55"/>
      <x:c r="C640" s="55"/>
      <x:c r="D640" s="55"/>
      <x:c r="E640" s="55"/>
      <x:c r="F640" s="55"/>
      <x:c r="G640" s="55"/>
      <x:c r="H640" s="55"/>
      <x:c r="I640" s="55"/>
      <x:c r="J640" s="55"/>
      <x:c r="K640" s="55"/>
      <x:c r="L640" s="55"/>
      <x:c r="M640" s="55"/>
      <x:c r="N640" s="55"/>
      <x:c r="O640" s="55"/>
      <x:c r="P640" s="55"/>
      <x:c r="Q640" s="55"/>
      <x:c r="R640" s="55"/>
      <x:c r="S640" s="55" t="str">
        <x:f>IF(C640="","",IFERROR(Q640*R640/100,""))</x:f>
      </x:c>
      <x:c r="T640" s="55"/>
      <x:c r="U640" s="55"/>
      <x:c r="V640" s="55" t="str">
        <x:f>IF(U640="","",U640-TODAY())</x:f>
      </x:c>
      <x:c r="W640" s="55" t="str">
        <x:f>IF(AND(U640&lt;&gt;"",U640&lt;TODAY(),O640="Активен"),"ДА","")</x:f>
      </x:c>
      <x:c r="X640" s="55"/>
      <x:c r="Y640" s="55"/>
      <x:c r="Z640" s="55"/>
      <x:c r="AA640" s="55"/>
      <x:c r="AB640" s="55" t="str">
        <x:f>IF(C640="","", "Напиши " &amp; AA640 &amp; " за бизнес: " &amp; C640 &amp; ". Тип: " &amp; D640 &amp; ". Град: " &amp; E640 &amp; ". Проблем: " &amp; L640 &amp; ". Предложение: " &amp; M640 &amp; ". Етап: " &amp; N640 &amp; ". Бележки: " &amp; Y640)</x:f>
      </x:c>
      <x:c r="AC640" s="55"/>
    </x:row>
    <x:row r="641">
      <x:c r="A641" s="55"/>
      <x:c r="B641" s="55"/>
      <x:c r="C641" s="55"/>
      <x:c r="D641" s="55"/>
      <x:c r="E641" s="55"/>
      <x:c r="F641" s="55"/>
      <x:c r="G641" s="55"/>
      <x:c r="H641" s="55"/>
      <x:c r="I641" s="55"/>
      <x:c r="J641" s="55"/>
      <x:c r="K641" s="55"/>
      <x:c r="L641" s="55"/>
      <x:c r="M641" s="55"/>
      <x:c r="N641" s="55"/>
      <x:c r="O641" s="55"/>
      <x:c r="P641" s="55"/>
      <x:c r="Q641" s="55"/>
      <x:c r="R641" s="55"/>
      <x:c r="S641" s="55" t="str">
        <x:f>IF(C641="","",IFERROR(Q641*R641/100,""))</x:f>
      </x:c>
      <x:c r="T641" s="55"/>
      <x:c r="U641" s="55"/>
      <x:c r="V641" s="55" t="str">
        <x:f>IF(U641="","",U641-TODAY())</x:f>
      </x:c>
      <x:c r="W641" s="55" t="str">
        <x:f>IF(AND(U641&lt;&gt;"",U641&lt;TODAY(),O641="Активен"),"ДА","")</x:f>
      </x:c>
      <x:c r="X641" s="55"/>
      <x:c r="Y641" s="55"/>
      <x:c r="Z641" s="55"/>
      <x:c r="AA641" s="55"/>
      <x:c r="AB641" s="55" t="str">
        <x:f>IF(C641="","", "Напиши " &amp; AA641 &amp; " за бизнес: " &amp; C641 &amp; ". Тип: " &amp; D641 &amp; ". Град: " &amp; E641 &amp; ". Проблем: " &amp; L641 &amp; ". Предложение: " &amp; M641 &amp; ". Етап: " &amp; N641 &amp; ". Бележки: " &amp; Y641)</x:f>
      </x:c>
      <x:c r="AC641" s="55"/>
    </x:row>
    <x:row r="642">
      <x:c r="A642" s="55"/>
      <x:c r="B642" s="55"/>
      <x:c r="C642" s="55"/>
      <x:c r="D642" s="55"/>
      <x:c r="E642" s="55"/>
      <x:c r="F642" s="55"/>
      <x:c r="G642" s="55"/>
      <x:c r="H642" s="55"/>
      <x:c r="I642" s="55"/>
      <x:c r="J642" s="55"/>
      <x:c r="K642" s="55"/>
      <x:c r="L642" s="55"/>
      <x:c r="M642" s="55"/>
      <x:c r="N642" s="55"/>
      <x:c r="O642" s="55"/>
      <x:c r="P642" s="55"/>
      <x:c r="Q642" s="55"/>
      <x:c r="R642" s="55"/>
      <x:c r="S642" s="55" t="str">
        <x:f>IF(C642="","",IFERROR(Q642*R642/100,""))</x:f>
      </x:c>
      <x:c r="T642" s="55"/>
      <x:c r="U642" s="55"/>
      <x:c r="V642" s="55" t="str">
        <x:f>IF(U642="","",U642-TODAY())</x:f>
      </x:c>
      <x:c r="W642" s="55" t="str">
        <x:f>IF(AND(U642&lt;&gt;"",U642&lt;TODAY(),O642="Активен"),"ДА","")</x:f>
      </x:c>
      <x:c r="X642" s="55"/>
      <x:c r="Y642" s="55"/>
      <x:c r="Z642" s="55"/>
      <x:c r="AA642" s="55"/>
      <x:c r="AB642" s="55" t="str">
        <x:f>IF(C642="","", "Напиши " &amp; AA642 &amp; " за бизнес: " &amp; C642 &amp; ". Тип: " &amp; D642 &amp; ". Град: " &amp; E642 &amp; ". Проблем: " &amp; L642 &amp; ". Предложение: " &amp; M642 &amp; ". Етап: " &amp; N642 &amp; ". Бележки: " &amp; Y642)</x:f>
      </x:c>
      <x:c r="AC642" s="55"/>
    </x:row>
    <x:row r="643">
      <x:c r="A643" s="55"/>
      <x:c r="B643" s="55"/>
      <x:c r="C643" s="55"/>
      <x:c r="D643" s="55"/>
      <x:c r="E643" s="55"/>
      <x:c r="F643" s="55"/>
      <x:c r="G643" s="55"/>
      <x:c r="H643" s="55"/>
      <x:c r="I643" s="55"/>
      <x:c r="J643" s="55"/>
      <x:c r="K643" s="55"/>
      <x:c r="L643" s="55"/>
      <x:c r="M643" s="55"/>
      <x:c r="N643" s="55"/>
      <x:c r="O643" s="55"/>
      <x:c r="P643" s="55"/>
      <x:c r="Q643" s="55"/>
      <x:c r="R643" s="55"/>
      <x:c r="S643" s="55" t="str">
        <x:f>IF(C643="","",IFERROR(Q643*R643/100,""))</x:f>
      </x:c>
      <x:c r="T643" s="55"/>
      <x:c r="U643" s="55"/>
      <x:c r="V643" s="55" t="str">
        <x:f>IF(U643="","",U643-TODAY())</x:f>
      </x:c>
      <x:c r="W643" s="55" t="str">
        <x:f>IF(AND(U643&lt;&gt;"",U643&lt;TODAY(),O643="Активен"),"ДА","")</x:f>
      </x:c>
      <x:c r="X643" s="55"/>
      <x:c r="Y643" s="55"/>
      <x:c r="Z643" s="55"/>
      <x:c r="AA643" s="55"/>
      <x:c r="AB643" s="55" t="str">
        <x:f>IF(C643="","", "Напиши " &amp; AA643 &amp; " за бизнес: " &amp; C643 &amp; ". Тип: " &amp; D643 &amp; ". Град: " &amp; E643 &amp; ". Проблем: " &amp; L643 &amp; ". Предложение: " &amp; M643 &amp; ". Етап: " &amp; N643 &amp; ". Бележки: " &amp; Y643)</x:f>
      </x:c>
      <x:c r="AC643" s="55"/>
    </x:row>
    <x:row r="644">
      <x:c r="A644" s="55"/>
      <x:c r="B644" s="55"/>
      <x:c r="C644" s="55"/>
      <x:c r="D644" s="55"/>
      <x:c r="E644" s="55"/>
      <x:c r="F644" s="55"/>
      <x:c r="G644" s="55"/>
      <x:c r="H644" s="55"/>
      <x:c r="I644" s="55"/>
      <x:c r="J644" s="55"/>
      <x:c r="K644" s="55"/>
      <x:c r="L644" s="55"/>
      <x:c r="M644" s="55"/>
      <x:c r="N644" s="55"/>
      <x:c r="O644" s="55"/>
      <x:c r="P644" s="55"/>
      <x:c r="Q644" s="55"/>
      <x:c r="R644" s="55"/>
      <x:c r="S644" s="55" t="str">
        <x:f>IF(C644="","",IFERROR(Q644*R644/100,""))</x:f>
      </x:c>
      <x:c r="T644" s="55"/>
      <x:c r="U644" s="55"/>
      <x:c r="V644" s="55" t="str">
        <x:f>IF(U644="","",U644-TODAY())</x:f>
      </x:c>
      <x:c r="W644" s="55" t="str">
        <x:f>IF(AND(U644&lt;&gt;"",U644&lt;TODAY(),O644="Активен"),"ДА","")</x:f>
      </x:c>
      <x:c r="X644" s="55"/>
      <x:c r="Y644" s="55"/>
      <x:c r="Z644" s="55"/>
      <x:c r="AA644" s="55"/>
      <x:c r="AB644" s="55" t="str">
        <x:f>IF(C644="","", "Напиши " &amp; AA644 &amp; " за бизнес: " &amp; C644 &amp; ". Тип: " &amp; D644 &amp; ". Град: " &amp; E644 &amp; ". Проблем: " &amp; L644 &amp; ". Предложение: " &amp; M644 &amp; ". Етап: " &amp; N644 &amp; ". Бележки: " &amp; Y644)</x:f>
      </x:c>
      <x:c r="AC644" s="55"/>
    </x:row>
    <x:row r="645">
      <x:c r="A645" s="55"/>
      <x:c r="B645" s="55"/>
      <x:c r="C645" s="55"/>
      <x:c r="D645" s="55"/>
      <x:c r="E645" s="55"/>
      <x:c r="F645" s="55"/>
      <x:c r="G645" s="55"/>
      <x:c r="H645" s="55"/>
      <x:c r="I645" s="55"/>
      <x:c r="J645" s="55"/>
      <x:c r="K645" s="55"/>
      <x:c r="L645" s="55"/>
      <x:c r="M645" s="55"/>
      <x:c r="N645" s="55"/>
      <x:c r="O645" s="55"/>
      <x:c r="P645" s="55"/>
      <x:c r="Q645" s="55"/>
      <x:c r="R645" s="55"/>
      <x:c r="S645" s="55" t="str">
        <x:f>IF(C645="","",IFERROR(Q645*R645/100,""))</x:f>
      </x:c>
      <x:c r="T645" s="55"/>
      <x:c r="U645" s="55"/>
      <x:c r="V645" s="55" t="str">
        <x:f>IF(U645="","",U645-TODAY())</x:f>
      </x:c>
      <x:c r="W645" s="55" t="str">
        <x:f>IF(AND(U645&lt;&gt;"",U645&lt;TODAY(),O645="Активен"),"ДА","")</x:f>
      </x:c>
      <x:c r="X645" s="55"/>
      <x:c r="Y645" s="55"/>
      <x:c r="Z645" s="55"/>
      <x:c r="AA645" s="55"/>
      <x:c r="AB645" s="55" t="str">
        <x:f>IF(C645="","", "Напиши " &amp; AA645 &amp; " за бизнес: " &amp; C645 &amp; ". Тип: " &amp; D645 &amp; ". Град: " &amp; E645 &amp; ". Проблем: " &amp; L645 &amp; ". Предложение: " &amp; M645 &amp; ". Етап: " &amp; N645 &amp; ". Бележки: " &amp; Y645)</x:f>
      </x:c>
      <x:c r="AC645" s="55"/>
    </x:row>
    <x:row r="646">
      <x:c r="A646" s="55"/>
      <x:c r="B646" s="55"/>
      <x:c r="C646" s="55"/>
      <x:c r="D646" s="55"/>
      <x:c r="E646" s="55"/>
      <x:c r="F646" s="55"/>
      <x:c r="G646" s="55"/>
      <x:c r="H646" s="55"/>
      <x:c r="I646" s="55"/>
      <x:c r="J646" s="55"/>
      <x:c r="K646" s="55"/>
      <x:c r="L646" s="55"/>
      <x:c r="M646" s="55"/>
      <x:c r="N646" s="55"/>
      <x:c r="O646" s="55"/>
      <x:c r="P646" s="55"/>
      <x:c r="Q646" s="55"/>
      <x:c r="R646" s="55"/>
      <x:c r="S646" s="55" t="str">
        <x:f>IF(C646="","",IFERROR(Q646*R646/100,""))</x:f>
      </x:c>
      <x:c r="T646" s="55"/>
      <x:c r="U646" s="55"/>
      <x:c r="V646" s="55" t="str">
        <x:f>IF(U646="","",U646-TODAY())</x:f>
      </x:c>
      <x:c r="W646" s="55" t="str">
        <x:f>IF(AND(U646&lt;&gt;"",U646&lt;TODAY(),O646="Активен"),"ДА","")</x:f>
      </x:c>
      <x:c r="X646" s="55"/>
      <x:c r="Y646" s="55"/>
      <x:c r="Z646" s="55"/>
      <x:c r="AA646" s="55"/>
      <x:c r="AB646" s="55" t="str">
        <x:f>IF(C646="","", "Напиши " &amp; AA646 &amp; " за бизнес: " &amp; C646 &amp; ". Тип: " &amp; D646 &amp; ". Град: " &amp; E646 &amp; ". Проблем: " &amp; L646 &amp; ". Предложение: " &amp; M646 &amp; ". Етап: " &amp; N646 &amp; ". Бележки: " &amp; Y646)</x:f>
      </x:c>
      <x:c r="AC646" s="55"/>
    </x:row>
    <x:row r="647">
      <x:c r="A647" s="55"/>
      <x:c r="B647" s="55"/>
      <x:c r="C647" s="55"/>
      <x:c r="D647" s="55"/>
      <x:c r="E647" s="55"/>
      <x:c r="F647" s="55"/>
      <x:c r="G647" s="55"/>
      <x:c r="H647" s="55"/>
      <x:c r="I647" s="55"/>
      <x:c r="J647" s="55"/>
      <x:c r="K647" s="55"/>
      <x:c r="L647" s="55"/>
      <x:c r="M647" s="55"/>
      <x:c r="N647" s="55"/>
      <x:c r="O647" s="55"/>
      <x:c r="P647" s="55"/>
      <x:c r="Q647" s="55"/>
      <x:c r="R647" s="55"/>
      <x:c r="S647" s="55" t="str">
        <x:f>IF(C647="","",IFERROR(Q647*R647/100,""))</x:f>
      </x:c>
      <x:c r="T647" s="55"/>
      <x:c r="U647" s="55"/>
      <x:c r="V647" s="55" t="str">
        <x:f>IF(U647="","",U647-TODAY())</x:f>
      </x:c>
      <x:c r="W647" s="55" t="str">
        <x:f>IF(AND(U647&lt;&gt;"",U647&lt;TODAY(),O647="Активен"),"ДА","")</x:f>
      </x:c>
      <x:c r="X647" s="55"/>
      <x:c r="Y647" s="55"/>
      <x:c r="Z647" s="55"/>
      <x:c r="AA647" s="55"/>
      <x:c r="AB647" s="55" t="str">
        <x:f>IF(C647="","", "Напиши " &amp; AA647 &amp; " за бизнес: " &amp; C647 &amp; ". Тип: " &amp; D647 &amp; ". Град: " &amp; E647 &amp; ". Проблем: " &amp; L647 &amp; ". Предложение: " &amp; M647 &amp; ". Етап: " &amp; N647 &amp; ". Бележки: " &amp; Y647)</x:f>
      </x:c>
      <x:c r="AC647" s="55"/>
    </x:row>
    <x:row r="648">
      <x:c r="A648" s="55"/>
      <x:c r="B648" s="55"/>
      <x:c r="C648" s="55"/>
      <x:c r="D648" s="55"/>
      <x:c r="E648" s="55"/>
      <x:c r="F648" s="55"/>
      <x:c r="G648" s="55"/>
      <x:c r="H648" s="55"/>
      <x:c r="I648" s="55"/>
      <x:c r="J648" s="55"/>
      <x:c r="K648" s="55"/>
      <x:c r="L648" s="55"/>
      <x:c r="M648" s="55"/>
      <x:c r="N648" s="55"/>
      <x:c r="O648" s="55"/>
      <x:c r="P648" s="55"/>
      <x:c r="Q648" s="55"/>
      <x:c r="R648" s="55"/>
      <x:c r="S648" s="55" t="str">
        <x:f>IF(C648="","",IFERROR(Q648*R648/100,""))</x:f>
      </x:c>
      <x:c r="T648" s="55"/>
      <x:c r="U648" s="55"/>
      <x:c r="V648" s="55" t="str">
        <x:f>IF(U648="","",U648-TODAY())</x:f>
      </x:c>
      <x:c r="W648" s="55" t="str">
        <x:f>IF(AND(U648&lt;&gt;"",U648&lt;TODAY(),O648="Активен"),"ДА","")</x:f>
      </x:c>
      <x:c r="X648" s="55"/>
      <x:c r="Y648" s="55"/>
      <x:c r="Z648" s="55"/>
      <x:c r="AA648" s="55"/>
      <x:c r="AB648" s="55" t="str">
        <x:f>IF(C648="","", "Напиши " &amp; AA648 &amp; " за бизнес: " &amp; C648 &amp; ". Тип: " &amp; D648 &amp; ". Град: " &amp; E648 &amp; ". Проблем: " &amp; L648 &amp; ". Предложение: " &amp; M648 &amp; ". Етап: " &amp; N648 &amp; ". Бележки: " &amp; Y648)</x:f>
      </x:c>
      <x:c r="AC648" s="55"/>
    </x:row>
    <x:row r="649">
      <x:c r="A649" s="55"/>
      <x:c r="B649" s="55"/>
      <x:c r="C649" s="55"/>
      <x:c r="D649" s="55"/>
      <x:c r="E649" s="55"/>
      <x:c r="F649" s="55"/>
      <x:c r="G649" s="55"/>
      <x:c r="H649" s="55"/>
      <x:c r="I649" s="55"/>
      <x:c r="J649" s="55"/>
      <x:c r="K649" s="55"/>
      <x:c r="L649" s="55"/>
      <x:c r="M649" s="55"/>
      <x:c r="N649" s="55"/>
      <x:c r="O649" s="55"/>
      <x:c r="P649" s="55"/>
      <x:c r="Q649" s="55"/>
      <x:c r="R649" s="55"/>
      <x:c r="S649" s="55" t="str">
        <x:f>IF(C649="","",IFERROR(Q649*R649/100,""))</x:f>
      </x:c>
      <x:c r="T649" s="55"/>
      <x:c r="U649" s="55"/>
      <x:c r="V649" s="55" t="str">
        <x:f>IF(U649="","",U649-TODAY())</x:f>
      </x:c>
      <x:c r="W649" s="55" t="str">
        <x:f>IF(AND(U649&lt;&gt;"",U649&lt;TODAY(),O649="Активен"),"ДА","")</x:f>
      </x:c>
      <x:c r="X649" s="55"/>
      <x:c r="Y649" s="55"/>
      <x:c r="Z649" s="55"/>
      <x:c r="AA649" s="55"/>
      <x:c r="AB649" s="55" t="str">
        <x:f>IF(C649="","", "Напиши " &amp; AA649 &amp; " за бизнес: " &amp; C649 &amp; ". Тип: " &amp; D649 &amp; ". Град: " &amp; E649 &amp; ". Проблем: " &amp; L649 &amp; ". Предложение: " &amp; M649 &amp; ". Етап: " &amp; N649 &amp; ". Бележки: " &amp; Y649)</x:f>
      </x:c>
      <x:c r="AC649" s="55"/>
    </x:row>
    <x:row r="650">
      <x:c r="A650" s="55"/>
      <x:c r="B650" s="55"/>
      <x:c r="C650" s="55"/>
      <x:c r="D650" s="55"/>
      <x:c r="E650" s="55"/>
      <x:c r="F650" s="55"/>
      <x:c r="G650" s="55"/>
      <x:c r="H650" s="55"/>
      <x:c r="I650" s="55"/>
      <x:c r="J650" s="55"/>
      <x:c r="K650" s="55"/>
      <x:c r="L650" s="55"/>
      <x:c r="M650" s="55"/>
      <x:c r="N650" s="55"/>
      <x:c r="O650" s="55"/>
      <x:c r="P650" s="55"/>
      <x:c r="Q650" s="55"/>
      <x:c r="R650" s="55"/>
      <x:c r="S650" s="55" t="str">
        <x:f>IF(C650="","",IFERROR(Q650*R650/100,""))</x:f>
      </x:c>
      <x:c r="T650" s="55"/>
      <x:c r="U650" s="55"/>
      <x:c r="V650" s="55" t="str">
        <x:f>IF(U650="","",U650-TODAY())</x:f>
      </x:c>
      <x:c r="W650" s="55" t="str">
        <x:f>IF(AND(U650&lt;&gt;"",U650&lt;TODAY(),O650="Активен"),"ДА","")</x:f>
      </x:c>
      <x:c r="X650" s="55"/>
      <x:c r="Y650" s="55"/>
      <x:c r="Z650" s="55"/>
      <x:c r="AA650" s="55"/>
      <x:c r="AB650" s="55" t="str">
        <x:f>IF(C650="","", "Напиши " &amp; AA650 &amp; " за бизнес: " &amp; C650 &amp; ". Тип: " &amp; D650 &amp; ". Град: " &amp; E650 &amp; ". Проблем: " &amp; L650 &amp; ". Предложение: " &amp; M650 &amp; ". Етап: " &amp; N650 &amp; ". Бележки: " &amp; Y650)</x:f>
      </x:c>
      <x:c r="AC650" s="55"/>
    </x:row>
    <x:row r="651">
      <x:c r="A651" s="55"/>
      <x:c r="B651" s="55"/>
      <x:c r="C651" s="55"/>
      <x:c r="D651" s="55"/>
      <x:c r="E651" s="55"/>
      <x:c r="F651" s="55"/>
      <x:c r="G651" s="55"/>
      <x:c r="H651" s="55"/>
      <x:c r="I651" s="55"/>
      <x:c r="J651" s="55"/>
      <x:c r="K651" s="55"/>
      <x:c r="L651" s="55"/>
      <x:c r="M651" s="55"/>
      <x:c r="N651" s="55"/>
      <x:c r="O651" s="55"/>
      <x:c r="P651" s="55"/>
      <x:c r="Q651" s="55"/>
      <x:c r="R651" s="55"/>
      <x:c r="S651" s="55" t="str">
        <x:f>IF(C651="","",IFERROR(Q651*R651/100,""))</x:f>
      </x:c>
      <x:c r="T651" s="55"/>
      <x:c r="U651" s="55"/>
      <x:c r="V651" s="55" t="str">
        <x:f>IF(U651="","",U651-TODAY())</x:f>
      </x:c>
      <x:c r="W651" s="55" t="str">
        <x:f>IF(AND(U651&lt;&gt;"",U651&lt;TODAY(),O651="Активен"),"ДА","")</x:f>
      </x:c>
      <x:c r="X651" s="55"/>
      <x:c r="Y651" s="55"/>
      <x:c r="Z651" s="55"/>
      <x:c r="AA651" s="55"/>
      <x:c r="AB651" s="55" t="str">
        <x:f>IF(C651="","", "Напиши " &amp; AA651 &amp; " за бизнес: " &amp; C651 &amp; ". Тип: " &amp; D651 &amp; ". Град: " &amp; E651 &amp; ". Проблем: " &amp; L651 &amp; ". Предложение: " &amp; M651 &amp; ". Етап: " &amp; N651 &amp; ". Бележки: " &amp; Y651)</x:f>
      </x:c>
      <x:c r="AC651" s="55"/>
    </x:row>
    <x:row r="652">
      <x:c r="A652" s="55"/>
      <x:c r="B652" s="55"/>
      <x:c r="C652" s="55"/>
      <x:c r="D652" s="55"/>
      <x:c r="E652" s="55"/>
      <x:c r="F652" s="55"/>
      <x:c r="G652" s="55"/>
      <x:c r="H652" s="55"/>
      <x:c r="I652" s="55"/>
      <x:c r="J652" s="55"/>
      <x:c r="K652" s="55"/>
      <x:c r="L652" s="55"/>
      <x:c r="M652" s="55"/>
      <x:c r="N652" s="55"/>
      <x:c r="O652" s="55"/>
      <x:c r="P652" s="55"/>
      <x:c r="Q652" s="55"/>
      <x:c r="R652" s="55"/>
      <x:c r="S652" s="55" t="str">
        <x:f>IF(C652="","",IFERROR(Q652*R652/100,""))</x:f>
      </x:c>
      <x:c r="T652" s="55"/>
      <x:c r="U652" s="55"/>
      <x:c r="V652" s="55" t="str">
        <x:f>IF(U652="","",U652-TODAY())</x:f>
      </x:c>
      <x:c r="W652" s="55" t="str">
        <x:f>IF(AND(U652&lt;&gt;"",U652&lt;TODAY(),O652="Активен"),"ДА","")</x:f>
      </x:c>
      <x:c r="X652" s="55"/>
      <x:c r="Y652" s="55"/>
      <x:c r="Z652" s="55"/>
      <x:c r="AA652" s="55"/>
      <x:c r="AB652" s="55" t="str">
        <x:f>IF(C652="","", "Напиши " &amp; AA652 &amp; " за бизнес: " &amp; C652 &amp; ". Тип: " &amp; D652 &amp; ". Град: " &amp; E652 &amp; ". Проблем: " &amp; L652 &amp; ". Предложение: " &amp; M652 &amp; ". Етап: " &amp; N652 &amp; ". Бележки: " &amp; Y652)</x:f>
      </x:c>
      <x:c r="AC652" s="55"/>
    </x:row>
    <x:row r="653">
      <x:c r="A653" s="55"/>
      <x:c r="B653" s="55"/>
      <x:c r="C653" s="55"/>
      <x:c r="D653" s="55"/>
      <x:c r="E653" s="55"/>
      <x:c r="F653" s="55"/>
      <x:c r="G653" s="55"/>
      <x:c r="H653" s="55"/>
      <x:c r="I653" s="55"/>
      <x:c r="J653" s="55"/>
      <x:c r="K653" s="55"/>
      <x:c r="L653" s="55"/>
      <x:c r="M653" s="55"/>
      <x:c r="N653" s="55"/>
      <x:c r="O653" s="55"/>
      <x:c r="P653" s="55"/>
      <x:c r="Q653" s="55"/>
      <x:c r="R653" s="55"/>
      <x:c r="S653" s="55" t="str">
        <x:f>IF(C653="","",IFERROR(Q653*R653/100,""))</x:f>
      </x:c>
      <x:c r="T653" s="55"/>
      <x:c r="U653" s="55"/>
      <x:c r="V653" s="55" t="str">
        <x:f>IF(U653="","",U653-TODAY())</x:f>
      </x:c>
      <x:c r="W653" s="55" t="str">
        <x:f>IF(AND(U653&lt;&gt;"",U653&lt;TODAY(),O653="Активен"),"ДА","")</x:f>
      </x:c>
      <x:c r="X653" s="55"/>
      <x:c r="Y653" s="55"/>
      <x:c r="Z653" s="55"/>
      <x:c r="AA653" s="55"/>
      <x:c r="AB653" s="55" t="str">
        <x:f>IF(C653="","", "Напиши " &amp; AA653 &amp; " за бизнес: " &amp; C653 &amp; ". Тип: " &amp; D653 &amp; ". Град: " &amp; E653 &amp; ". Проблем: " &amp; L653 &amp; ". Предложение: " &amp; M653 &amp; ". Етап: " &amp; N653 &amp; ". Бележки: " &amp; Y653)</x:f>
      </x:c>
      <x:c r="AC653" s="55"/>
    </x:row>
    <x:row r="654">
      <x:c r="A654" s="55"/>
      <x:c r="B654" s="55"/>
      <x:c r="C654" s="55"/>
      <x:c r="D654" s="55"/>
      <x:c r="E654" s="55"/>
      <x:c r="F654" s="55"/>
      <x:c r="G654" s="55"/>
      <x:c r="H654" s="55"/>
      <x:c r="I654" s="55"/>
      <x:c r="J654" s="55"/>
      <x:c r="K654" s="55"/>
      <x:c r="L654" s="55"/>
      <x:c r="M654" s="55"/>
      <x:c r="N654" s="55"/>
      <x:c r="O654" s="55"/>
      <x:c r="P654" s="55"/>
      <x:c r="Q654" s="55"/>
      <x:c r="R654" s="55"/>
      <x:c r="S654" s="55" t="str">
        <x:f>IF(C654="","",IFERROR(Q654*R654/100,""))</x:f>
      </x:c>
      <x:c r="T654" s="55"/>
      <x:c r="U654" s="55"/>
      <x:c r="V654" s="55" t="str">
        <x:f>IF(U654="","",U654-TODAY())</x:f>
      </x:c>
      <x:c r="W654" s="55" t="str">
        <x:f>IF(AND(U654&lt;&gt;"",U654&lt;TODAY(),O654="Активен"),"ДА","")</x:f>
      </x:c>
      <x:c r="X654" s="55"/>
      <x:c r="Y654" s="55"/>
      <x:c r="Z654" s="55"/>
      <x:c r="AA654" s="55"/>
      <x:c r="AB654" s="55" t="str">
        <x:f>IF(C654="","", "Напиши " &amp; AA654 &amp; " за бизнес: " &amp; C654 &amp; ". Тип: " &amp; D654 &amp; ". Град: " &amp; E654 &amp; ". Проблем: " &amp; L654 &amp; ". Предложение: " &amp; M654 &amp; ". Етап: " &amp; N654 &amp; ". Бележки: " &amp; Y654)</x:f>
      </x:c>
      <x:c r="AC654" s="55"/>
    </x:row>
    <x:row r="655">
      <x:c r="A655" s="55"/>
      <x:c r="B655" s="55"/>
      <x:c r="C655" s="55"/>
      <x:c r="D655" s="55"/>
      <x:c r="E655" s="55"/>
      <x:c r="F655" s="55"/>
      <x:c r="G655" s="55"/>
      <x:c r="H655" s="55"/>
      <x:c r="I655" s="55"/>
      <x:c r="J655" s="55"/>
      <x:c r="K655" s="55"/>
      <x:c r="L655" s="55"/>
      <x:c r="M655" s="55"/>
      <x:c r="N655" s="55"/>
      <x:c r="O655" s="55"/>
      <x:c r="P655" s="55"/>
      <x:c r="Q655" s="55"/>
      <x:c r="R655" s="55"/>
      <x:c r="S655" s="55" t="str">
        <x:f>IF(C655="","",IFERROR(Q655*R655/100,""))</x:f>
      </x:c>
      <x:c r="T655" s="55"/>
      <x:c r="U655" s="55"/>
      <x:c r="V655" s="55" t="str">
        <x:f>IF(U655="","",U655-TODAY())</x:f>
      </x:c>
      <x:c r="W655" s="55" t="str">
        <x:f>IF(AND(U655&lt;&gt;"",U655&lt;TODAY(),O655="Активен"),"ДА","")</x:f>
      </x:c>
      <x:c r="X655" s="55"/>
      <x:c r="Y655" s="55"/>
      <x:c r="Z655" s="55"/>
      <x:c r="AA655" s="55"/>
      <x:c r="AB655" s="55" t="str">
        <x:f>IF(C655="","", "Напиши " &amp; AA655 &amp; " за бизнес: " &amp; C655 &amp; ". Тип: " &amp; D655 &amp; ". Град: " &amp; E655 &amp; ". Проблем: " &amp; L655 &amp; ". Предложение: " &amp; M655 &amp; ". Етап: " &amp; N655 &amp; ". Бележки: " &amp; Y655)</x:f>
      </x:c>
      <x:c r="AC655" s="55"/>
    </x:row>
    <x:row r="656">
      <x:c r="A656" s="55"/>
      <x:c r="B656" s="55"/>
      <x:c r="C656" s="55"/>
      <x:c r="D656" s="55"/>
      <x:c r="E656" s="55"/>
      <x:c r="F656" s="55"/>
      <x:c r="G656" s="55"/>
      <x:c r="H656" s="55"/>
      <x:c r="I656" s="55"/>
      <x:c r="J656" s="55"/>
      <x:c r="K656" s="55"/>
      <x:c r="L656" s="55"/>
      <x:c r="M656" s="55"/>
      <x:c r="N656" s="55"/>
      <x:c r="O656" s="55"/>
      <x:c r="P656" s="55"/>
      <x:c r="Q656" s="55"/>
      <x:c r="R656" s="55"/>
      <x:c r="S656" s="55" t="str">
        <x:f>IF(C656="","",IFERROR(Q656*R656/100,""))</x:f>
      </x:c>
      <x:c r="T656" s="55"/>
      <x:c r="U656" s="55"/>
      <x:c r="V656" s="55" t="str">
        <x:f>IF(U656="","",U656-TODAY())</x:f>
      </x:c>
      <x:c r="W656" s="55" t="str">
        <x:f>IF(AND(U656&lt;&gt;"",U656&lt;TODAY(),O656="Активен"),"ДА","")</x:f>
      </x:c>
      <x:c r="X656" s="55"/>
      <x:c r="Y656" s="55"/>
      <x:c r="Z656" s="55"/>
      <x:c r="AA656" s="55"/>
      <x:c r="AB656" s="55" t="str">
        <x:f>IF(C656="","", "Напиши " &amp; AA656 &amp; " за бизнес: " &amp; C656 &amp; ". Тип: " &amp; D656 &amp; ". Град: " &amp; E656 &amp; ". Проблем: " &amp; L656 &amp; ". Предложение: " &amp; M656 &amp; ". Етап: " &amp; N656 &amp; ". Бележки: " &amp; Y656)</x:f>
      </x:c>
      <x:c r="AC656" s="55"/>
    </x:row>
    <x:row r="657">
      <x:c r="A657" s="55"/>
      <x:c r="B657" s="55"/>
      <x:c r="C657" s="55"/>
      <x:c r="D657" s="55"/>
      <x:c r="E657" s="55"/>
      <x:c r="F657" s="55"/>
      <x:c r="G657" s="55"/>
      <x:c r="H657" s="55"/>
      <x:c r="I657" s="55"/>
      <x:c r="J657" s="55"/>
      <x:c r="K657" s="55"/>
      <x:c r="L657" s="55"/>
      <x:c r="M657" s="55"/>
      <x:c r="N657" s="55"/>
      <x:c r="O657" s="55"/>
      <x:c r="P657" s="55"/>
      <x:c r="Q657" s="55"/>
      <x:c r="R657" s="55"/>
      <x:c r="S657" s="55" t="str">
        <x:f>IF(C657="","",IFERROR(Q657*R657/100,""))</x:f>
      </x:c>
      <x:c r="T657" s="55"/>
      <x:c r="U657" s="55"/>
      <x:c r="V657" s="55" t="str">
        <x:f>IF(U657="","",U657-TODAY())</x:f>
      </x:c>
      <x:c r="W657" s="55" t="str">
        <x:f>IF(AND(U657&lt;&gt;"",U657&lt;TODAY(),O657="Активен"),"ДА","")</x:f>
      </x:c>
      <x:c r="X657" s="55"/>
      <x:c r="Y657" s="55"/>
      <x:c r="Z657" s="55"/>
      <x:c r="AA657" s="55"/>
      <x:c r="AB657" s="55" t="str">
        <x:f>IF(C657="","", "Напиши " &amp; AA657 &amp; " за бизнес: " &amp; C657 &amp; ". Тип: " &amp; D657 &amp; ". Град: " &amp; E657 &amp; ". Проблем: " &amp; L657 &amp; ". Предложение: " &amp; M657 &amp; ". Етап: " &amp; N657 &amp; ". Бележки: " &amp; Y657)</x:f>
      </x:c>
      <x:c r="AC657" s="55"/>
    </x:row>
    <x:row r="658">
      <x:c r="A658" s="55"/>
      <x:c r="B658" s="55"/>
      <x:c r="C658" s="55"/>
      <x:c r="D658" s="55"/>
      <x:c r="E658" s="55"/>
      <x:c r="F658" s="55"/>
      <x:c r="G658" s="55"/>
      <x:c r="H658" s="55"/>
      <x:c r="I658" s="55"/>
      <x:c r="J658" s="55"/>
      <x:c r="K658" s="55"/>
      <x:c r="L658" s="55"/>
      <x:c r="M658" s="55"/>
      <x:c r="N658" s="55"/>
      <x:c r="O658" s="55"/>
      <x:c r="P658" s="55"/>
      <x:c r="Q658" s="55"/>
      <x:c r="R658" s="55"/>
      <x:c r="S658" s="55" t="str">
        <x:f>IF(C658="","",IFERROR(Q658*R658/100,""))</x:f>
      </x:c>
      <x:c r="T658" s="55"/>
      <x:c r="U658" s="55"/>
      <x:c r="V658" s="55" t="str">
        <x:f>IF(U658="","",U658-TODAY())</x:f>
      </x:c>
      <x:c r="W658" s="55" t="str">
        <x:f>IF(AND(U658&lt;&gt;"",U658&lt;TODAY(),O658="Активен"),"ДА","")</x:f>
      </x:c>
      <x:c r="X658" s="55"/>
      <x:c r="Y658" s="55"/>
      <x:c r="Z658" s="55"/>
      <x:c r="AA658" s="55"/>
      <x:c r="AB658" s="55" t="str">
        <x:f>IF(C658="","", "Напиши " &amp; AA658 &amp; " за бизнес: " &amp; C658 &amp; ". Тип: " &amp; D658 &amp; ". Град: " &amp; E658 &amp; ". Проблем: " &amp; L658 &amp; ". Предложение: " &amp; M658 &amp; ". Етап: " &amp; N658 &amp; ". Бележки: " &amp; Y658)</x:f>
      </x:c>
      <x:c r="AC658" s="55"/>
    </x:row>
    <x:row r="659">
      <x:c r="A659" s="55"/>
      <x:c r="B659" s="55"/>
      <x:c r="C659" s="55"/>
      <x:c r="D659" s="55"/>
      <x:c r="E659" s="55"/>
      <x:c r="F659" s="55"/>
      <x:c r="G659" s="55"/>
      <x:c r="H659" s="55"/>
      <x:c r="I659" s="55"/>
      <x:c r="J659" s="55"/>
      <x:c r="K659" s="55"/>
      <x:c r="L659" s="55"/>
      <x:c r="M659" s="55"/>
      <x:c r="N659" s="55"/>
      <x:c r="O659" s="55"/>
      <x:c r="P659" s="55"/>
      <x:c r="Q659" s="55"/>
      <x:c r="R659" s="55"/>
      <x:c r="S659" s="55" t="str">
        <x:f>IF(C659="","",IFERROR(Q659*R659/100,""))</x:f>
      </x:c>
      <x:c r="T659" s="55"/>
      <x:c r="U659" s="55"/>
      <x:c r="V659" s="55" t="str">
        <x:f>IF(U659="","",U659-TODAY())</x:f>
      </x:c>
      <x:c r="W659" s="55" t="str">
        <x:f>IF(AND(U659&lt;&gt;"",U659&lt;TODAY(),O659="Активен"),"ДА","")</x:f>
      </x:c>
      <x:c r="X659" s="55"/>
      <x:c r="Y659" s="55"/>
      <x:c r="Z659" s="55"/>
      <x:c r="AA659" s="55"/>
      <x:c r="AB659" s="55" t="str">
        <x:f>IF(C659="","", "Напиши " &amp; AA659 &amp; " за бизнес: " &amp; C659 &amp; ". Тип: " &amp; D659 &amp; ". Град: " &amp; E659 &amp; ". Проблем: " &amp; L659 &amp; ". Предложение: " &amp; M659 &amp; ". Етап: " &amp; N659 &amp; ". Бележки: " &amp; Y659)</x:f>
      </x:c>
      <x:c r="AC659" s="55"/>
    </x:row>
    <x:row r="660">
      <x:c r="A660" s="55"/>
      <x:c r="B660" s="55"/>
      <x:c r="C660" s="55"/>
      <x:c r="D660" s="55"/>
      <x:c r="E660" s="55"/>
      <x:c r="F660" s="55"/>
      <x:c r="G660" s="55"/>
      <x:c r="H660" s="55"/>
      <x:c r="I660" s="55"/>
      <x:c r="J660" s="55"/>
      <x:c r="K660" s="55"/>
      <x:c r="L660" s="55"/>
      <x:c r="M660" s="55"/>
      <x:c r="N660" s="55"/>
      <x:c r="O660" s="55"/>
      <x:c r="P660" s="55"/>
      <x:c r="Q660" s="55"/>
      <x:c r="R660" s="55"/>
      <x:c r="S660" s="55" t="str">
        <x:f>IF(C660="","",IFERROR(Q660*R660/100,""))</x:f>
      </x:c>
      <x:c r="T660" s="55"/>
      <x:c r="U660" s="55"/>
      <x:c r="V660" s="55" t="str">
        <x:f>IF(U660="","",U660-TODAY())</x:f>
      </x:c>
      <x:c r="W660" s="55" t="str">
        <x:f>IF(AND(U660&lt;&gt;"",U660&lt;TODAY(),O660="Активен"),"ДА","")</x:f>
      </x:c>
      <x:c r="X660" s="55"/>
      <x:c r="Y660" s="55"/>
      <x:c r="Z660" s="55"/>
      <x:c r="AA660" s="55"/>
      <x:c r="AB660" s="55" t="str">
        <x:f>IF(C660="","", "Напиши " &amp; AA660 &amp; " за бизнес: " &amp; C660 &amp; ". Тип: " &amp; D660 &amp; ". Град: " &amp; E660 &amp; ". Проблем: " &amp; L660 &amp; ". Предложение: " &amp; M660 &amp; ". Етап: " &amp; N660 &amp; ". Бележки: " &amp; Y660)</x:f>
      </x:c>
      <x:c r="AC660" s="55"/>
    </x:row>
    <x:row r="661">
      <x:c r="A661" s="55"/>
      <x:c r="B661" s="55"/>
      <x:c r="C661" s="55"/>
      <x:c r="D661" s="55"/>
      <x:c r="E661" s="55"/>
      <x:c r="F661" s="55"/>
      <x:c r="G661" s="55"/>
      <x:c r="H661" s="55"/>
      <x:c r="I661" s="55"/>
      <x:c r="J661" s="55"/>
      <x:c r="K661" s="55"/>
      <x:c r="L661" s="55"/>
      <x:c r="M661" s="55"/>
      <x:c r="N661" s="55"/>
      <x:c r="O661" s="55"/>
      <x:c r="P661" s="55"/>
      <x:c r="Q661" s="55"/>
      <x:c r="R661" s="55"/>
      <x:c r="S661" s="55" t="str">
        <x:f>IF(C661="","",IFERROR(Q661*R661/100,""))</x:f>
      </x:c>
      <x:c r="T661" s="55"/>
      <x:c r="U661" s="55"/>
      <x:c r="V661" s="55" t="str">
        <x:f>IF(U661="","",U661-TODAY())</x:f>
      </x:c>
      <x:c r="W661" s="55" t="str">
        <x:f>IF(AND(U661&lt;&gt;"",U661&lt;TODAY(),O661="Активен"),"ДА","")</x:f>
      </x:c>
      <x:c r="X661" s="55"/>
      <x:c r="Y661" s="55"/>
      <x:c r="Z661" s="55"/>
      <x:c r="AA661" s="55"/>
      <x:c r="AB661" s="55" t="str">
        <x:f>IF(C661="","", "Напиши " &amp; AA661 &amp; " за бизнес: " &amp; C661 &amp; ". Тип: " &amp; D661 &amp; ". Град: " &amp; E661 &amp; ". Проблем: " &amp; L661 &amp; ". Предложение: " &amp; M661 &amp; ". Етап: " &amp; N661 &amp; ". Бележки: " &amp; Y661)</x:f>
      </x:c>
      <x:c r="AC661" s="55"/>
    </x:row>
    <x:row r="662">
      <x:c r="A662" s="55"/>
      <x:c r="B662" s="55"/>
      <x:c r="C662" s="55"/>
      <x:c r="D662" s="55"/>
      <x:c r="E662" s="55"/>
      <x:c r="F662" s="55"/>
      <x:c r="G662" s="55"/>
      <x:c r="H662" s="55"/>
      <x:c r="I662" s="55"/>
      <x:c r="J662" s="55"/>
      <x:c r="K662" s="55"/>
      <x:c r="L662" s="55"/>
      <x:c r="M662" s="55"/>
      <x:c r="N662" s="55"/>
      <x:c r="O662" s="55"/>
      <x:c r="P662" s="55"/>
      <x:c r="Q662" s="55"/>
      <x:c r="R662" s="55"/>
      <x:c r="S662" s="55" t="str">
        <x:f>IF(C662="","",IFERROR(Q662*R662/100,""))</x:f>
      </x:c>
      <x:c r="T662" s="55"/>
      <x:c r="U662" s="55"/>
      <x:c r="V662" s="55" t="str">
        <x:f>IF(U662="","",U662-TODAY())</x:f>
      </x:c>
      <x:c r="W662" s="55" t="str">
        <x:f>IF(AND(U662&lt;&gt;"",U662&lt;TODAY(),O662="Активен"),"ДА","")</x:f>
      </x:c>
      <x:c r="X662" s="55"/>
      <x:c r="Y662" s="55"/>
      <x:c r="Z662" s="55"/>
      <x:c r="AA662" s="55"/>
      <x:c r="AB662" s="55" t="str">
        <x:f>IF(C662="","", "Напиши " &amp; AA662 &amp; " за бизнес: " &amp; C662 &amp; ". Тип: " &amp; D662 &amp; ". Град: " &amp; E662 &amp; ". Проблем: " &amp; L662 &amp; ". Предложение: " &amp; M662 &amp; ". Етап: " &amp; N662 &amp; ". Бележки: " &amp; Y662)</x:f>
      </x:c>
      <x:c r="AC662" s="55"/>
    </x:row>
    <x:row r="663">
      <x:c r="A663" s="55"/>
      <x:c r="B663" s="55"/>
      <x:c r="C663" s="55"/>
      <x:c r="D663" s="55"/>
      <x:c r="E663" s="55"/>
      <x:c r="F663" s="55"/>
      <x:c r="G663" s="55"/>
      <x:c r="H663" s="55"/>
      <x:c r="I663" s="55"/>
      <x:c r="J663" s="55"/>
      <x:c r="K663" s="55"/>
      <x:c r="L663" s="55"/>
      <x:c r="M663" s="55"/>
      <x:c r="N663" s="55"/>
      <x:c r="O663" s="55"/>
      <x:c r="P663" s="55"/>
      <x:c r="Q663" s="55"/>
      <x:c r="R663" s="55"/>
      <x:c r="S663" s="55" t="str">
        <x:f>IF(C663="","",IFERROR(Q663*R663/100,""))</x:f>
      </x:c>
      <x:c r="T663" s="55"/>
      <x:c r="U663" s="55"/>
      <x:c r="V663" s="55" t="str">
        <x:f>IF(U663="","",U663-TODAY())</x:f>
      </x:c>
      <x:c r="W663" s="55" t="str">
        <x:f>IF(AND(U663&lt;&gt;"",U663&lt;TODAY(),O663="Активен"),"ДА","")</x:f>
      </x:c>
      <x:c r="X663" s="55"/>
      <x:c r="Y663" s="55"/>
      <x:c r="Z663" s="55"/>
      <x:c r="AA663" s="55"/>
      <x:c r="AB663" s="55" t="str">
        <x:f>IF(C663="","", "Напиши " &amp; AA663 &amp; " за бизнес: " &amp; C663 &amp; ". Тип: " &amp; D663 &amp; ". Град: " &amp; E663 &amp; ". Проблем: " &amp; L663 &amp; ". Предложение: " &amp; M663 &amp; ". Етап: " &amp; N663 &amp; ". Бележки: " &amp; Y663)</x:f>
      </x:c>
      <x:c r="AC663" s="55"/>
    </x:row>
    <x:row r="664">
      <x:c r="A664" s="55"/>
      <x:c r="B664" s="55"/>
      <x:c r="C664" s="55"/>
      <x:c r="D664" s="55"/>
      <x:c r="E664" s="55"/>
      <x:c r="F664" s="55"/>
      <x:c r="G664" s="55"/>
      <x:c r="H664" s="55"/>
      <x:c r="I664" s="55"/>
      <x:c r="J664" s="55"/>
      <x:c r="K664" s="55"/>
      <x:c r="L664" s="55"/>
      <x:c r="M664" s="55"/>
      <x:c r="N664" s="55"/>
      <x:c r="O664" s="55"/>
      <x:c r="P664" s="55"/>
      <x:c r="Q664" s="55"/>
      <x:c r="R664" s="55"/>
      <x:c r="S664" s="55" t="str">
        <x:f>IF(C664="","",IFERROR(Q664*R664/100,""))</x:f>
      </x:c>
      <x:c r="T664" s="55"/>
      <x:c r="U664" s="55"/>
      <x:c r="V664" s="55" t="str">
        <x:f>IF(U664="","",U664-TODAY())</x:f>
      </x:c>
      <x:c r="W664" s="55" t="str">
        <x:f>IF(AND(U664&lt;&gt;"",U664&lt;TODAY(),O664="Активен"),"ДА","")</x:f>
      </x:c>
      <x:c r="X664" s="55"/>
      <x:c r="Y664" s="55"/>
      <x:c r="Z664" s="55"/>
      <x:c r="AA664" s="55"/>
      <x:c r="AB664" s="55" t="str">
        <x:f>IF(C664="","", "Напиши " &amp; AA664 &amp; " за бизнес: " &amp; C664 &amp; ". Тип: " &amp; D664 &amp; ". Град: " &amp; E664 &amp; ". Проблем: " &amp; L664 &amp; ". Предложение: " &amp; M664 &amp; ". Етап: " &amp; N664 &amp; ". Бележки: " &amp; Y664)</x:f>
      </x:c>
      <x:c r="AC664" s="55"/>
    </x:row>
    <x:row r="665">
      <x:c r="A665" s="55"/>
      <x:c r="B665" s="55"/>
      <x:c r="C665" s="55"/>
      <x:c r="D665" s="55"/>
      <x:c r="E665" s="55"/>
      <x:c r="F665" s="55"/>
      <x:c r="G665" s="55"/>
      <x:c r="H665" s="55"/>
      <x:c r="I665" s="55"/>
      <x:c r="J665" s="55"/>
      <x:c r="K665" s="55"/>
      <x:c r="L665" s="55"/>
      <x:c r="M665" s="55"/>
      <x:c r="N665" s="55"/>
      <x:c r="O665" s="55"/>
      <x:c r="P665" s="55"/>
      <x:c r="Q665" s="55"/>
      <x:c r="R665" s="55"/>
      <x:c r="S665" s="55" t="str">
        <x:f>IF(C665="","",IFERROR(Q665*R665/100,""))</x:f>
      </x:c>
      <x:c r="T665" s="55"/>
      <x:c r="U665" s="55"/>
      <x:c r="V665" s="55" t="str">
        <x:f>IF(U665="","",U665-TODAY())</x:f>
      </x:c>
      <x:c r="W665" s="55" t="str">
        <x:f>IF(AND(U665&lt;&gt;"",U665&lt;TODAY(),O665="Активен"),"ДА","")</x:f>
      </x:c>
      <x:c r="X665" s="55"/>
      <x:c r="Y665" s="55"/>
      <x:c r="Z665" s="55"/>
      <x:c r="AA665" s="55"/>
      <x:c r="AB665" s="55" t="str">
        <x:f>IF(C665="","", "Напиши " &amp; AA665 &amp; " за бизнес: " &amp; C665 &amp; ". Тип: " &amp; D665 &amp; ". Град: " &amp; E665 &amp; ". Проблем: " &amp; L665 &amp; ". Предложение: " &amp; M665 &amp; ". Етап: " &amp; N665 &amp; ". Бележки: " &amp; Y665)</x:f>
      </x:c>
      <x:c r="AC665" s="55"/>
    </x:row>
    <x:row r="666">
      <x:c r="A666" s="55"/>
      <x:c r="B666" s="55"/>
      <x:c r="C666" s="55"/>
      <x:c r="D666" s="55"/>
      <x:c r="E666" s="55"/>
      <x:c r="F666" s="55"/>
      <x:c r="G666" s="55"/>
      <x:c r="H666" s="55"/>
      <x:c r="I666" s="55"/>
      <x:c r="J666" s="55"/>
      <x:c r="K666" s="55"/>
      <x:c r="L666" s="55"/>
      <x:c r="M666" s="55"/>
      <x:c r="N666" s="55"/>
      <x:c r="O666" s="55"/>
      <x:c r="P666" s="55"/>
      <x:c r="Q666" s="55"/>
      <x:c r="R666" s="55"/>
      <x:c r="S666" s="55" t="str">
        <x:f>IF(C666="","",IFERROR(Q666*R666/100,""))</x:f>
      </x:c>
      <x:c r="T666" s="55"/>
      <x:c r="U666" s="55"/>
      <x:c r="V666" s="55" t="str">
        <x:f>IF(U666="","",U666-TODAY())</x:f>
      </x:c>
      <x:c r="W666" s="55" t="str">
        <x:f>IF(AND(U666&lt;&gt;"",U666&lt;TODAY(),O666="Активен"),"ДА","")</x:f>
      </x:c>
      <x:c r="X666" s="55"/>
      <x:c r="Y666" s="55"/>
      <x:c r="Z666" s="55"/>
      <x:c r="AA666" s="55"/>
      <x:c r="AB666" s="55" t="str">
        <x:f>IF(C666="","", "Напиши " &amp; AA666 &amp; " за бизнес: " &amp; C666 &amp; ". Тип: " &amp; D666 &amp; ". Град: " &amp; E666 &amp; ". Проблем: " &amp; L666 &amp; ". Предложение: " &amp; M666 &amp; ". Етап: " &amp; N666 &amp; ". Бележки: " &amp; Y666)</x:f>
      </x:c>
      <x:c r="AC666" s="55"/>
    </x:row>
    <x:row r="667">
      <x:c r="A667" s="55"/>
      <x:c r="B667" s="55"/>
      <x:c r="C667" s="55"/>
      <x:c r="D667" s="55"/>
      <x:c r="E667" s="55"/>
      <x:c r="F667" s="55"/>
      <x:c r="G667" s="55"/>
      <x:c r="H667" s="55"/>
      <x:c r="I667" s="55"/>
      <x:c r="J667" s="55"/>
      <x:c r="K667" s="55"/>
      <x:c r="L667" s="55"/>
      <x:c r="M667" s="55"/>
      <x:c r="N667" s="55"/>
      <x:c r="O667" s="55"/>
      <x:c r="P667" s="55"/>
      <x:c r="Q667" s="55"/>
      <x:c r="R667" s="55"/>
      <x:c r="S667" s="55" t="str">
        <x:f>IF(C667="","",IFERROR(Q667*R667/100,""))</x:f>
      </x:c>
      <x:c r="T667" s="55"/>
      <x:c r="U667" s="55"/>
      <x:c r="V667" s="55" t="str">
        <x:f>IF(U667="","",U667-TODAY())</x:f>
      </x:c>
      <x:c r="W667" s="55" t="str">
        <x:f>IF(AND(U667&lt;&gt;"",U667&lt;TODAY(),O667="Активен"),"ДА","")</x:f>
      </x:c>
      <x:c r="X667" s="55"/>
      <x:c r="Y667" s="55"/>
      <x:c r="Z667" s="55"/>
      <x:c r="AA667" s="55"/>
      <x:c r="AB667" s="55" t="str">
        <x:f>IF(C667="","", "Напиши " &amp; AA667 &amp; " за бизнес: " &amp; C667 &amp; ". Тип: " &amp; D667 &amp; ". Град: " &amp; E667 &amp; ". Проблем: " &amp; L667 &amp; ". Предложение: " &amp; M667 &amp; ". Етап: " &amp; N667 &amp; ". Бележки: " &amp; Y667)</x:f>
      </x:c>
      <x:c r="AC667" s="55"/>
    </x:row>
    <x:row r="668">
      <x:c r="A668" s="55"/>
      <x:c r="B668" s="55"/>
      <x:c r="C668" s="55"/>
      <x:c r="D668" s="55"/>
      <x:c r="E668" s="55"/>
      <x:c r="F668" s="55"/>
      <x:c r="G668" s="55"/>
      <x:c r="H668" s="55"/>
      <x:c r="I668" s="55"/>
      <x:c r="J668" s="55"/>
      <x:c r="K668" s="55"/>
      <x:c r="L668" s="55"/>
      <x:c r="M668" s="55"/>
      <x:c r="N668" s="55"/>
      <x:c r="O668" s="55"/>
      <x:c r="P668" s="55"/>
      <x:c r="Q668" s="55"/>
      <x:c r="R668" s="55"/>
      <x:c r="S668" s="55" t="str">
        <x:f>IF(C668="","",IFERROR(Q668*R668/100,""))</x:f>
      </x:c>
      <x:c r="T668" s="55"/>
      <x:c r="U668" s="55"/>
      <x:c r="V668" s="55" t="str">
        <x:f>IF(U668="","",U668-TODAY())</x:f>
      </x:c>
      <x:c r="W668" s="55" t="str">
        <x:f>IF(AND(U668&lt;&gt;"",U668&lt;TODAY(),O668="Активен"),"ДА","")</x:f>
      </x:c>
      <x:c r="X668" s="55"/>
      <x:c r="Y668" s="55"/>
      <x:c r="Z668" s="55"/>
      <x:c r="AA668" s="55"/>
      <x:c r="AB668" s="55" t="str">
        <x:f>IF(C668="","", "Напиши " &amp; AA668 &amp; " за бизнес: " &amp; C668 &amp; ". Тип: " &amp; D668 &amp; ". Град: " &amp; E668 &amp; ". Проблем: " &amp; L668 &amp; ". Предложение: " &amp; M668 &amp; ". Етап: " &amp; N668 &amp; ". Бележки: " &amp; Y668)</x:f>
      </x:c>
      <x:c r="AC668" s="55"/>
    </x:row>
    <x:row r="669">
      <x:c r="A669" s="55"/>
      <x:c r="B669" s="55"/>
      <x:c r="C669" s="55"/>
      <x:c r="D669" s="55"/>
      <x:c r="E669" s="55"/>
      <x:c r="F669" s="55"/>
      <x:c r="G669" s="55"/>
      <x:c r="H669" s="55"/>
      <x:c r="I669" s="55"/>
      <x:c r="J669" s="55"/>
      <x:c r="K669" s="55"/>
      <x:c r="L669" s="55"/>
      <x:c r="M669" s="55"/>
      <x:c r="N669" s="55"/>
      <x:c r="O669" s="55"/>
      <x:c r="P669" s="55"/>
      <x:c r="Q669" s="55"/>
      <x:c r="R669" s="55"/>
      <x:c r="S669" s="55" t="str">
        <x:f>IF(C669="","",IFERROR(Q669*R669/100,""))</x:f>
      </x:c>
      <x:c r="T669" s="55"/>
      <x:c r="U669" s="55"/>
      <x:c r="V669" s="55" t="str">
        <x:f>IF(U669="","",U669-TODAY())</x:f>
      </x:c>
      <x:c r="W669" s="55" t="str">
        <x:f>IF(AND(U669&lt;&gt;"",U669&lt;TODAY(),O669="Активен"),"ДА","")</x:f>
      </x:c>
      <x:c r="X669" s="55"/>
      <x:c r="Y669" s="55"/>
      <x:c r="Z669" s="55"/>
      <x:c r="AA669" s="55"/>
      <x:c r="AB669" s="55" t="str">
        <x:f>IF(C669="","", "Напиши " &amp; AA669 &amp; " за бизнес: " &amp; C669 &amp; ". Тип: " &amp; D669 &amp; ". Град: " &amp; E669 &amp; ". Проблем: " &amp; L669 &amp; ". Предложение: " &amp; M669 &amp; ". Етап: " &amp; N669 &amp; ". Бележки: " &amp; Y669)</x:f>
      </x:c>
      <x:c r="AC669" s="55"/>
    </x:row>
    <x:row r="670">
      <x:c r="A670" s="55"/>
      <x:c r="B670" s="55"/>
      <x:c r="C670" s="55"/>
      <x:c r="D670" s="55"/>
      <x:c r="E670" s="55"/>
      <x:c r="F670" s="55"/>
      <x:c r="G670" s="55"/>
      <x:c r="H670" s="55"/>
      <x:c r="I670" s="55"/>
      <x:c r="J670" s="55"/>
      <x:c r="K670" s="55"/>
      <x:c r="L670" s="55"/>
      <x:c r="M670" s="55"/>
      <x:c r="N670" s="55"/>
      <x:c r="O670" s="55"/>
      <x:c r="P670" s="55"/>
      <x:c r="Q670" s="55"/>
      <x:c r="R670" s="55"/>
      <x:c r="S670" s="55" t="str">
        <x:f>IF(C670="","",IFERROR(Q670*R670/100,""))</x:f>
      </x:c>
      <x:c r="T670" s="55"/>
      <x:c r="U670" s="55"/>
      <x:c r="V670" s="55" t="str">
        <x:f>IF(U670="","",U670-TODAY())</x:f>
      </x:c>
      <x:c r="W670" s="55" t="str">
        <x:f>IF(AND(U670&lt;&gt;"",U670&lt;TODAY(),O670="Активен"),"ДА","")</x:f>
      </x:c>
      <x:c r="X670" s="55"/>
      <x:c r="Y670" s="55"/>
      <x:c r="Z670" s="55"/>
      <x:c r="AA670" s="55"/>
      <x:c r="AB670" s="55" t="str">
        <x:f>IF(C670="","", "Напиши " &amp; AA670 &amp; " за бизнес: " &amp; C670 &amp; ". Тип: " &amp; D670 &amp; ". Град: " &amp; E670 &amp; ". Проблем: " &amp; L670 &amp; ". Предложение: " &amp; M670 &amp; ". Етап: " &amp; N670 &amp; ". Бележки: " &amp; Y670)</x:f>
      </x:c>
      <x:c r="AC670" s="55"/>
    </x:row>
    <x:row r="671">
      <x:c r="A671" s="55"/>
      <x:c r="B671" s="55"/>
      <x:c r="C671" s="55"/>
      <x:c r="D671" s="55"/>
      <x:c r="E671" s="55"/>
      <x:c r="F671" s="55"/>
      <x:c r="G671" s="55"/>
      <x:c r="H671" s="55"/>
      <x:c r="I671" s="55"/>
      <x:c r="J671" s="55"/>
      <x:c r="K671" s="55"/>
      <x:c r="L671" s="55"/>
      <x:c r="M671" s="55"/>
      <x:c r="N671" s="55"/>
      <x:c r="O671" s="55"/>
      <x:c r="P671" s="55"/>
      <x:c r="Q671" s="55"/>
      <x:c r="R671" s="55"/>
      <x:c r="S671" s="55" t="str">
        <x:f>IF(C671="","",IFERROR(Q671*R671/100,""))</x:f>
      </x:c>
      <x:c r="T671" s="55"/>
      <x:c r="U671" s="55"/>
      <x:c r="V671" s="55" t="str">
        <x:f>IF(U671="","",U671-TODAY())</x:f>
      </x:c>
      <x:c r="W671" s="55" t="str">
        <x:f>IF(AND(U671&lt;&gt;"",U671&lt;TODAY(),O671="Активен"),"ДА","")</x:f>
      </x:c>
      <x:c r="X671" s="55"/>
      <x:c r="Y671" s="55"/>
      <x:c r="Z671" s="55"/>
      <x:c r="AA671" s="55"/>
      <x:c r="AB671" s="55" t="str">
        <x:f>IF(C671="","", "Напиши " &amp; AA671 &amp; " за бизнес: " &amp; C671 &amp; ". Тип: " &amp; D671 &amp; ". Град: " &amp; E671 &amp; ". Проблем: " &amp; L671 &amp; ". Предложение: " &amp; M671 &amp; ". Етап: " &amp; N671 &amp; ". Бележки: " &amp; Y671)</x:f>
      </x:c>
      <x:c r="AC671" s="55"/>
    </x:row>
    <x:row r="672">
      <x:c r="A672" s="55"/>
      <x:c r="B672" s="55"/>
      <x:c r="C672" s="55"/>
      <x:c r="D672" s="55"/>
      <x:c r="E672" s="55"/>
      <x:c r="F672" s="55"/>
      <x:c r="G672" s="55"/>
      <x:c r="H672" s="55"/>
      <x:c r="I672" s="55"/>
      <x:c r="J672" s="55"/>
      <x:c r="K672" s="55"/>
      <x:c r="L672" s="55"/>
      <x:c r="M672" s="55"/>
      <x:c r="N672" s="55"/>
      <x:c r="O672" s="55"/>
      <x:c r="P672" s="55"/>
      <x:c r="Q672" s="55"/>
      <x:c r="R672" s="55"/>
      <x:c r="S672" s="55" t="str">
        <x:f>IF(C672="","",IFERROR(Q672*R672/100,""))</x:f>
      </x:c>
      <x:c r="T672" s="55"/>
      <x:c r="U672" s="55"/>
      <x:c r="V672" s="55" t="str">
        <x:f>IF(U672="","",U672-TODAY())</x:f>
      </x:c>
      <x:c r="W672" s="55" t="str">
        <x:f>IF(AND(U672&lt;&gt;"",U672&lt;TODAY(),O672="Активен"),"ДА","")</x:f>
      </x:c>
      <x:c r="X672" s="55"/>
      <x:c r="Y672" s="55"/>
      <x:c r="Z672" s="55"/>
      <x:c r="AA672" s="55"/>
      <x:c r="AB672" s="55" t="str">
        <x:f>IF(C672="","", "Напиши " &amp; AA672 &amp; " за бизнес: " &amp; C672 &amp; ". Тип: " &amp; D672 &amp; ". Град: " &amp; E672 &amp; ". Проблем: " &amp; L672 &amp; ". Предложение: " &amp; M672 &amp; ". Етап: " &amp; N672 &amp; ". Бележки: " &amp; Y672)</x:f>
      </x:c>
      <x:c r="AC672" s="55"/>
    </x:row>
    <x:row r="673">
      <x:c r="A673" s="55"/>
      <x:c r="B673" s="55"/>
      <x:c r="C673" s="55"/>
      <x:c r="D673" s="55"/>
      <x:c r="E673" s="55"/>
      <x:c r="F673" s="55"/>
      <x:c r="G673" s="55"/>
      <x:c r="H673" s="55"/>
      <x:c r="I673" s="55"/>
      <x:c r="J673" s="55"/>
      <x:c r="K673" s="55"/>
      <x:c r="L673" s="55"/>
      <x:c r="M673" s="55"/>
      <x:c r="N673" s="55"/>
      <x:c r="O673" s="55"/>
      <x:c r="P673" s="55"/>
      <x:c r="Q673" s="55"/>
      <x:c r="R673" s="55"/>
      <x:c r="S673" s="55" t="str">
        <x:f>IF(C673="","",IFERROR(Q673*R673/100,""))</x:f>
      </x:c>
      <x:c r="T673" s="55"/>
      <x:c r="U673" s="55"/>
      <x:c r="V673" s="55" t="str">
        <x:f>IF(U673="","",U673-TODAY())</x:f>
      </x:c>
      <x:c r="W673" s="55" t="str">
        <x:f>IF(AND(U673&lt;&gt;"",U673&lt;TODAY(),O673="Активен"),"ДА","")</x:f>
      </x:c>
      <x:c r="X673" s="55"/>
      <x:c r="Y673" s="55"/>
      <x:c r="Z673" s="55"/>
      <x:c r="AA673" s="55"/>
      <x:c r="AB673" s="55" t="str">
        <x:f>IF(C673="","", "Напиши " &amp; AA673 &amp; " за бизнес: " &amp; C673 &amp; ". Тип: " &amp; D673 &amp; ". Град: " &amp; E673 &amp; ". Проблем: " &amp; L673 &amp; ". Предложение: " &amp; M673 &amp; ". Етап: " &amp; N673 &amp; ". Бележки: " &amp; Y673)</x:f>
      </x:c>
      <x:c r="AC673" s="55"/>
    </x:row>
    <x:row r="674">
      <x:c r="A674" s="55"/>
      <x:c r="B674" s="55"/>
      <x:c r="C674" s="55"/>
      <x:c r="D674" s="55"/>
      <x:c r="E674" s="55"/>
      <x:c r="F674" s="55"/>
      <x:c r="G674" s="55"/>
      <x:c r="H674" s="55"/>
      <x:c r="I674" s="55"/>
      <x:c r="J674" s="55"/>
      <x:c r="K674" s="55"/>
      <x:c r="L674" s="55"/>
      <x:c r="M674" s="55"/>
      <x:c r="N674" s="55"/>
      <x:c r="O674" s="55"/>
      <x:c r="P674" s="55"/>
      <x:c r="Q674" s="55"/>
      <x:c r="R674" s="55"/>
      <x:c r="S674" s="55" t="str">
        <x:f>IF(C674="","",IFERROR(Q674*R674/100,""))</x:f>
      </x:c>
      <x:c r="T674" s="55"/>
      <x:c r="U674" s="55"/>
      <x:c r="V674" s="55" t="str">
        <x:f>IF(U674="","",U674-TODAY())</x:f>
      </x:c>
      <x:c r="W674" s="55" t="str">
        <x:f>IF(AND(U674&lt;&gt;"",U674&lt;TODAY(),O674="Активен"),"ДА","")</x:f>
      </x:c>
      <x:c r="X674" s="55"/>
      <x:c r="Y674" s="55"/>
      <x:c r="Z674" s="55"/>
      <x:c r="AA674" s="55"/>
      <x:c r="AB674" s="55" t="str">
        <x:f>IF(C674="","", "Напиши " &amp; AA674 &amp; " за бизнес: " &amp; C674 &amp; ". Тип: " &amp; D674 &amp; ". Град: " &amp; E674 &amp; ". Проблем: " &amp; L674 &amp; ". Предложение: " &amp; M674 &amp; ". Етап: " &amp; N674 &amp; ". Бележки: " &amp; Y674)</x:f>
      </x:c>
      <x:c r="AC674" s="55"/>
    </x:row>
    <x:row r="675">
      <x:c r="A675" s="55"/>
      <x:c r="B675" s="55"/>
      <x:c r="C675" s="55"/>
      <x:c r="D675" s="55"/>
      <x:c r="E675" s="55"/>
      <x:c r="F675" s="55"/>
      <x:c r="G675" s="55"/>
      <x:c r="H675" s="55"/>
      <x:c r="I675" s="55"/>
      <x:c r="J675" s="55"/>
      <x:c r="K675" s="55"/>
      <x:c r="L675" s="55"/>
      <x:c r="M675" s="55"/>
      <x:c r="N675" s="55"/>
      <x:c r="O675" s="55"/>
      <x:c r="P675" s="55"/>
      <x:c r="Q675" s="55"/>
      <x:c r="R675" s="55"/>
      <x:c r="S675" s="55" t="str">
        <x:f>IF(C675="","",IFERROR(Q675*R675/100,""))</x:f>
      </x:c>
      <x:c r="T675" s="55"/>
      <x:c r="U675" s="55"/>
      <x:c r="V675" s="55" t="str">
        <x:f>IF(U675="","",U675-TODAY())</x:f>
      </x:c>
      <x:c r="W675" s="55" t="str">
        <x:f>IF(AND(U675&lt;&gt;"",U675&lt;TODAY(),O675="Активен"),"ДА","")</x:f>
      </x:c>
      <x:c r="X675" s="55"/>
      <x:c r="Y675" s="55"/>
      <x:c r="Z675" s="55"/>
      <x:c r="AA675" s="55"/>
      <x:c r="AB675" s="55" t="str">
        <x:f>IF(C675="","", "Напиши " &amp; AA675 &amp; " за бизнес: " &amp; C675 &amp; ". Тип: " &amp; D675 &amp; ". Град: " &amp; E675 &amp; ". Проблем: " &amp; L675 &amp; ". Предложение: " &amp; M675 &amp; ". Етап: " &amp; N675 &amp; ". Бележки: " &amp; Y675)</x:f>
      </x:c>
      <x:c r="AC675" s="55"/>
    </x:row>
    <x:row r="676">
      <x:c r="A676" s="55"/>
      <x:c r="B676" s="55"/>
      <x:c r="C676" s="55"/>
      <x:c r="D676" s="55"/>
      <x:c r="E676" s="55"/>
      <x:c r="F676" s="55"/>
      <x:c r="G676" s="55"/>
      <x:c r="H676" s="55"/>
      <x:c r="I676" s="55"/>
      <x:c r="J676" s="55"/>
      <x:c r="K676" s="55"/>
      <x:c r="L676" s="55"/>
      <x:c r="M676" s="55"/>
      <x:c r="N676" s="55"/>
      <x:c r="O676" s="55"/>
      <x:c r="P676" s="55"/>
      <x:c r="Q676" s="55"/>
      <x:c r="R676" s="55"/>
      <x:c r="S676" s="55" t="str">
        <x:f>IF(C676="","",IFERROR(Q676*R676/100,""))</x:f>
      </x:c>
      <x:c r="T676" s="55"/>
      <x:c r="U676" s="55"/>
      <x:c r="V676" s="55" t="str">
        <x:f>IF(U676="","",U676-TODAY())</x:f>
      </x:c>
      <x:c r="W676" s="55" t="str">
        <x:f>IF(AND(U676&lt;&gt;"",U676&lt;TODAY(),O676="Активен"),"ДА","")</x:f>
      </x:c>
      <x:c r="X676" s="55"/>
      <x:c r="Y676" s="55"/>
      <x:c r="Z676" s="55"/>
      <x:c r="AA676" s="55"/>
      <x:c r="AB676" s="55" t="str">
        <x:f>IF(C676="","", "Напиши " &amp; AA676 &amp; " за бизнес: " &amp; C676 &amp; ". Тип: " &amp; D676 &amp; ". Град: " &amp; E676 &amp; ". Проблем: " &amp; L676 &amp; ". Предложение: " &amp; M676 &amp; ". Етап: " &amp; N676 &amp; ". Бележки: " &amp; Y676)</x:f>
      </x:c>
      <x:c r="AC676" s="55"/>
    </x:row>
    <x:row r="677">
      <x:c r="A677" s="55"/>
      <x:c r="B677" s="55"/>
      <x:c r="C677" s="55"/>
      <x:c r="D677" s="55"/>
      <x:c r="E677" s="55"/>
      <x:c r="F677" s="55"/>
      <x:c r="G677" s="55"/>
      <x:c r="H677" s="55"/>
      <x:c r="I677" s="55"/>
      <x:c r="J677" s="55"/>
      <x:c r="K677" s="55"/>
      <x:c r="L677" s="55"/>
      <x:c r="M677" s="55"/>
      <x:c r="N677" s="55"/>
      <x:c r="O677" s="55"/>
      <x:c r="P677" s="55"/>
      <x:c r="Q677" s="55"/>
      <x:c r="R677" s="55"/>
      <x:c r="S677" s="55" t="str">
        <x:f>IF(C677="","",IFERROR(Q677*R677/100,""))</x:f>
      </x:c>
      <x:c r="T677" s="55"/>
      <x:c r="U677" s="55"/>
      <x:c r="V677" s="55" t="str">
        <x:f>IF(U677="","",U677-TODAY())</x:f>
      </x:c>
      <x:c r="W677" s="55" t="str">
        <x:f>IF(AND(U677&lt;&gt;"",U677&lt;TODAY(),O677="Активен"),"ДА","")</x:f>
      </x:c>
      <x:c r="X677" s="55"/>
      <x:c r="Y677" s="55"/>
      <x:c r="Z677" s="55"/>
      <x:c r="AA677" s="55"/>
      <x:c r="AB677" s="55" t="str">
        <x:f>IF(C677="","", "Напиши " &amp; AA677 &amp; " за бизнес: " &amp; C677 &amp; ". Тип: " &amp; D677 &amp; ". Град: " &amp; E677 &amp; ". Проблем: " &amp; L677 &amp; ". Предложение: " &amp; M677 &amp; ". Етап: " &amp; N677 &amp; ". Бележки: " &amp; Y677)</x:f>
      </x:c>
      <x:c r="AC677" s="55"/>
    </x:row>
    <x:row r="678">
      <x:c r="A678" s="55"/>
      <x:c r="B678" s="55"/>
      <x:c r="C678" s="55"/>
      <x:c r="D678" s="55"/>
      <x:c r="E678" s="55"/>
      <x:c r="F678" s="55"/>
      <x:c r="G678" s="55"/>
      <x:c r="H678" s="55"/>
      <x:c r="I678" s="55"/>
      <x:c r="J678" s="55"/>
      <x:c r="K678" s="55"/>
      <x:c r="L678" s="55"/>
      <x:c r="M678" s="55"/>
      <x:c r="N678" s="55"/>
      <x:c r="O678" s="55"/>
      <x:c r="P678" s="55"/>
      <x:c r="Q678" s="55"/>
      <x:c r="R678" s="55"/>
      <x:c r="S678" s="55" t="str">
        <x:f>IF(C678="","",IFERROR(Q678*R678/100,""))</x:f>
      </x:c>
      <x:c r="T678" s="55"/>
      <x:c r="U678" s="55"/>
      <x:c r="V678" s="55" t="str">
        <x:f>IF(U678="","",U678-TODAY())</x:f>
      </x:c>
      <x:c r="W678" s="55" t="str">
        <x:f>IF(AND(U678&lt;&gt;"",U678&lt;TODAY(),O678="Активен"),"ДА","")</x:f>
      </x:c>
      <x:c r="X678" s="55"/>
      <x:c r="Y678" s="55"/>
      <x:c r="Z678" s="55"/>
      <x:c r="AA678" s="55"/>
      <x:c r="AB678" s="55" t="str">
        <x:f>IF(C678="","", "Напиши " &amp; AA678 &amp; " за бизнес: " &amp; C678 &amp; ". Тип: " &amp; D678 &amp; ". Град: " &amp; E678 &amp; ". Проблем: " &amp; L678 &amp; ". Предложение: " &amp; M678 &amp; ". Етап: " &amp; N678 &amp; ". Бележки: " &amp; Y678)</x:f>
      </x:c>
      <x:c r="AC678" s="55"/>
    </x:row>
    <x:row r="679">
      <x:c r="A679" s="55"/>
      <x:c r="B679" s="55"/>
      <x:c r="C679" s="55"/>
      <x:c r="D679" s="55"/>
      <x:c r="E679" s="55"/>
      <x:c r="F679" s="55"/>
      <x:c r="G679" s="55"/>
      <x:c r="H679" s="55"/>
      <x:c r="I679" s="55"/>
      <x:c r="J679" s="55"/>
      <x:c r="K679" s="55"/>
      <x:c r="L679" s="55"/>
      <x:c r="M679" s="55"/>
      <x:c r="N679" s="55"/>
      <x:c r="O679" s="55"/>
      <x:c r="P679" s="55"/>
      <x:c r="Q679" s="55"/>
      <x:c r="R679" s="55"/>
      <x:c r="S679" s="55" t="str">
        <x:f>IF(C679="","",IFERROR(Q679*R679/100,""))</x:f>
      </x:c>
      <x:c r="T679" s="55"/>
      <x:c r="U679" s="55"/>
      <x:c r="V679" s="55" t="str">
        <x:f>IF(U679="","",U679-TODAY())</x:f>
      </x:c>
      <x:c r="W679" s="55" t="str">
        <x:f>IF(AND(U679&lt;&gt;"",U679&lt;TODAY(),O679="Активен"),"ДА","")</x:f>
      </x:c>
      <x:c r="X679" s="55"/>
      <x:c r="Y679" s="55"/>
      <x:c r="Z679" s="55"/>
      <x:c r="AA679" s="55"/>
      <x:c r="AB679" s="55" t="str">
        <x:f>IF(C679="","", "Напиши " &amp; AA679 &amp; " за бизнес: " &amp; C679 &amp; ". Тип: " &amp; D679 &amp; ". Град: " &amp; E679 &amp; ". Проблем: " &amp; L679 &amp; ". Предложение: " &amp; M679 &amp; ". Етап: " &amp; N679 &amp; ". Бележки: " &amp; Y679)</x:f>
      </x:c>
      <x:c r="AC679" s="55"/>
    </x:row>
    <x:row r="680">
      <x:c r="A680" s="55"/>
      <x:c r="B680" s="55"/>
      <x:c r="C680" s="55"/>
      <x:c r="D680" s="55"/>
      <x:c r="E680" s="55"/>
      <x:c r="F680" s="55"/>
      <x:c r="G680" s="55"/>
      <x:c r="H680" s="55"/>
      <x:c r="I680" s="55"/>
      <x:c r="J680" s="55"/>
      <x:c r="K680" s="55"/>
      <x:c r="L680" s="55"/>
      <x:c r="M680" s="55"/>
      <x:c r="N680" s="55"/>
      <x:c r="O680" s="55"/>
      <x:c r="P680" s="55"/>
      <x:c r="Q680" s="55"/>
      <x:c r="R680" s="55"/>
      <x:c r="S680" s="55" t="str">
        <x:f>IF(C680="","",IFERROR(Q680*R680/100,""))</x:f>
      </x:c>
      <x:c r="T680" s="55"/>
      <x:c r="U680" s="55"/>
      <x:c r="V680" s="55" t="str">
        <x:f>IF(U680="","",U680-TODAY())</x:f>
      </x:c>
      <x:c r="W680" s="55" t="str">
        <x:f>IF(AND(U680&lt;&gt;"",U680&lt;TODAY(),O680="Активен"),"ДА","")</x:f>
      </x:c>
      <x:c r="X680" s="55"/>
      <x:c r="Y680" s="55"/>
      <x:c r="Z680" s="55"/>
      <x:c r="AA680" s="55"/>
      <x:c r="AB680" s="55" t="str">
        <x:f>IF(C680="","", "Напиши " &amp; AA680 &amp; " за бизнес: " &amp; C680 &amp; ". Тип: " &amp; D680 &amp; ". Град: " &amp; E680 &amp; ". Проблем: " &amp; L680 &amp; ". Предложение: " &amp; M680 &amp; ". Етап: " &amp; N680 &amp; ". Бележки: " &amp; Y680)</x:f>
      </x:c>
      <x:c r="AC680" s="55"/>
    </x:row>
    <x:row r="681">
      <x:c r="A681" s="55"/>
      <x:c r="B681" s="55"/>
      <x:c r="C681" s="55"/>
      <x:c r="D681" s="55"/>
      <x:c r="E681" s="55"/>
      <x:c r="F681" s="55"/>
      <x:c r="G681" s="55"/>
      <x:c r="H681" s="55"/>
      <x:c r="I681" s="55"/>
      <x:c r="J681" s="55"/>
      <x:c r="K681" s="55"/>
      <x:c r="L681" s="55"/>
      <x:c r="M681" s="55"/>
      <x:c r="N681" s="55"/>
      <x:c r="O681" s="55"/>
      <x:c r="P681" s="55"/>
      <x:c r="Q681" s="55"/>
      <x:c r="R681" s="55"/>
      <x:c r="S681" s="55" t="str">
        <x:f>IF(C681="","",IFERROR(Q681*R681/100,""))</x:f>
      </x:c>
      <x:c r="T681" s="55"/>
      <x:c r="U681" s="55"/>
      <x:c r="V681" s="55" t="str">
        <x:f>IF(U681="","",U681-TODAY())</x:f>
      </x:c>
      <x:c r="W681" s="55" t="str">
        <x:f>IF(AND(U681&lt;&gt;"",U681&lt;TODAY(),O681="Активен"),"ДА","")</x:f>
      </x:c>
      <x:c r="X681" s="55"/>
      <x:c r="Y681" s="55"/>
      <x:c r="Z681" s="55"/>
      <x:c r="AA681" s="55"/>
      <x:c r="AB681" s="55" t="str">
        <x:f>IF(C681="","", "Напиши " &amp; AA681 &amp; " за бизнес: " &amp; C681 &amp; ". Тип: " &amp; D681 &amp; ". Град: " &amp; E681 &amp; ". Проблем: " &amp; L681 &amp; ". Предложение: " &amp; M681 &amp; ". Етап: " &amp; N681 &amp; ". Бележки: " &amp; Y681)</x:f>
      </x:c>
      <x:c r="AC681" s="55"/>
    </x:row>
    <x:row r="682">
      <x:c r="A682" s="55"/>
      <x:c r="B682" s="55"/>
      <x:c r="C682" s="55"/>
      <x:c r="D682" s="55"/>
      <x:c r="E682" s="55"/>
      <x:c r="F682" s="55"/>
      <x:c r="G682" s="55"/>
      <x:c r="H682" s="55"/>
      <x:c r="I682" s="55"/>
      <x:c r="J682" s="55"/>
      <x:c r="K682" s="55"/>
      <x:c r="L682" s="55"/>
      <x:c r="M682" s="55"/>
      <x:c r="N682" s="55"/>
      <x:c r="O682" s="55"/>
      <x:c r="P682" s="55"/>
      <x:c r="Q682" s="55"/>
      <x:c r="R682" s="55"/>
      <x:c r="S682" s="55" t="str">
        <x:f>IF(C682="","",IFERROR(Q682*R682/100,""))</x:f>
      </x:c>
      <x:c r="T682" s="55"/>
      <x:c r="U682" s="55"/>
      <x:c r="V682" s="55" t="str">
        <x:f>IF(U682="","",U682-TODAY())</x:f>
      </x:c>
      <x:c r="W682" s="55" t="str">
        <x:f>IF(AND(U682&lt;&gt;"",U682&lt;TODAY(),O682="Активен"),"ДА","")</x:f>
      </x:c>
      <x:c r="X682" s="55"/>
      <x:c r="Y682" s="55"/>
      <x:c r="Z682" s="55"/>
      <x:c r="AA682" s="55"/>
      <x:c r="AB682" s="55" t="str">
        <x:f>IF(C682="","", "Напиши " &amp; AA682 &amp; " за бизнес: " &amp; C682 &amp; ". Тип: " &amp; D682 &amp; ". Град: " &amp; E682 &amp; ". Проблем: " &amp; L682 &amp; ". Предложение: " &amp; M682 &amp; ". Етап: " &amp; N682 &amp; ". Бележки: " &amp; Y682)</x:f>
      </x:c>
      <x:c r="AC682" s="55"/>
    </x:row>
    <x:row r="683">
      <x:c r="A683" s="55"/>
      <x:c r="B683" s="55"/>
      <x:c r="C683" s="55"/>
      <x:c r="D683" s="55"/>
      <x:c r="E683" s="55"/>
      <x:c r="F683" s="55"/>
      <x:c r="G683" s="55"/>
      <x:c r="H683" s="55"/>
      <x:c r="I683" s="55"/>
      <x:c r="J683" s="55"/>
      <x:c r="K683" s="55"/>
      <x:c r="L683" s="55"/>
      <x:c r="M683" s="55"/>
      <x:c r="N683" s="55"/>
      <x:c r="O683" s="55"/>
      <x:c r="P683" s="55"/>
      <x:c r="Q683" s="55"/>
      <x:c r="R683" s="55"/>
      <x:c r="S683" s="55" t="str">
        <x:f>IF(C683="","",IFERROR(Q683*R683/100,""))</x:f>
      </x:c>
      <x:c r="T683" s="55"/>
      <x:c r="U683" s="55"/>
      <x:c r="V683" s="55" t="str">
        <x:f>IF(U683="","",U683-TODAY())</x:f>
      </x:c>
      <x:c r="W683" s="55" t="str">
        <x:f>IF(AND(U683&lt;&gt;"",U683&lt;TODAY(),O683="Активен"),"ДА","")</x:f>
      </x:c>
      <x:c r="X683" s="55"/>
      <x:c r="Y683" s="55"/>
      <x:c r="Z683" s="55"/>
      <x:c r="AA683" s="55"/>
      <x:c r="AB683" s="55" t="str">
        <x:f>IF(C683="","", "Напиши " &amp; AA683 &amp; " за бизнес: " &amp; C683 &amp; ". Тип: " &amp; D683 &amp; ". Град: " &amp; E683 &amp; ". Проблем: " &amp; L683 &amp; ". Предложение: " &amp; M683 &amp; ". Етап: " &amp; N683 &amp; ". Бележки: " &amp; Y683)</x:f>
      </x:c>
      <x:c r="AC683" s="55"/>
    </x:row>
    <x:row r="684">
      <x:c r="A684" s="55"/>
      <x:c r="B684" s="55"/>
      <x:c r="C684" s="55"/>
      <x:c r="D684" s="55"/>
      <x:c r="E684" s="55"/>
      <x:c r="F684" s="55"/>
      <x:c r="G684" s="55"/>
      <x:c r="H684" s="55"/>
      <x:c r="I684" s="55"/>
      <x:c r="J684" s="55"/>
      <x:c r="K684" s="55"/>
      <x:c r="L684" s="55"/>
      <x:c r="M684" s="55"/>
      <x:c r="N684" s="55"/>
      <x:c r="O684" s="55"/>
      <x:c r="P684" s="55"/>
      <x:c r="Q684" s="55"/>
      <x:c r="R684" s="55"/>
      <x:c r="S684" s="55" t="str">
        <x:f>IF(C684="","",IFERROR(Q684*R684/100,""))</x:f>
      </x:c>
      <x:c r="T684" s="55"/>
      <x:c r="U684" s="55"/>
      <x:c r="V684" s="55" t="str">
        <x:f>IF(U684="","",U684-TODAY())</x:f>
      </x:c>
      <x:c r="W684" s="55" t="str">
        <x:f>IF(AND(U684&lt;&gt;"",U684&lt;TODAY(),O684="Активен"),"ДА","")</x:f>
      </x:c>
      <x:c r="X684" s="55"/>
      <x:c r="Y684" s="55"/>
      <x:c r="Z684" s="55"/>
      <x:c r="AA684" s="55"/>
      <x:c r="AB684" s="55" t="str">
        <x:f>IF(C684="","", "Напиши " &amp; AA684 &amp; " за бизнес: " &amp; C684 &amp; ". Тип: " &amp; D684 &amp; ". Град: " &amp; E684 &amp; ". Проблем: " &amp; L684 &amp; ". Предложение: " &amp; M684 &amp; ". Етап: " &amp; N684 &amp; ". Бележки: " &amp; Y684)</x:f>
      </x:c>
      <x:c r="AC684" s="55"/>
    </x:row>
    <x:row r="685">
      <x:c r="A685" s="55"/>
      <x:c r="B685" s="55"/>
      <x:c r="C685" s="55"/>
      <x:c r="D685" s="55"/>
      <x:c r="E685" s="55"/>
      <x:c r="F685" s="55"/>
      <x:c r="G685" s="55"/>
      <x:c r="H685" s="55"/>
      <x:c r="I685" s="55"/>
      <x:c r="J685" s="55"/>
      <x:c r="K685" s="55"/>
      <x:c r="L685" s="55"/>
      <x:c r="M685" s="55"/>
      <x:c r="N685" s="55"/>
      <x:c r="O685" s="55"/>
      <x:c r="P685" s="55"/>
      <x:c r="Q685" s="55"/>
      <x:c r="R685" s="55"/>
      <x:c r="S685" s="55" t="str">
        <x:f>IF(C685="","",IFERROR(Q685*R685/100,""))</x:f>
      </x:c>
      <x:c r="T685" s="55"/>
      <x:c r="U685" s="55"/>
      <x:c r="V685" s="55" t="str">
        <x:f>IF(U685="","",U685-TODAY())</x:f>
      </x:c>
      <x:c r="W685" s="55" t="str">
        <x:f>IF(AND(U685&lt;&gt;"",U685&lt;TODAY(),O685="Активен"),"ДА","")</x:f>
      </x:c>
      <x:c r="X685" s="55"/>
      <x:c r="Y685" s="55"/>
      <x:c r="Z685" s="55"/>
      <x:c r="AA685" s="55"/>
      <x:c r="AB685" s="55" t="str">
        <x:f>IF(C685="","", "Напиши " &amp; AA685 &amp; " за бизнес: " &amp; C685 &amp; ". Тип: " &amp; D685 &amp; ". Град: " &amp; E685 &amp; ". Проблем: " &amp; L685 &amp; ". Предложение: " &amp; M685 &amp; ". Етап: " &amp; N685 &amp; ". Бележки: " &amp; Y685)</x:f>
      </x:c>
      <x:c r="AC685" s="55"/>
    </x:row>
    <x:row r="686">
      <x:c r="A686" s="55"/>
      <x:c r="B686" s="55"/>
      <x:c r="C686" s="55"/>
      <x:c r="D686" s="55"/>
      <x:c r="E686" s="55"/>
      <x:c r="F686" s="55"/>
      <x:c r="G686" s="55"/>
      <x:c r="H686" s="55"/>
      <x:c r="I686" s="55"/>
      <x:c r="J686" s="55"/>
      <x:c r="K686" s="55"/>
      <x:c r="L686" s="55"/>
      <x:c r="M686" s="55"/>
      <x:c r="N686" s="55"/>
      <x:c r="O686" s="55"/>
      <x:c r="P686" s="55"/>
      <x:c r="Q686" s="55"/>
      <x:c r="R686" s="55"/>
      <x:c r="S686" s="55" t="str">
        <x:f>IF(C686="","",IFERROR(Q686*R686/100,""))</x:f>
      </x:c>
      <x:c r="T686" s="55"/>
      <x:c r="U686" s="55"/>
      <x:c r="V686" s="55" t="str">
        <x:f>IF(U686="","",U686-TODAY())</x:f>
      </x:c>
      <x:c r="W686" s="55" t="str">
        <x:f>IF(AND(U686&lt;&gt;"",U686&lt;TODAY(),O686="Активен"),"ДА","")</x:f>
      </x:c>
      <x:c r="X686" s="55"/>
      <x:c r="Y686" s="55"/>
      <x:c r="Z686" s="55"/>
      <x:c r="AA686" s="55"/>
      <x:c r="AB686" s="55" t="str">
        <x:f>IF(C686="","", "Напиши " &amp; AA686 &amp; " за бизнес: " &amp; C686 &amp; ". Тип: " &amp; D686 &amp; ". Град: " &amp; E686 &amp; ". Проблем: " &amp; L686 &amp; ". Предложение: " &amp; M686 &amp; ". Етап: " &amp; N686 &amp; ". Бележки: " &amp; Y686)</x:f>
      </x:c>
      <x:c r="AC686" s="55"/>
    </x:row>
    <x:row r="687">
      <x:c r="A687" s="55"/>
      <x:c r="B687" s="55"/>
      <x:c r="C687" s="55"/>
      <x:c r="D687" s="55"/>
      <x:c r="E687" s="55"/>
      <x:c r="F687" s="55"/>
      <x:c r="G687" s="55"/>
      <x:c r="H687" s="55"/>
      <x:c r="I687" s="55"/>
      <x:c r="J687" s="55"/>
      <x:c r="K687" s="55"/>
      <x:c r="L687" s="55"/>
      <x:c r="M687" s="55"/>
      <x:c r="N687" s="55"/>
      <x:c r="O687" s="55"/>
      <x:c r="P687" s="55"/>
      <x:c r="Q687" s="55"/>
      <x:c r="R687" s="55"/>
      <x:c r="S687" s="55" t="str">
        <x:f>IF(C687="","",IFERROR(Q687*R687/100,""))</x:f>
      </x:c>
      <x:c r="T687" s="55"/>
      <x:c r="U687" s="55"/>
      <x:c r="V687" s="55" t="str">
        <x:f>IF(U687="","",U687-TODAY())</x:f>
      </x:c>
      <x:c r="W687" s="55" t="str">
        <x:f>IF(AND(U687&lt;&gt;"",U687&lt;TODAY(),O687="Активен"),"ДА","")</x:f>
      </x:c>
      <x:c r="X687" s="55"/>
      <x:c r="Y687" s="55"/>
      <x:c r="Z687" s="55"/>
      <x:c r="AA687" s="55"/>
      <x:c r="AB687" s="55" t="str">
        <x:f>IF(C687="","", "Напиши " &amp; AA687 &amp; " за бизнес: " &amp; C687 &amp; ". Тип: " &amp; D687 &amp; ". Град: " &amp; E687 &amp; ". Проблем: " &amp; L687 &amp; ". Предложение: " &amp; M687 &amp; ". Етап: " &amp; N687 &amp; ". Бележки: " &amp; Y687)</x:f>
      </x:c>
      <x:c r="AC687" s="55"/>
    </x:row>
    <x:row r="688">
      <x:c r="A688" s="55"/>
      <x:c r="B688" s="55"/>
      <x:c r="C688" s="55"/>
      <x:c r="D688" s="55"/>
      <x:c r="E688" s="55"/>
      <x:c r="F688" s="55"/>
      <x:c r="G688" s="55"/>
      <x:c r="H688" s="55"/>
      <x:c r="I688" s="55"/>
      <x:c r="J688" s="55"/>
      <x:c r="K688" s="55"/>
      <x:c r="L688" s="55"/>
      <x:c r="M688" s="55"/>
      <x:c r="N688" s="55"/>
      <x:c r="O688" s="55"/>
      <x:c r="P688" s="55"/>
      <x:c r="Q688" s="55"/>
      <x:c r="R688" s="55"/>
      <x:c r="S688" s="55" t="str">
        <x:f>IF(C688="","",IFERROR(Q688*R688/100,""))</x:f>
      </x:c>
      <x:c r="T688" s="55"/>
      <x:c r="U688" s="55"/>
      <x:c r="V688" s="55" t="str">
        <x:f>IF(U688="","",U688-TODAY())</x:f>
      </x:c>
      <x:c r="W688" s="55" t="str">
        <x:f>IF(AND(U688&lt;&gt;"",U688&lt;TODAY(),O688="Активен"),"ДА","")</x:f>
      </x:c>
      <x:c r="X688" s="55"/>
      <x:c r="Y688" s="55"/>
      <x:c r="Z688" s="55"/>
      <x:c r="AA688" s="55"/>
      <x:c r="AB688" s="55" t="str">
        <x:f>IF(C688="","", "Напиши " &amp; AA688 &amp; " за бизнес: " &amp; C688 &amp; ". Тип: " &amp; D688 &amp; ". Град: " &amp; E688 &amp; ". Проблем: " &amp; L688 &amp; ". Предложение: " &amp; M688 &amp; ". Етап: " &amp; N688 &amp; ". Бележки: " &amp; Y688)</x:f>
      </x:c>
      <x:c r="AC688" s="55"/>
    </x:row>
    <x:row r="689">
      <x:c r="A689" s="55"/>
      <x:c r="B689" s="55"/>
      <x:c r="C689" s="55"/>
      <x:c r="D689" s="55"/>
      <x:c r="E689" s="55"/>
      <x:c r="F689" s="55"/>
      <x:c r="G689" s="55"/>
      <x:c r="H689" s="55"/>
      <x:c r="I689" s="55"/>
      <x:c r="J689" s="55"/>
      <x:c r="K689" s="55"/>
      <x:c r="L689" s="55"/>
      <x:c r="M689" s="55"/>
      <x:c r="N689" s="55"/>
      <x:c r="O689" s="55"/>
      <x:c r="P689" s="55"/>
      <x:c r="Q689" s="55"/>
      <x:c r="R689" s="55"/>
      <x:c r="S689" s="55" t="str">
        <x:f>IF(C689="","",IFERROR(Q689*R689/100,""))</x:f>
      </x:c>
      <x:c r="T689" s="55"/>
      <x:c r="U689" s="55"/>
      <x:c r="V689" s="55" t="str">
        <x:f>IF(U689="","",U689-TODAY())</x:f>
      </x:c>
      <x:c r="W689" s="55" t="str">
        <x:f>IF(AND(U689&lt;&gt;"",U689&lt;TODAY(),O689="Активен"),"ДА","")</x:f>
      </x:c>
      <x:c r="X689" s="55"/>
      <x:c r="Y689" s="55"/>
      <x:c r="Z689" s="55"/>
      <x:c r="AA689" s="55"/>
      <x:c r="AB689" s="55" t="str">
        <x:f>IF(C689="","", "Напиши " &amp; AA689 &amp; " за бизнес: " &amp; C689 &amp; ". Тип: " &amp; D689 &amp; ". Град: " &amp; E689 &amp; ". Проблем: " &amp; L689 &amp; ". Предложение: " &amp; M689 &amp; ". Етап: " &amp; N689 &amp; ". Бележки: " &amp; Y689)</x:f>
      </x:c>
      <x:c r="AC689" s="55"/>
    </x:row>
    <x:row r="690">
      <x:c r="A690" s="55"/>
      <x:c r="B690" s="55"/>
      <x:c r="C690" s="55"/>
      <x:c r="D690" s="55"/>
      <x:c r="E690" s="55"/>
      <x:c r="F690" s="55"/>
      <x:c r="G690" s="55"/>
      <x:c r="H690" s="55"/>
      <x:c r="I690" s="55"/>
      <x:c r="J690" s="55"/>
      <x:c r="K690" s="55"/>
      <x:c r="L690" s="55"/>
      <x:c r="M690" s="55"/>
      <x:c r="N690" s="55"/>
      <x:c r="O690" s="55"/>
      <x:c r="P690" s="55"/>
      <x:c r="Q690" s="55"/>
      <x:c r="R690" s="55"/>
      <x:c r="S690" s="55" t="str">
        <x:f>IF(C690="","",IFERROR(Q690*R690/100,""))</x:f>
      </x:c>
      <x:c r="T690" s="55"/>
      <x:c r="U690" s="55"/>
      <x:c r="V690" s="55" t="str">
        <x:f>IF(U690="","",U690-TODAY())</x:f>
      </x:c>
      <x:c r="W690" s="55" t="str">
        <x:f>IF(AND(U690&lt;&gt;"",U690&lt;TODAY(),O690="Активен"),"ДА","")</x:f>
      </x:c>
      <x:c r="X690" s="55"/>
      <x:c r="Y690" s="55"/>
      <x:c r="Z690" s="55"/>
      <x:c r="AA690" s="55"/>
      <x:c r="AB690" s="55" t="str">
        <x:f>IF(C690="","", "Напиши " &amp; AA690 &amp; " за бизнес: " &amp; C690 &amp; ". Тип: " &amp; D690 &amp; ". Град: " &amp; E690 &amp; ". Проблем: " &amp; L690 &amp; ". Предложение: " &amp; M690 &amp; ". Етап: " &amp; N690 &amp; ". Бележки: " &amp; Y690)</x:f>
      </x:c>
      <x:c r="AC690" s="55"/>
    </x:row>
    <x:row r="691">
      <x:c r="A691" s="55"/>
      <x:c r="B691" s="55"/>
      <x:c r="C691" s="55"/>
      <x:c r="D691" s="55"/>
      <x:c r="E691" s="55"/>
      <x:c r="F691" s="55"/>
      <x:c r="G691" s="55"/>
      <x:c r="H691" s="55"/>
      <x:c r="I691" s="55"/>
      <x:c r="J691" s="55"/>
      <x:c r="K691" s="55"/>
      <x:c r="L691" s="55"/>
      <x:c r="M691" s="55"/>
      <x:c r="N691" s="55"/>
      <x:c r="O691" s="55"/>
      <x:c r="P691" s="55"/>
      <x:c r="Q691" s="55"/>
      <x:c r="R691" s="55"/>
      <x:c r="S691" s="55" t="str">
        <x:f>IF(C691="","",IFERROR(Q691*R691/100,""))</x:f>
      </x:c>
      <x:c r="T691" s="55"/>
      <x:c r="U691" s="55"/>
      <x:c r="V691" s="55" t="str">
        <x:f>IF(U691="","",U691-TODAY())</x:f>
      </x:c>
      <x:c r="W691" s="55" t="str">
        <x:f>IF(AND(U691&lt;&gt;"",U691&lt;TODAY(),O691="Активен"),"ДА","")</x:f>
      </x:c>
      <x:c r="X691" s="55"/>
      <x:c r="Y691" s="55"/>
      <x:c r="Z691" s="55"/>
      <x:c r="AA691" s="55"/>
      <x:c r="AB691" s="55" t="str">
        <x:f>IF(C691="","", "Напиши " &amp; AA691 &amp; " за бизнес: " &amp; C691 &amp; ". Тип: " &amp; D691 &amp; ". Град: " &amp; E691 &amp; ". Проблем: " &amp; L691 &amp; ". Предложение: " &amp; M691 &amp; ". Етап: " &amp; N691 &amp; ". Бележки: " &amp; Y691)</x:f>
      </x:c>
      <x:c r="AC691" s="55"/>
    </x:row>
    <x:row r="692">
      <x:c r="A692" s="55"/>
      <x:c r="B692" s="55"/>
      <x:c r="C692" s="55"/>
      <x:c r="D692" s="55"/>
      <x:c r="E692" s="55"/>
      <x:c r="F692" s="55"/>
      <x:c r="G692" s="55"/>
      <x:c r="H692" s="55"/>
      <x:c r="I692" s="55"/>
      <x:c r="J692" s="55"/>
      <x:c r="K692" s="55"/>
      <x:c r="L692" s="55"/>
      <x:c r="M692" s="55"/>
      <x:c r="N692" s="55"/>
      <x:c r="O692" s="55"/>
      <x:c r="P692" s="55"/>
      <x:c r="Q692" s="55"/>
      <x:c r="R692" s="55"/>
      <x:c r="S692" s="55" t="str">
        <x:f>IF(C692="","",IFERROR(Q692*R692/100,""))</x:f>
      </x:c>
      <x:c r="T692" s="55"/>
      <x:c r="U692" s="55"/>
      <x:c r="V692" s="55" t="str">
        <x:f>IF(U692="","",U692-TODAY())</x:f>
      </x:c>
      <x:c r="W692" s="55" t="str">
        <x:f>IF(AND(U692&lt;&gt;"",U692&lt;TODAY(),O692="Активен"),"ДА","")</x:f>
      </x:c>
      <x:c r="X692" s="55"/>
      <x:c r="Y692" s="55"/>
      <x:c r="Z692" s="55"/>
      <x:c r="AA692" s="55"/>
      <x:c r="AB692" s="55" t="str">
        <x:f>IF(C692="","", "Напиши " &amp; AA692 &amp; " за бизнес: " &amp; C692 &amp; ". Тип: " &amp; D692 &amp; ". Град: " &amp; E692 &amp; ". Проблем: " &amp; L692 &amp; ". Предложение: " &amp; M692 &amp; ". Етап: " &amp; N692 &amp; ". Бележки: " &amp; Y692)</x:f>
      </x:c>
      <x:c r="AC692" s="55"/>
    </x:row>
    <x:row r="693">
      <x:c r="A693" s="55"/>
      <x:c r="B693" s="55"/>
      <x:c r="C693" s="55"/>
      <x:c r="D693" s="55"/>
      <x:c r="E693" s="55"/>
      <x:c r="F693" s="55"/>
      <x:c r="G693" s="55"/>
      <x:c r="H693" s="55"/>
      <x:c r="I693" s="55"/>
      <x:c r="J693" s="55"/>
      <x:c r="K693" s="55"/>
      <x:c r="L693" s="55"/>
      <x:c r="M693" s="55"/>
      <x:c r="N693" s="55"/>
      <x:c r="O693" s="55"/>
      <x:c r="P693" s="55"/>
      <x:c r="Q693" s="55"/>
      <x:c r="R693" s="55"/>
      <x:c r="S693" s="55" t="str">
        <x:f>IF(C693="","",IFERROR(Q693*R693/100,""))</x:f>
      </x:c>
      <x:c r="T693" s="55"/>
      <x:c r="U693" s="55"/>
      <x:c r="V693" s="55" t="str">
        <x:f>IF(U693="","",U693-TODAY())</x:f>
      </x:c>
      <x:c r="W693" s="55" t="str">
        <x:f>IF(AND(U693&lt;&gt;"",U693&lt;TODAY(),O693="Активен"),"ДА","")</x:f>
      </x:c>
      <x:c r="X693" s="55"/>
      <x:c r="Y693" s="55"/>
      <x:c r="Z693" s="55"/>
      <x:c r="AA693" s="55"/>
      <x:c r="AB693" s="55" t="str">
        <x:f>IF(C693="","", "Напиши " &amp; AA693 &amp; " за бизнес: " &amp; C693 &amp; ". Тип: " &amp; D693 &amp; ". Град: " &amp; E693 &amp; ". Проблем: " &amp; L693 &amp; ". Предложение: " &amp; M693 &amp; ". Етап: " &amp; N693 &amp; ". Бележки: " &amp; Y693)</x:f>
      </x:c>
      <x:c r="AC693" s="55"/>
    </x:row>
    <x:row r="694">
      <x:c r="A694" s="55"/>
      <x:c r="B694" s="55"/>
      <x:c r="C694" s="55"/>
      <x:c r="D694" s="55"/>
      <x:c r="E694" s="55"/>
      <x:c r="F694" s="55"/>
      <x:c r="G694" s="55"/>
      <x:c r="H694" s="55"/>
      <x:c r="I694" s="55"/>
      <x:c r="J694" s="55"/>
      <x:c r="K694" s="55"/>
      <x:c r="L694" s="55"/>
      <x:c r="M694" s="55"/>
      <x:c r="N694" s="55"/>
      <x:c r="O694" s="55"/>
      <x:c r="P694" s="55"/>
      <x:c r="Q694" s="55"/>
      <x:c r="R694" s="55"/>
      <x:c r="S694" s="55" t="str">
        <x:f>IF(C694="","",IFERROR(Q694*R694/100,""))</x:f>
      </x:c>
      <x:c r="T694" s="55"/>
      <x:c r="U694" s="55"/>
      <x:c r="V694" s="55" t="str">
        <x:f>IF(U694="","",U694-TODAY())</x:f>
      </x:c>
      <x:c r="W694" s="55" t="str">
        <x:f>IF(AND(U694&lt;&gt;"",U694&lt;TODAY(),O694="Активен"),"ДА","")</x:f>
      </x:c>
      <x:c r="X694" s="55"/>
      <x:c r="Y694" s="55"/>
      <x:c r="Z694" s="55"/>
      <x:c r="AA694" s="55"/>
      <x:c r="AB694" s="55" t="str">
        <x:f>IF(C694="","", "Напиши " &amp; AA694 &amp; " за бизнес: " &amp; C694 &amp; ". Тип: " &amp; D694 &amp; ". Град: " &amp; E694 &amp; ". Проблем: " &amp; L694 &amp; ". Предложение: " &amp; M694 &amp; ". Етап: " &amp; N694 &amp; ". Бележки: " &amp; Y694)</x:f>
      </x:c>
      <x:c r="AC694" s="55"/>
    </x:row>
    <x:row r="695">
      <x:c r="A695" s="55"/>
      <x:c r="B695" s="55"/>
      <x:c r="C695" s="55"/>
      <x:c r="D695" s="55"/>
      <x:c r="E695" s="55"/>
      <x:c r="F695" s="55"/>
      <x:c r="G695" s="55"/>
      <x:c r="H695" s="55"/>
      <x:c r="I695" s="55"/>
      <x:c r="J695" s="55"/>
      <x:c r="K695" s="55"/>
      <x:c r="L695" s="55"/>
      <x:c r="M695" s="55"/>
      <x:c r="N695" s="55"/>
      <x:c r="O695" s="55"/>
      <x:c r="P695" s="55"/>
      <x:c r="Q695" s="55"/>
      <x:c r="R695" s="55"/>
      <x:c r="S695" s="55" t="str">
        <x:f>IF(C695="","",IFERROR(Q695*R695/100,""))</x:f>
      </x:c>
      <x:c r="T695" s="55"/>
      <x:c r="U695" s="55"/>
      <x:c r="V695" s="55" t="str">
        <x:f>IF(U695="","",U695-TODAY())</x:f>
      </x:c>
      <x:c r="W695" s="55" t="str">
        <x:f>IF(AND(U695&lt;&gt;"",U695&lt;TODAY(),O695="Активен"),"ДА","")</x:f>
      </x:c>
      <x:c r="X695" s="55"/>
      <x:c r="Y695" s="55"/>
      <x:c r="Z695" s="55"/>
      <x:c r="AA695" s="55"/>
      <x:c r="AB695" s="55" t="str">
        <x:f>IF(C695="","", "Напиши " &amp; AA695 &amp; " за бизнес: " &amp; C695 &amp; ". Тип: " &amp; D695 &amp; ". Град: " &amp; E695 &amp; ". Проблем: " &amp; L695 &amp; ". Предложение: " &amp; M695 &amp; ". Етап: " &amp; N695 &amp; ". Бележки: " &amp; Y695)</x:f>
      </x:c>
      <x:c r="AC695" s="55"/>
    </x:row>
    <x:row r="696">
      <x:c r="A696" s="55"/>
      <x:c r="B696" s="55"/>
      <x:c r="C696" s="55"/>
      <x:c r="D696" s="55"/>
      <x:c r="E696" s="55"/>
      <x:c r="F696" s="55"/>
      <x:c r="G696" s="55"/>
      <x:c r="H696" s="55"/>
      <x:c r="I696" s="55"/>
      <x:c r="J696" s="55"/>
      <x:c r="K696" s="55"/>
      <x:c r="L696" s="55"/>
      <x:c r="M696" s="55"/>
      <x:c r="N696" s="55"/>
      <x:c r="O696" s="55"/>
      <x:c r="P696" s="55"/>
      <x:c r="Q696" s="55"/>
      <x:c r="R696" s="55"/>
      <x:c r="S696" s="55" t="str">
        <x:f>IF(C696="","",IFERROR(Q696*R696/100,""))</x:f>
      </x:c>
      <x:c r="T696" s="55"/>
      <x:c r="U696" s="55"/>
      <x:c r="V696" s="55" t="str">
        <x:f>IF(U696="","",U696-TODAY())</x:f>
      </x:c>
      <x:c r="W696" s="55" t="str">
        <x:f>IF(AND(U696&lt;&gt;"",U696&lt;TODAY(),O696="Активен"),"ДА","")</x:f>
      </x:c>
      <x:c r="X696" s="55"/>
      <x:c r="Y696" s="55"/>
      <x:c r="Z696" s="55"/>
      <x:c r="AA696" s="55"/>
      <x:c r="AB696" s="55" t="str">
        <x:f>IF(C696="","", "Напиши " &amp; AA696 &amp; " за бизнес: " &amp; C696 &amp; ". Тип: " &amp; D696 &amp; ". Град: " &amp; E696 &amp; ". Проблем: " &amp; L696 &amp; ". Предложение: " &amp; M696 &amp; ". Етап: " &amp; N696 &amp; ". Бележки: " &amp; Y696)</x:f>
      </x:c>
      <x:c r="AC696" s="55"/>
    </x:row>
    <x:row r="697">
      <x:c r="A697" s="55"/>
      <x:c r="B697" s="55"/>
      <x:c r="C697" s="55"/>
      <x:c r="D697" s="55"/>
      <x:c r="E697" s="55"/>
      <x:c r="F697" s="55"/>
      <x:c r="G697" s="55"/>
      <x:c r="H697" s="55"/>
      <x:c r="I697" s="55"/>
      <x:c r="J697" s="55"/>
      <x:c r="K697" s="55"/>
      <x:c r="L697" s="55"/>
      <x:c r="M697" s="55"/>
      <x:c r="N697" s="55"/>
      <x:c r="O697" s="55"/>
      <x:c r="P697" s="55"/>
      <x:c r="Q697" s="55"/>
      <x:c r="R697" s="55"/>
      <x:c r="S697" s="55" t="str">
        <x:f>IF(C697="","",IFERROR(Q697*R697/100,""))</x:f>
      </x:c>
      <x:c r="T697" s="55"/>
      <x:c r="U697" s="55"/>
      <x:c r="V697" s="55" t="str">
        <x:f>IF(U697="","",U697-TODAY())</x:f>
      </x:c>
      <x:c r="W697" s="55" t="str">
        <x:f>IF(AND(U697&lt;&gt;"",U697&lt;TODAY(),O697="Активен"),"ДА","")</x:f>
      </x:c>
      <x:c r="X697" s="55"/>
      <x:c r="Y697" s="55"/>
      <x:c r="Z697" s="55"/>
      <x:c r="AA697" s="55"/>
      <x:c r="AB697" s="55" t="str">
        <x:f>IF(C697="","", "Напиши " &amp; AA697 &amp; " за бизнес: " &amp; C697 &amp; ". Тип: " &amp; D697 &amp; ". Град: " &amp; E697 &amp; ". Проблем: " &amp; L697 &amp; ". Предложение: " &amp; M697 &amp; ". Етап: " &amp; N697 &amp; ". Бележки: " &amp; Y697)</x:f>
      </x:c>
      <x:c r="AC697" s="55"/>
    </x:row>
    <x:row r="698">
      <x:c r="A698" s="55"/>
      <x:c r="B698" s="55"/>
      <x:c r="C698" s="55"/>
      <x:c r="D698" s="55"/>
      <x:c r="E698" s="55"/>
      <x:c r="F698" s="55"/>
      <x:c r="G698" s="55"/>
      <x:c r="H698" s="55"/>
      <x:c r="I698" s="55"/>
      <x:c r="J698" s="55"/>
      <x:c r="K698" s="55"/>
      <x:c r="L698" s="55"/>
      <x:c r="M698" s="55"/>
      <x:c r="N698" s="55"/>
      <x:c r="O698" s="55"/>
      <x:c r="P698" s="55"/>
      <x:c r="Q698" s="55"/>
      <x:c r="R698" s="55"/>
      <x:c r="S698" s="55" t="str">
        <x:f>IF(C698="","",IFERROR(Q698*R698/100,""))</x:f>
      </x:c>
      <x:c r="T698" s="55"/>
      <x:c r="U698" s="55"/>
      <x:c r="V698" s="55" t="str">
        <x:f>IF(U698="","",U698-TODAY())</x:f>
      </x:c>
      <x:c r="W698" s="55" t="str">
        <x:f>IF(AND(U698&lt;&gt;"",U698&lt;TODAY(),O698="Активен"),"ДА","")</x:f>
      </x:c>
      <x:c r="X698" s="55"/>
      <x:c r="Y698" s="55"/>
      <x:c r="Z698" s="55"/>
      <x:c r="AA698" s="55"/>
      <x:c r="AB698" s="55" t="str">
        <x:f>IF(C698="","", "Напиши " &amp; AA698 &amp; " за бизнес: " &amp; C698 &amp; ". Тип: " &amp; D698 &amp; ". Град: " &amp; E698 &amp; ". Проблем: " &amp; L698 &amp; ". Предложение: " &amp; M698 &amp; ". Етап: " &amp; N698 &amp; ". Бележки: " &amp; Y698)</x:f>
      </x:c>
      <x:c r="AC698" s="55"/>
    </x:row>
    <x:row r="699">
      <x:c r="A699" s="55"/>
      <x:c r="B699" s="55"/>
      <x:c r="C699" s="55"/>
      <x:c r="D699" s="55"/>
      <x:c r="E699" s="55"/>
      <x:c r="F699" s="55"/>
      <x:c r="G699" s="55"/>
      <x:c r="H699" s="55"/>
      <x:c r="I699" s="55"/>
      <x:c r="J699" s="55"/>
      <x:c r="K699" s="55"/>
      <x:c r="L699" s="55"/>
      <x:c r="M699" s="55"/>
      <x:c r="N699" s="55"/>
      <x:c r="O699" s="55"/>
      <x:c r="P699" s="55"/>
      <x:c r="Q699" s="55"/>
      <x:c r="R699" s="55"/>
      <x:c r="S699" s="55" t="str">
        <x:f>IF(C699="","",IFERROR(Q699*R699/100,""))</x:f>
      </x:c>
      <x:c r="T699" s="55"/>
      <x:c r="U699" s="55"/>
      <x:c r="V699" s="55" t="str">
        <x:f>IF(U699="","",U699-TODAY())</x:f>
      </x:c>
      <x:c r="W699" s="55" t="str">
        <x:f>IF(AND(U699&lt;&gt;"",U699&lt;TODAY(),O699="Активен"),"ДА","")</x:f>
      </x:c>
      <x:c r="X699" s="55"/>
      <x:c r="Y699" s="55"/>
      <x:c r="Z699" s="55"/>
      <x:c r="AA699" s="55"/>
      <x:c r="AB699" s="55" t="str">
        <x:f>IF(C699="","", "Напиши " &amp; AA699 &amp; " за бизнес: " &amp; C699 &amp; ". Тип: " &amp; D699 &amp; ". Град: " &amp; E699 &amp; ". Проблем: " &amp; L699 &amp; ". Предложение: " &amp; M699 &amp; ". Етап: " &amp; N699 &amp; ". Бележки: " &amp; Y699)</x:f>
      </x:c>
      <x:c r="AC699" s="55"/>
    </x:row>
    <x:row r="700">
      <x:c r="A700" s="55"/>
      <x:c r="B700" s="55"/>
      <x:c r="C700" s="55"/>
      <x:c r="D700" s="55"/>
      <x:c r="E700" s="55"/>
      <x:c r="F700" s="55"/>
      <x:c r="G700" s="55"/>
      <x:c r="H700" s="55"/>
      <x:c r="I700" s="55"/>
      <x:c r="J700" s="55"/>
      <x:c r="K700" s="55"/>
      <x:c r="L700" s="55"/>
      <x:c r="M700" s="55"/>
      <x:c r="N700" s="55"/>
      <x:c r="O700" s="55"/>
      <x:c r="P700" s="55"/>
      <x:c r="Q700" s="55"/>
      <x:c r="R700" s="55"/>
      <x:c r="S700" s="55" t="str">
        <x:f>IF(C700="","",IFERROR(Q700*R700/100,""))</x:f>
      </x:c>
      <x:c r="T700" s="55"/>
      <x:c r="U700" s="55"/>
      <x:c r="V700" s="55" t="str">
        <x:f>IF(U700="","",U700-TODAY())</x:f>
      </x:c>
      <x:c r="W700" s="55" t="str">
        <x:f>IF(AND(U700&lt;&gt;"",U700&lt;TODAY(),O700="Активен"),"ДА","")</x:f>
      </x:c>
      <x:c r="X700" s="55"/>
      <x:c r="Y700" s="55"/>
      <x:c r="Z700" s="55"/>
      <x:c r="AA700" s="55"/>
      <x:c r="AB700" s="55" t="str">
        <x:f>IF(C700="","", "Напиши " &amp; AA700 &amp; " за бизнес: " &amp; C700 &amp; ". Тип: " &amp; D700 &amp; ". Град: " &amp; E700 &amp; ". Проблем: " &amp; L700 &amp; ". Предложение: " &amp; M700 &amp; ". Етап: " &amp; N700 &amp; ". Бележки: " &amp; Y700)</x:f>
      </x:c>
      <x:c r="AC700" s="55"/>
    </x:row>
    <x:row r="701">
      <x:c r="A701" s="55"/>
      <x:c r="B701" s="55"/>
      <x:c r="C701" s="55"/>
      <x:c r="D701" s="55"/>
      <x:c r="E701" s="55"/>
      <x:c r="F701" s="55"/>
      <x:c r="G701" s="55"/>
      <x:c r="H701" s="55"/>
      <x:c r="I701" s="55"/>
      <x:c r="J701" s="55"/>
      <x:c r="K701" s="55"/>
      <x:c r="L701" s="55"/>
      <x:c r="M701" s="55"/>
      <x:c r="N701" s="55"/>
      <x:c r="O701" s="55"/>
      <x:c r="P701" s="55"/>
      <x:c r="Q701" s="55"/>
      <x:c r="R701" s="55"/>
      <x:c r="S701" s="55" t="str">
        <x:f>IF(C701="","",IFERROR(Q701*R701/100,""))</x:f>
      </x:c>
      <x:c r="T701" s="55"/>
      <x:c r="U701" s="55"/>
      <x:c r="V701" s="55" t="str">
        <x:f>IF(U701="","",U701-TODAY())</x:f>
      </x:c>
      <x:c r="W701" s="55" t="str">
        <x:f>IF(AND(U701&lt;&gt;"",U701&lt;TODAY(),O701="Активен"),"ДА","")</x:f>
      </x:c>
      <x:c r="X701" s="55"/>
      <x:c r="Y701" s="55"/>
      <x:c r="Z701" s="55"/>
      <x:c r="AA701" s="55"/>
      <x:c r="AB701" s="55" t="str">
        <x:f>IF(C701="","", "Напиши " &amp; AA701 &amp; " за бизнес: " &amp; C701 &amp; ". Тип: " &amp; D701 &amp; ". Град: " &amp; E701 &amp; ". Проблем: " &amp; L701 &amp; ". Предложение: " &amp; M701 &amp; ". Етап: " &amp; N701 &amp; ". Бележки: " &amp; Y701)</x:f>
      </x:c>
      <x:c r="AC701" s="55"/>
    </x:row>
    <x:row r="702">
      <x:c r="A702" s="55"/>
      <x:c r="B702" s="55"/>
      <x:c r="C702" s="55"/>
      <x:c r="D702" s="55"/>
      <x:c r="E702" s="55"/>
      <x:c r="F702" s="55"/>
      <x:c r="G702" s="55"/>
      <x:c r="H702" s="55"/>
      <x:c r="I702" s="55"/>
      <x:c r="J702" s="55"/>
      <x:c r="K702" s="55"/>
      <x:c r="L702" s="55"/>
      <x:c r="M702" s="55"/>
      <x:c r="N702" s="55"/>
      <x:c r="O702" s="55"/>
      <x:c r="P702" s="55"/>
      <x:c r="Q702" s="55"/>
      <x:c r="R702" s="55"/>
      <x:c r="S702" s="55" t="str">
        <x:f>IF(C702="","",IFERROR(Q702*R702/100,""))</x:f>
      </x:c>
      <x:c r="T702" s="55"/>
      <x:c r="U702" s="55"/>
      <x:c r="V702" s="55" t="str">
        <x:f>IF(U702="","",U702-TODAY())</x:f>
      </x:c>
      <x:c r="W702" s="55" t="str">
        <x:f>IF(AND(U702&lt;&gt;"",U702&lt;TODAY(),O702="Активен"),"ДА","")</x:f>
      </x:c>
      <x:c r="X702" s="55"/>
      <x:c r="Y702" s="55"/>
      <x:c r="Z702" s="55"/>
      <x:c r="AA702" s="55"/>
      <x:c r="AB702" s="55" t="str">
        <x:f>IF(C702="","", "Напиши " &amp; AA702 &amp; " за бизнес: " &amp; C702 &amp; ". Тип: " &amp; D702 &amp; ". Град: " &amp; E702 &amp; ". Проблем: " &amp; L702 &amp; ". Предложение: " &amp; M702 &amp; ". Етап: " &amp; N702 &amp; ". Бележки: " &amp; Y702)</x:f>
      </x:c>
      <x:c r="AC702" s="55"/>
    </x:row>
    <x:row r="703">
      <x:c r="A703" s="55"/>
      <x:c r="B703" s="55"/>
      <x:c r="C703" s="55"/>
      <x:c r="D703" s="55"/>
      <x:c r="E703" s="55"/>
      <x:c r="F703" s="55"/>
      <x:c r="G703" s="55"/>
      <x:c r="H703" s="55"/>
      <x:c r="I703" s="55"/>
      <x:c r="J703" s="55"/>
      <x:c r="K703" s="55"/>
      <x:c r="L703" s="55"/>
      <x:c r="M703" s="55"/>
      <x:c r="N703" s="55"/>
      <x:c r="O703" s="55"/>
      <x:c r="P703" s="55"/>
      <x:c r="Q703" s="55"/>
      <x:c r="R703" s="55"/>
      <x:c r="S703" s="55" t="str">
        <x:f>IF(C703="","",IFERROR(Q703*R703/100,""))</x:f>
      </x:c>
      <x:c r="T703" s="55"/>
      <x:c r="U703" s="55"/>
      <x:c r="V703" s="55" t="str">
        <x:f>IF(U703="","",U703-TODAY())</x:f>
      </x:c>
      <x:c r="W703" s="55" t="str">
        <x:f>IF(AND(U703&lt;&gt;"",U703&lt;TODAY(),O703="Активен"),"ДА","")</x:f>
      </x:c>
      <x:c r="X703" s="55"/>
      <x:c r="Y703" s="55"/>
      <x:c r="Z703" s="55"/>
      <x:c r="AA703" s="55"/>
      <x:c r="AB703" s="55" t="str">
        <x:f>IF(C703="","", "Напиши " &amp; AA703 &amp; " за бизнес: " &amp; C703 &amp; ". Тип: " &amp; D703 &amp; ". Град: " &amp; E703 &amp; ". Проблем: " &amp; L703 &amp; ". Предложение: " &amp; M703 &amp; ". Етап: " &amp; N703 &amp; ". Бележки: " &amp; Y703)</x:f>
      </x:c>
      <x:c r="AC703" s="55"/>
    </x:row>
    <x:row r="704">
      <x:c r="A704" s="55"/>
      <x:c r="B704" s="55"/>
      <x:c r="C704" s="55"/>
      <x:c r="D704" s="55"/>
      <x:c r="E704" s="55"/>
      <x:c r="F704" s="55"/>
      <x:c r="G704" s="55"/>
      <x:c r="H704" s="55"/>
      <x:c r="I704" s="55"/>
      <x:c r="J704" s="55"/>
      <x:c r="K704" s="55"/>
      <x:c r="L704" s="55"/>
      <x:c r="M704" s="55"/>
      <x:c r="N704" s="55"/>
      <x:c r="O704" s="55"/>
      <x:c r="P704" s="55"/>
      <x:c r="Q704" s="55"/>
      <x:c r="R704" s="55"/>
      <x:c r="S704" s="55" t="str">
        <x:f>IF(C704="","",IFERROR(Q704*R704/100,""))</x:f>
      </x:c>
      <x:c r="T704" s="55"/>
      <x:c r="U704" s="55"/>
      <x:c r="V704" s="55" t="str">
        <x:f>IF(U704="","",U704-TODAY())</x:f>
      </x:c>
      <x:c r="W704" s="55" t="str">
        <x:f>IF(AND(U704&lt;&gt;"",U704&lt;TODAY(),O704="Активен"),"ДА","")</x:f>
      </x:c>
      <x:c r="X704" s="55"/>
      <x:c r="Y704" s="55"/>
      <x:c r="Z704" s="55"/>
      <x:c r="AA704" s="55"/>
      <x:c r="AB704" s="55" t="str">
        <x:f>IF(C704="","", "Напиши " &amp; AA704 &amp; " за бизнес: " &amp; C704 &amp; ". Тип: " &amp; D704 &amp; ". Град: " &amp; E704 &amp; ". Проблем: " &amp; L704 &amp; ". Предложение: " &amp; M704 &amp; ". Етап: " &amp; N704 &amp; ". Бележки: " &amp; Y704)</x:f>
      </x:c>
      <x:c r="AC704" s="55"/>
    </x:row>
    <x:row r="705">
      <x:c r="A705" s="55"/>
      <x:c r="B705" s="55"/>
      <x:c r="C705" s="55"/>
      <x:c r="D705" s="55"/>
      <x:c r="E705" s="55"/>
      <x:c r="F705" s="55"/>
      <x:c r="G705" s="55"/>
      <x:c r="H705" s="55"/>
      <x:c r="I705" s="55"/>
      <x:c r="J705" s="55"/>
      <x:c r="K705" s="55"/>
      <x:c r="L705" s="55"/>
      <x:c r="M705" s="55"/>
      <x:c r="N705" s="55"/>
      <x:c r="O705" s="55"/>
      <x:c r="P705" s="55"/>
      <x:c r="Q705" s="55"/>
      <x:c r="R705" s="55"/>
      <x:c r="S705" s="55" t="str">
        <x:f>IF(C705="","",IFERROR(Q705*R705/100,""))</x:f>
      </x:c>
      <x:c r="T705" s="55"/>
      <x:c r="U705" s="55"/>
      <x:c r="V705" s="55" t="str">
        <x:f>IF(U705="","",U705-TODAY())</x:f>
      </x:c>
      <x:c r="W705" s="55" t="str">
        <x:f>IF(AND(U705&lt;&gt;"",U705&lt;TODAY(),O705="Активен"),"ДА","")</x:f>
      </x:c>
      <x:c r="X705" s="55"/>
      <x:c r="Y705" s="55"/>
      <x:c r="Z705" s="55"/>
      <x:c r="AA705" s="55"/>
      <x:c r="AB705" s="55" t="str">
        <x:f>IF(C705="","", "Напиши " &amp; AA705 &amp; " за бизнес: " &amp; C705 &amp; ". Тип: " &amp; D705 &amp; ". Град: " &amp; E705 &amp; ". Проблем: " &amp; L705 &amp; ". Предложение: " &amp; M705 &amp; ". Етап: " &amp; N705 &amp; ". Бележки: " &amp; Y705)</x:f>
      </x:c>
      <x:c r="AC705" s="55"/>
    </x:row>
    <x:row r="706">
      <x:c r="A706" s="55"/>
      <x:c r="B706" s="55"/>
      <x:c r="C706" s="55"/>
      <x:c r="D706" s="55"/>
      <x:c r="E706" s="55"/>
      <x:c r="F706" s="55"/>
      <x:c r="G706" s="55"/>
      <x:c r="H706" s="55"/>
      <x:c r="I706" s="55"/>
      <x:c r="J706" s="55"/>
      <x:c r="K706" s="55"/>
      <x:c r="L706" s="55"/>
      <x:c r="M706" s="55"/>
      <x:c r="N706" s="55"/>
      <x:c r="O706" s="55"/>
      <x:c r="P706" s="55"/>
      <x:c r="Q706" s="55"/>
      <x:c r="R706" s="55"/>
      <x:c r="S706" s="55" t="str">
        <x:f>IF(C706="","",IFERROR(Q706*R706/100,""))</x:f>
      </x:c>
      <x:c r="T706" s="55"/>
      <x:c r="U706" s="55"/>
      <x:c r="V706" s="55" t="str">
        <x:f>IF(U706="","",U706-TODAY())</x:f>
      </x:c>
      <x:c r="W706" s="55" t="str">
        <x:f>IF(AND(U706&lt;&gt;"",U706&lt;TODAY(),O706="Активен"),"ДА","")</x:f>
      </x:c>
      <x:c r="X706" s="55"/>
      <x:c r="Y706" s="55"/>
      <x:c r="Z706" s="55"/>
      <x:c r="AA706" s="55"/>
      <x:c r="AB706" s="55" t="str">
        <x:f>IF(C706="","", "Напиши " &amp; AA706 &amp; " за бизнес: " &amp; C706 &amp; ". Тип: " &amp; D706 &amp; ". Град: " &amp; E706 &amp; ". Проблем: " &amp; L706 &amp; ". Предложение: " &amp; M706 &amp; ". Етап: " &amp; N706 &amp; ". Бележки: " &amp; Y706)</x:f>
      </x:c>
      <x:c r="AC706" s="55"/>
    </x:row>
    <x:row r="707">
      <x:c r="A707" s="55"/>
      <x:c r="B707" s="55"/>
      <x:c r="C707" s="55"/>
      <x:c r="D707" s="55"/>
      <x:c r="E707" s="55"/>
      <x:c r="F707" s="55"/>
      <x:c r="G707" s="55"/>
      <x:c r="H707" s="55"/>
      <x:c r="I707" s="55"/>
      <x:c r="J707" s="55"/>
      <x:c r="K707" s="55"/>
      <x:c r="L707" s="55"/>
      <x:c r="M707" s="55"/>
      <x:c r="N707" s="55"/>
      <x:c r="O707" s="55"/>
      <x:c r="P707" s="55"/>
      <x:c r="Q707" s="55"/>
      <x:c r="R707" s="55"/>
      <x:c r="S707" s="55" t="str">
        <x:f>IF(C707="","",IFERROR(Q707*R707/100,""))</x:f>
      </x:c>
      <x:c r="T707" s="55"/>
      <x:c r="U707" s="55"/>
      <x:c r="V707" s="55" t="str">
        <x:f>IF(U707="","",U707-TODAY())</x:f>
      </x:c>
      <x:c r="W707" s="55" t="str">
        <x:f>IF(AND(U707&lt;&gt;"",U707&lt;TODAY(),O707="Активен"),"ДА","")</x:f>
      </x:c>
      <x:c r="X707" s="55"/>
      <x:c r="Y707" s="55"/>
      <x:c r="Z707" s="55"/>
      <x:c r="AA707" s="55"/>
      <x:c r="AB707" s="55" t="str">
        <x:f>IF(C707="","", "Напиши " &amp; AA707 &amp; " за бизнес: " &amp; C707 &amp; ". Тип: " &amp; D707 &amp; ". Град: " &amp; E707 &amp; ". Проблем: " &amp; L707 &amp; ". Предложение: " &amp; M707 &amp; ". Етап: " &amp; N707 &amp; ". Бележки: " &amp; Y707)</x:f>
      </x:c>
      <x:c r="AC707" s="55"/>
    </x:row>
    <x:row r="708">
      <x:c r="A708" s="55"/>
      <x:c r="B708" s="55"/>
      <x:c r="C708" s="55"/>
      <x:c r="D708" s="55"/>
      <x:c r="E708" s="55"/>
      <x:c r="F708" s="55"/>
      <x:c r="G708" s="55"/>
      <x:c r="H708" s="55"/>
      <x:c r="I708" s="55"/>
      <x:c r="J708" s="55"/>
      <x:c r="K708" s="55"/>
      <x:c r="L708" s="55"/>
      <x:c r="M708" s="55"/>
      <x:c r="N708" s="55"/>
      <x:c r="O708" s="55"/>
      <x:c r="P708" s="55"/>
      <x:c r="Q708" s="55"/>
      <x:c r="R708" s="55"/>
      <x:c r="S708" s="55" t="str">
        <x:f>IF(C708="","",IFERROR(Q708*R708/100,""))</x:f>
      </x:c>
      <x:c r="T708" s="55"/>
      <x:c r="U708" s="55"/>
      <x:c r="V708" s="55" t="str">
        <x:f>IF(U708="","",U708-TODAY())</x:f>
      </x:c>
      <x:c r="W708" s="55" t="str">
        <x:f>IF(AND(U708&lt;&gt;"",U708&lt;TODAY(),O708="Активен"),"ДА","")</x:f>
      </x:c>
      <x:c r="X708" s="55"/>
      <x:c r="Y708" s="55"/>
      <x:c r="Z708" s="55"/>
      <x:c r="AA708" s="55"/>
      <x:c r="AB708" s="55" t="str">
        <x:f>IF(C708="","", "Напиши " &amp; AA708 &amp; " за бизнес: " &amp; C708 &amp; ". Тип: " &amp; D708 &amp; ". Град: " &amp; E708 &amp; ". Проблем: " &amp; L708 &amp; ". Предложение: " &amp; M708 &amp; ". Етап: " &amp; N708 &amp; ". Бележки: " &amp; Y708)</x:f>
      </x:c>
      <x:c r="AC708" s="55"/>
    </x:row>
    <x:row r="709">
      <x:c r="A709" s="55"/>
      <x:c r="B709" s="55"/>
      <x:c r="C709" s="55"/>
      <x:c r="D709" s="55"/>
      <x:c r="E709" s="55"/>
      <x:c r="F709" s="55"/>
      <x:c r="G709" s="55"/>
      <x:c r="H709" s="55"/>
      <x:c r="I709" s="55"/>
      <x:c r="J709" s="55"/>
      <x:c r="K709" s="55"/>
      <x:c r="L709" s="55"/>
      <x:c r="M709" s="55"/>
      <x:c r="N709" s="55"/>
      <x:c r="O709" s="55"/>
      <x:c r="P709" s="55"/>
      <x:c r="Q709" s="55"/>
      <x:c r="R709" s="55"/>
      <x:c r="S709" s="55" t="str">
        <x:f>IF(C709="","",IFERROR(Q709*R709/100,""))</x:f>
      </x:c>
      <x:c r="T709" s="55"/>
      <x:c r="U709" s="55"/>
      <x:c r="V709" s="55" t="str">
        <x:f>IF(U709="","",U709-TODAY())</x:f>
      </x:c>
      <x:c r="W709" s="55" t="str">
        <x:f>IF(AND(U709&lt;&gt;"",U709&lt;TODAY(),O709="Активен"),"ДА","")</x:f>
      </x:c>
      <x:c r="X709" s="55"/>
      <x:c r="Y709" s="55"/>
      <x:c r="Z709" s="55"/>
      <x:c r="AA709" s="55"/>
      <x:c r="AB709" s="55" t="str">
        <x:f>IF(C709="","", "Напиши " &amp; AA709 &amp; " за бизнес: " &amp; C709 &amp; ". Тип: " &amp; D709 &amp; ". Град: " &amp; E709 &amp; ". Проблем: " &amp; L709 &amp; ". Предложение: " &amp; M709 &amp; ". Етап: " &amp; N709 &amp; ". Бележки: " &amp; Y709)</x:f>
      </x:c>
      <x:c r="AC709" s="55"/>
    </x:row>
    <x:row r="710">
      <x:c r="A710" s="55"/>
      <x:c r="B710" s="55"/>
      <x:c r="C710" s="55"/>
      <x:c r="D710" s="55"/>
      <x:c r="E710" s="55"/>
      <x:c r="F710" s="55"/>
      <x:c r="G710" s="55"/>
      <x:c r="H710" s="55"/>
      <x:c r="I710" s="55"/>
      <x:c r="J710" s="55"/>
      <x:c r="K710" s="55"/>
      <x:c r="L710" s="55"/>
      <x:c r="M710" s="55"/>
      <x:c r="N710" s="55"/>
      <x:c r="O710" s="55"/>
      <x:c r="P710" s="55"/>
      <x:c r="Q710" s="55"/>
      <x:c r="R710" s="55"/>
      <x:c r="S710" s="55" t="str">
        <x:f>IF(C710="","",IFERROR(Q710*R710/100,""))</x:f>
      </x:c>
      <x:c r="T710" s="55"/>
      <x:c r="U710" s="55"/>
      <x:c r="V710" s="55" t="str">
        <x:f>IF(U710="","",U710-TODAY())</x:f>
      </x:c>
      <x:c r="W710" s="55" t="str">
        <x:f>IF(AND(U710&lt;&gt;"",U710&lt;TODAY(),O710="Активен"),"ДА","")</x:f>
      </x:c>
      <x:c r="X710" s="55"/>
      <x:c r="Y710" s="55"/>
      <x:c r="Z710" s="55"/>
      <x:c r="AA710" s="55"/>
      <x:c r="AB710" s="55" t="str">
        <x:f>IF(C710="","", "Напиши " &amp; AA710 &amp; " за бизнес: " &amp; C710 &amp; ". Тип: " &amp; D710 &amp; ". Град: " &amp; E710 &amp; ". Проблем: " &amp; L710 &amp; ". Предложение: " &amp; M710 &amp; ". Етап: " &amp; N710 &amp; ". Бележки: " &amp; Y710)</x:f>
      </x:c>
      <x:c r="AC710" s="55"/>
    </x:row>
    <x:row r="711">
      <x:c r="A711" s="55"/>
      <x:c r="B711" s="55"/>
      <x:c r="C711" s="55"/>
      <x:c r="D711" s="55"/>
      <x:c r="E711" s="55"/>
      <x:c r="F711" s="55"/>
      <x:c r="G711" s="55"/>
      <x:c r="H711" s="55"/>
      <x:c r="I711" s="55"/>
      <x:c r="J711" s="55"/>
      <x:c r="K711" s="55"/>
      <x:c r="L711" s="55"/>
      <x:c r="M711" s="55"/>
      <x:c r="N711" s="55"/>
      <x:c r="O711" s="55"/>
      <x:c r="P711" s="55"/>
      <x:c r="Q711" s="55"/>
      <x:c r="R711" s="55"/>
      <x:c r="S711" s="55" t="str">
        <x:f>IF(C711="","",IFERROR(Q711*R711/100,""))</x:f>
      </x:c>
      <x:c r="T711" s="55"/>
      <x:c r="U711" s="55"/>
      <x:c r="V711" s="55" t="str">
        <x:f>IF(U711="","",U711-TODAY())</x:f>
      </x:c>
      <x:c r="W711" s="55" t="str">
        <x:f>IF(AND(U711&lt;&gt;"",U711&lt;TODAY(),O711="Активен"),"ДА","")</x:f>
      </x:c>
      <x:c r="X711" s="55"/>
      <x:c r="Y711" s="55"/>
      <x:c r="Z711" s="55"/>
      <x:c r="AA711" s="55"/>
      <x:c r="AB711" s="55" t="str">
        <x:f>IF(C711="","", "Напиши " &amp; AA711 &amp; " за бизнес: " &amp; C711 &amp; ". Тип: " &amp; D711 &amp; ". Град: " &amp; E711 &amp; ". Проблем: " &amp; L711 &amp; ". Предложение: " &amp; M711 &amp; ". Етап: " &amp; N711 &amp; ". Бележки: " &amp; Y711)</x:f>
      </x:c>
      <x:c r="AC711" s="55"/>
    </x:row>
    <x:row r="712">
      <x:c r="A712" s="55"/>
      <x:c r="B712" s="55"/>
      <x:c r="C712" s="55"/>
      <x:c r="D712" s="55"/>
      <x:c r="E712" s="55"/>
      <x:c r="F712" s="55"/>
      <x:c r="G712" s="55"/>
      <x:c r="H712" s="55"/>
      <x:c r="I712" s="55"/>
      <x:c r="J712" s="55"/>
      <x:c r="K712" s="55"/>
      <x:c r="L712" s="55"/>
      <x:c r="M712" s="55"/>
      <x:c r="N712" s="55"/>
      <x:c r="O712" s="55"/>
      <x:c r="P712" s="55"/>
      <x:c r="Q712" s="55"/>
      <x:c r="R712" s="55"/>
      <x:c r="S712" s="55" t="str">
        <x:f>IF(C712="","",IFERROR(Q712*R712/100,""))</x:f>
      </x:c>
      <x:c r="T712" s="55"/>
      <x:c r="U712" s="55"/>
      <x:c r="V712" s="55" t="str">
        <x:f>IF(U712="","",U712-TODAY())</x:f>
      </x:c>
      <x:c r="W712" s="55" t="str">
        <x:f>IF(AND(U712&lt;&gt;"",U712&lt;TODAY(),O712="Активен"),"ДА","")</x:f>
      </x:c>
      <x:c r="X712" s="55"/>
      <x:c r="Y712" s="55"/>
      <x:c r="Z712" s="55"/>
      <x:c r="AA712" s="55"/>
      <x:c r="AB712" s="55" t="str">
        <x:f>IF(C712="","", "Напиши " &amp; AA712 &amp; " за бизнес: " &amp; C712 &amp; ". Тип: " &amp; D712 &amp; ". Град: " &amp; E712 &amp; ". Проблем: " &amp; L712 &amp; ". Предложение: " &amp; M712 &amp; ". Етап: " &amp; N712 &amp; ". Бележки: " &amp; Y712)</x:f>
      </x:c>
      <x:c r="AC712" s="55"/>
    </x:row>
    <x:row r="713">
      <x:c r="A713" s="55"/>
      <x:c r="B713" s="55"/>
      <x:c r="C713" s="55"/>
      <x:c r="D713" s="55"/>
      <x:c r="E713" s="55"/>
      <x:c r="F713" s="55"/>
      <x:c r="G713" s="55"/>
      <x:c r="H713" s="55"/>
      <x:c r="I713" s="55"/>
      <x:c r="J713" s="55"/>
      <x:c r="K713" s="55"/>
      <x:c r="L713" s="55"/>
      <x:c r="M713" s="55"/>
      <x:c r="N713" s="55"/>
      <x:c r="O713" s="55"/>
      <x:c r="P713" s="55"/>
      <x:c r="Q713" s="55"/>
      <x:c r="R713" s="55"/>
      <x:c r="S713" s="55" t="str">
        <x:f>IF(C713="","",IFERROR(Q713*R713/100,""))</x:f>
      </x:c>
      <x:c r="T713" s="55"/>
      <x:c r="U713" s="55"/>
      <x:c r="V713" s="55" t="str">
        <x:f>IF(U713="","",U713-TODAY())</x:f>
      </x:c>
      <x:c r="W713" s="55" t="str">
        <x:f>IF(AND(U713&lt;&gt;"",U713&lt;TODAY(),O713="Активен"),"ДА","")</x:f>
      </x:c>
      <x:c r="X713" s="55"/>
      <x:c r="Y713" s="55"/>
      <x:c r="Z713" s="55"/>
      <x:c r="AA713" s="55"/>
      <x:c r="AB713" s="55" t="str">
        <x:f>IF(C713="","", "Напиши " &amp; AA713 &amp; " за бизнес: " &amp; C713 &amp; ". Тип: " &amp; D713 &amp; ". Град: " &amp; E713 &amp; ". Проблем: " &amp; L713 &amp; ". Предложение: " &amp; M713 &amp; ". Етап: " &amp; N713 &amp; ". Бележки: " &amp; Y713)</x:f>
      </x:c>
      <x:c r="AC713" s="55"/>
    </x:row>
    <x:row r="714">
      <x:c r="A714" s="55"/>
      <x:c r="B714" s="55"/>
      <x:c r="C714" s="55"/>
      <x:c r="D714" s="55"/>
      <x:c r="E714" s="55"/>
      <x:c r="F714" s="55"/>
      <x:c r="G714" s="55"/>
      <x:c r="H714" s="55"/>
      <x:c r="I714" s="55"/>
      <x:c r="J714" s="55"/>
      <x:c r="K714" s="55"/>
      <x:c r="L714" s="55"/>
      <x:c r="M714" s="55"/>
      <x:c r="N714" s="55"/>
      <x:c r="O714" s="55"/>
      <x:c r="P714" s="55"/>
      <x:c r="Q714" s="55"/>
      <x:c r="R714" s="55"/>
      <x:c r="S714" s="55" t="str">
        <x:f>IF(C714="","",IFERROR(Q714*R714/100,""))</x:f>
      </x:c>
      <x:c r="T714" s="55"/>
      <x:c r="U714" s="55"/>
      <x:c r="V714" s="55" t="str">
        <x:f>IF(U714="","",U714-TODAY())</x:f>
      </x:c>
      <x:c r="W714" s="55" t="str">
        <x:f>IF(AND(U714&lt;&gt;"",U714&lt;TODAY(),O714="Активен"),"ДА","")</x:f>
      </x:c>
      <x:c r="X714" s="55"/>
      <x:c r="Y714" s="55"/>
      <x:c r="Z714" s="55"/>
      <x:c r="AA714" s="55"/>
      <x:c r="AB714" s="55" t="str">
        <x:f>IF(C714="","", "Напиши " &amp; AA714 &amp; " за бизнес: " &amp; C714 &amp; ". Тип: " &amp; D714 &amp; ". Град: " &amp; E714 &amp; ". Проблем: " &amp; L714 &amp; ". Предложение: " &amp; M714 &amp; ". Етап: " &amp; N714 &amp; ". Бележки: " &amp; Y714)</x:f>
      </x:c>
      <x:c r="AC714" s="55"/>
    </x:row>
    <x:row r="715">
      <x:c r="A715" s="55"/>
      <x:c r="B715" s="55"/>
      <x:c r="C715" s="55"/>
      <x:c r="D715" s="55"/>
      <x:c r="E715" s="55"/>
      <x:c r="F715" s="55"/>
      <x:c r="G715" s="55"/>
      <x:c r="H715" s="55"/>
      <x:c r="I715" s="55"/>
      <x:c r="J715" s="55"/>
      <x:c r="K715" s="55"/>
      <x:c r="L715" s="55"/>
      <x:c r="M715" s="55"/>
      <x:c r="N715" s="55"/>
      <x:c r="O715" s="55"/>
      <x:c r="P715" s="55"/>
      <x:c r="Q715" s="55"/>
      <x:c r="R715" s="55"/>
      <x:c r="S715" s="55" t="str">
        <x:f>IF(C715="","",IFERROR(Q715*R715/100,""))</x:f>
      </x:c>
      <x:c r="T715" s="55"/>
      <x:c r="U715" s="55"/>
      <x:c r="V715" s="55" t="str">
        <x:f>IF(U715="","",U715-TODAY())</x:f>
      </x:c>
      <x:c r="W715" s="55" t="str">
        <x:f>IF(AND(U715&lt;&gt;"",U715&lt;TODAY(),O715="Активен"),"ДА","")</x:f>
      </x:c>
      <x:c r="X715" s="55"/>
      <x:c r="Y715" s="55"/>
      <x:c r="Z715" s="55"/>
      <x:c r="AA715" s="55"/>
      <x:c r="AB715" s="55" t="str">
        <x:f>IF(C715="","", "Напиши " &amp; AA715 &amp; " за бизнес: " &amp; C715 &amp; ". Тип: " &amp; D715 &amp; ". Град: " &amp; E715 &amp; ". Проблем: " &amp; L715 &amp; ". Предложение: " &amp; M715 &amp; ". Етап: " &amp; N715 &amp; ". Бележки: " &amp; Y715)</x:f>
      </x:c>
      <x:c r="AC715" s="55"/>
    </x:row>
    <x:row r="716">
      <x:c r="A716" s="55"/>
      <x:c r="B716" s="55"/>
      <x:c r="C716" s="55"/>
      <x:c r="D716" s="55"/>
      <x:c r="E716" s="55"/>
      <x:c r="F716" s="55"/>
      <x:c r="G716" s="55"/>
      <x:c r="H716" s="55"/>
      <x:c r="I716" s="55"/>
      <x:c r="J716" s="55"/>
      <x:c r="K716" s="55"/>
      <x:c r="L716" s="55"/>
      <x:c r="M716" s="55"/>
      <x:c r="N716" s="55"/>
      <x:c r="O716" s="55"/>
      <x:c r="P716" s="55"/>
      <x:c r="Q716" s="55"/>
      <x:c r="R716" s="55"/>
      <x:c r="S716" s="55" t="str">
        <x:f>IF(C716="","",IFERROR(Q716*R716/100,""))</x:f>
      </x:c>
      <x:c r="T716" s="55"/>
      <x:c r="U716" s="55"/>
      <x:c r="V716" s="55" t="str">
        <x:f>IF(U716="","",U716-TODAY())</x:f>
      </x:c>
      <x:c r="W716" s="55" t="str">
        <x:f>IF(AND(U716&lt;&gt;"",U716&lt;TODAY(),O716="Активен"),"ДА","")</x:f>
      </x:c>
      <x:c r="X716" s="55"/>
      <x:c r="Y716" s="55"/>
      <x:c r="Z716" s="55"/>
      <x:c r="AA716" s="55"/>
      <x:c r="AB716" s="55" t="str">
        <x:f>IF(C716="","", "Напиши " &amp; AA716 &amp; " за бизнес: " &amp; C716 &amp; ". Тип: " &amp; D716 &amp; ". Град: " &amp; E716 &amp; ". Проблем: " &amp; L716 &amp; ". Предложение: " &amp; M716 &amp; ". Етап: " &amp; N716 &amp; ". Бележки: " &amp; Y716)</x:f>
      </x:c>
      <x:c r="AC716" s="55"/>
    </x:row>
    <x:row r="717">
      <x:c r="A717" s="55"/>
      <x:c r="B717" s="55"/>
      <x:c r="C717" s="55"/>
      <x:c r="D717" s="55"/>
      <x:c r="E717" s="55"/>
      <x:c r="F717" s="55"/>
      <x:c r="G717" s="55"/>
      <x:c r="H717" s="55"/>
      <x:c r="I717" s="55"/>
      <x:c r="J717" s="55"/>
      <x:c r="K717" s="55"/>
      <x:c r="L717" s="55"/>
      <x:c r="M717" s="55"/>
      <x:c r="N717" s="55"/>
      <x:c r="O717" s="55"/>
      <x:c r="P717" s="55"/>
      <x:c r="Q717" s="55"/>
      <x:c r="R717" s="55"/>
      <x:c r="S717" s="55" t="str">
        <x:f>IF(C717="","",IFERROR(Q717*R717/100,""))</x:f>
      </x:c>
      <x:c r="T717" s="55"/>
      <x:c r="U717" s="55"/>
      <x:c r="V717" s="55" t="str">
        <x:f>IF(U717="","",U717-TODAY())</x:f>
      </x:c>
      <x:c r="W717" s="55" t="str">
        <x:f>IF(AND(U717&lt;&gt;"",U717&lt;TODAY(),O717="Активен"),"ДА","")</x:f>
      </x:c>
      <x:c r="X717" s="55"/>
      <x:c r="Y717" s="55"/>
      <x:c r="Z717" s="55"/>
      <x:c r="AA717" s="55"/>
      <x:c r="AB717" s="55" t="str">
        <x:f>IF(C717="","", "Напиши " &amp; AA717 &amp; " за бизнес: " &amp; C717 &amp; ". Тип: " &amp; D717 &amp; ". Град: " &amp; E717 &amp; ". Проблем: " &amp; L717 &amp; ". Предложение: " &amp; M717 &amp; ". Етап: " &amp; N717 &amp; ". Бележки: " &amp; Y717)</x:f>
      </x:c>
      <x:c r="AC717" s="55"/>
    </x:row>
    <x:row r="718">
      <x:c r="A718" s="55"/>
      <x:c r="B718" s="55"/>
      <x:c r="C718" s="55"/>
      <x:c r="D718" s="55"/>
      <x:c r="E718" s="55"/>
      <x:c r="F718" s="55"/>
      <x:c r="G718" s="55"/>
      <x:c r="H718" s="55"/>
      <x:c r="I718" s="55"/>
      <x:c r="J718" s="55"/>
      <x:c r="K718" s="55"/>
      <x:c r="L718" s="55"/>
      <x:c r="M718" s="55"/>
      <x:c r="N718" s="55"/>
      <x:c r="O718" s="55"/>
      <x:c r="P718" s="55"/>
      <x:c r="Q718" s="55"/>
      <x:c r="R718" s="55"/>
      <x:c r="S718" s="55" t="str">
        <x:f>IF(C718="","",IFERROR(Q718*R718/100,""))</x:f>
      </x:c>
      <x:c r="T718" s="55"/>
      <x:c r="U718" s="55"/>
      <x:c r="V718" s="55" t="str">
        <x:f>IF(U718="","",U718-TODAY())</x:f>
      </x:c>
      <x:c r="W718" s="55" t="str">
        <x:f>IF(AND(U718&lt;&gt;"",U718&lt;TODAY(),O718="Активен"),"ДА","")</x:f>
      </x:c>
      <x:c r="X718" s="55"/>
      <x:c r="Y718" s="55"/>
      <x:c r="Z718" s="55"/>
      <x:c r="AA718" s="55"/>
      <x:c r="AB718" s="55" t="str">
        <x:f>IF(C718="","", "Напиши " &amp; AA718 &amp; " за бизнес: " &amp; C718 &amp; ". Тип: " &amp; D718 &amp; ". Град: " &amp; E718 &amp; ". Проблем: " &amp; L718 &amp; ". Предложение: " &amp; M718 &amp; ". Етап: " &amp; N718 &amp; ". Бележки: " &amp; Y718)</x:f>
      </x:c>
      <x:c r="AC718" s="55"/>
    </x:row>
    <x:row r="719">
      <x:c r="A719" s="55"/>
      <x:c r="B719" s="55"/>
      <x:c r="C719" s="55"/>
      <x:c r="D719" s="55"/>
      <x:c r="E719" s="55"/>
      <x:c r="F719" s="55"/>
      <x:c r="G719" s="55"/>
      <x:c r="H719" s="55"/>
      <x:c r="I719" s="55"/>
      <x:c r="J719" s="55"/>
      <x:c r="K719" s="55"/>
      <x:c r="L719" s="55"/>
      <x:c r="M719" s="55"/>
      <x:c r="N719" s="55"/>
      <x:c r="O719" s="55"/>
      <x:c r="P719" s="55"/>
      <x:c r="Q719" s="55"/>
      <x:c r="R719" s="55"/>
      <x:c r="S719" s="55" t="str">
        <x:f>IF(C719="","",IFERROR(Q719*R719/100,""))</x:f>
      </x:c>
      <x:c r="T719" s="55"/>
      <x:c r="U719" s="55"/>
      <x:c r="V719" s="55" t="str">
        <x:f>IF(U719="","",U719-TODAY())</x:f>
      </x:c>
      <x:c r="W719" s="55" t="str">
        <x:f>IF(AND(U719&lt;&gt;"",U719&lt;TODAY(),O719="Активен"),"ДА","")</x:f>
      </x:c>
      <x:c r="X719" s="55"/>
      <x:c r="Y719" s="55"/>
      <x:c r="Z719" s="55"/>
      <x:c r="AA719" s="55"/>
      <x:c r="AB719" s="55" t="str">
        <x:f>IF(C719="","", "Напиши " &amp; AA719 &amp; " за бизнес: " &amp; C719 &amp; ". Тип: " &amp; D719 &amp; ". Град: " &amp; E719 &amp; ". Проблем: " &amp; L719 &amp; ". Предложение: " &amp; M719 &amp; ". Етап: " &amp; N719 &amp; ". Бележки: " &amp; Y719)</x:f>
      </x:c>
      <x:c r="AC719" s="55"/>
    </x:row>
    <x:row r="720">
      <x:c r="A720" s="55"/>
      <x:c r="B720" s="55"/>
      <x:c r="C720" s="55"/>
      <x:c r="D720" s="55"/>
      <x:c r="E720" s="55"/>
      <x:c r="F720" s="55"/>
      <x:c r="G720" s="55"/>
      <x:c r="H720" s="55"/>
      <x:c r="I720" s="55"/>
      <x:c r="J720" s="55"/>
      <x:c r="K720" s="55"/>
      <x:c r="L720" s="55"/>
      <x:c r="M720" s="55"/>
      <x:c r="N720" s="55"/>
      <x:c r="O720" s="55"/>
      <x:c r="P720" s="55"/>
      <x:c r="Q720" s="55"/>
      <x:c r="R720" s="55"/>
      <x:c r="S720" s="55" t="str">
        <x:f>IF(C720="","",IFERROR(Q720*R720/100,""))</x:f>
      </x:c>
      <x:c r="T720" s="55"/>
      <x:c r="U720" s="55"/>
      <x:c r="V720" s="55" t="str">
        <x:f>IF(U720="","",U720-TODAY())</x:f>
      </x:c>
      <x:c r="W720" s="55" t="str">
        <x:f>IF(AND(U720&lt;&gt;"",U720&lt;TODAY(),O720="Активен"),"ДА","")</x:f>
      </x:c>
      <x:c r="X720" s="55"/>
      <x:c r="Y720" s="55"/>
      <x:c r="Z720" s="55"/>
      <x:c r="AA720" s="55"/>
      <x:c r="AB720" s="55" t="str">
        <x:f>IF(C720="","", "Напиши " &amp; AA720 &amp; " за бизнес: " &amp; C720 &amp; ". Тип: " &amp; D720 &amp; ". Град: " &amp; E720 &amp; ". Проблем: " &amp; L720 &amp; ". Предложение: " &amp; M720 &amp; ". Етап: " &amp; N720 &amp; ". Бележки: " &amp; Y720)</x:f>
      </x:c>
      <x:c r="AC720" s="55"/>
    </x:row>
    <x:row r="721">
      <x:c r="A721" s="55"/>
      <x:c r="B721" s="55"/>
      <x:c r="C721" s="55"/>
      <x:c r="D721" s="55"/>
      <x:c r="E721" s="55"/>
      <x:c r="F721" s="55"/>
      <x:c r="G721" s="55"/>
      <x:c r="H721" s="55"/>
      <x:c r="I721" s="55"/>
      <x:c r="J721" s="55"/>
      <x:c r="K721" s="55"/>
      <x:c r="L721" s="55"/>
      <x:c r="M721" s="55"/>
      <x:c r="N721" s="55"/>
      <x:c r="O721" s="55"/>
      <x:c r="P721" s="55"/>
      <x:c r="Q721" s="55"/>
      <x:c r="R721" s="55"/>
      <x:c r="S721" s="55" t="str">
        <x:f>IF(C721="","",IFERROR(Q721*R721/100,""))</x:f>
      </x:c>
      <x:c r="T721" s="55"/>
      <x:c r="U721" s="55"/>
      <x:c r="V721" s="55" t="str">
        <x:f>IF(U721="","",U721-TODAY())</x:f>
      </x:c>
      <x:c r="W721" s="55" t="str">
        <x:f>IF(AND(U721&lt;&gt;"",U721&lt;TODAY(),O721="Активен"),"ДА","")</x:f>
      </x:c>
      <x:c r="X721" s="55"/>
      <x:c r="Y721" s="55"/>
      <x:c r="Z721" s="55"/>
      <x:c r="AA721" s="55"/>
      <x:c r="AB721" s="55" t="str">
        <x:f>IF(C721="","", "Напиши " &amp; AA721 &amp; " за бизнес: " &amp; C721 &amp; ". Тип: " &amp; D721 &amp; ". Град: " &amp; E721 &amp; ". Проблем: " &amp; L721 &amp; ". Предложение: " &amp; M721 &amp; ". Етап: " &amp; N721 &amp; ". Бележки: " &amp; Y721)</x:f>
      </x:c>
      <x:c r="AC721" s="55"/>
    </x:row>
    <x:row r="722">
      <x:c r="A722" s="55"/>
      <x:c r="B722" s="55"/>
      <x:c r="C722" s="55"/>
      <x:c r="D722" s="55"/>
      <x:c r="E722" s="55"/>
      <x:c r="F722" s="55"/>
      <x:c r="G722" s="55"/>
      <x:c r="H722" s="55"/>
      <x:c r="I722" s="55"/>
      <x:c r="J722" s="55"/>
      <x:c r="K722" s="55"/>
      <x:c r="L722" s="55"/>
      <x:c r="M722" s="55"/>
      <x:c r="N722" s="55"/>
      <x:c r="O722" s="55"/>
      <x:c r="P722" s="55"/>
      <x:c r="Q722" s="55"/>
      <x:c r="R722" s="55"/>
      <x:c r="S722" s="55" t="str">
        <x:f>IF(C722="","",IFERROR(Q722*R722/100,""))</x:f>
      </x:c>
      <x:c r="T722" s="55"/>
      <x:c r="U722" s="55"/>
      <x:c r="V722" s="55" t="str">
        <x:f>IF(U722="","",U722-TODAY())</x:f>
      </x:c>
      <x:c r="W722" s="55" t="str">
        <x:f>IF(AND(U722&lt;&gt;"",U722&lt;TODAY(),O722="Активен"),"ДА","")</x:f>
      </x:c>
      <x:c r="X722" s="55"/>
      <x:c r="Y722" s="55"/>
      <x:c r="Z722" s="55"/>
      <x:c r="AA722" s="55"/>
      <x:c r="AB722" s="55" t="str">
        <x:f>IF(C722="","", "Напиши " &amp; AA722 &amp; " за бизнес: " &amp; C722 &amp; ". Тип: " &amp; D722 &amp; ". Град: " &amp; E722 &amp; ". Проблем: " &amp; L722 &amp; ". Предложение: " &amp; M722 &amp; ". Етап: " &amp; N722 &amp; ". Бележки: " &amp; Y722)</x:f>
      </x:c>
      <x:c r="AC722" s="55"/>
    </x:row>
    <x:row r="723">
      <x:c r="A723" s="55"/>
      <x:c r="B723" s="55"/>
      <x:c r="C723" s="55"/>
      <x:c r="D723" s="55"/>
      <x:c r="E723" s="55"/>
      <x:c r="F723" s="55"/>
      <x:c r="G723" s="55"/>
      <x:c r="H723" s="55"/>
      <x:c r="I723" s="55"/>
      <x:c r="J723" s="55"/>
      <x:c r="K723" s="55"/>
      <x:c r="L723" s="55"/>
      <x:c r="M723" s="55"/>
      <x:c r="N723" s="55"/>
      <x:c r="O723" s="55"/>
      <x:c r="P723" s="55"/>
      <x:c r="Q723" s="55"/>
      <x:c r="R723" s="55"/>
      <x:c r="S723" s="55" t="str">
        <x:f>IF(C723="","",IFERROR(Q723*R723/100,""))</x:f>
      </x:c>
      <x:c r="T723" s="55"/>
      <x:c r="U723" s="55"/>
      <x:c r="V723" s="55" t="str">
        <x:f>IF(U723="","",U723-TODAY())</x:f>
      </x:c>
      <x:c r="W723" s="55" t="str">
        <x:f>IF(AND(U723&lt;&gt;"",U723&lt;TODAY(),O723="Активен"),"ДА","")</x:f>
      </x:c>
      <x:c r="X723" s="55"/>
      <x:c r="Y723" s="55"/>
      <x:c r="Z723" s="55"/>
      <x:c r="AA723" s="55"/>
      <x:c r="AB723" s="55" t="str">
        <x:f>IF(C723="","", "Напиши " &amp; AA723 &amp; " за бизнес: " &amp; C723 &amp; ". Тип: " &amp; D723 &amp; ". Град: " &amp; E723 &amp; ". Проблем: " &amp; L723 &amp; ". Предложение: " &amp; M723 &amp; ". Етап: " &amp; N723 &amp; ". Бележки: " &amp; Y723)</x:f>
      </x:c>
      <x:c r="AC723" s="55"/>
    </x:row>
    <x:row r="724">
      <x:c r="A724" s="55"/>
      <x:c r="B724" s="55"/>
      <x:c r="C724" s="55"/>
      <x:c r="D724" s="55"/>
      <x:c r="E724" s="55"/>
      <x:c r="F724" s="55"/>
      <x:c r="G724" s="55"/>
      <x:c r="H724" s="55"/>
      <x:c r="I724" s="55"/>
      <x:c r="J724" s="55"/>
      <x:c r="K724" s="55"/>
      <x:c r="L724" s="55"/>
      <x:c r="M724" s="55"/>
      <x:c r="N724" s="55"/>
      <x:c r="O724" s="55"/>
      <x:c r="P724" s="55"/>
      <x:c r="Q724" s="55"/>
      <x:c r="R724" s="55"/>
      <x:c r="S724" s="55" t="str">
        <x:f>IF(C724="","",IFERROR(Q724*R724/100,""))</x:f>
      </x:c>
      <x:c r="T724" s="55"/>
      <x:c r="U724" s="55"/>
      <x:c r="V724" s="55" t="str">
        <x:f>IF(U724="","",U724-TODAY())</x:f>
      </x:c>
      <x:c r="W724" s="55" t="str">
        <x:f>IF(AND(U724&lt;&gt;"",U724&lt;TODAY(),O724="Активен"),"ДА","")</x:f>
      </x:c>
      <x:c r="X724" s="55"/>
      <x:c r="Y724" s="55"/>
      <x:c r="Z724" s="55"/>
      <x:c r="AA724" s="55"/>
      <x:c r="AB724" s="55" t="str">
        <x:f>IF(C724="","", "Напиши " &amp; AA724 &amp; " за бизнес: " &amp; C724 &amp; ". Тип: " &amp; D724 &amp; ". Град: " &amp; E724 &amp; ". Проблем: " &amp; L724 &amp; ". Предложение: " &amp; M724 &amp; ". Етап: " &amp; N724 &amp; ". Бележки: " &amp; Y724)</x:f>
      </x:c>
      <x:c r="AC724" s="55"/>
    </x:row>
    <x:row r="725">
      <x:c r="A725" s="55"/>
      <x:c r="B725" s="55"/>
      <x:c r="C725" s="55"/>
      <x:c r="D725" s="55"/>
      <x:c r="E725" s="55"/>
      <x:c r="F725" s="55"/>
      <x:c r="G725" s="55"/>
      <x:c r="H725" s="55"/>
      <x:c r="I725" s="55"/>
      <x:c r="J725" s="55"/>
      <x:c r="K725" s="55"/>
      <x:c r="L725" s="55"/>
      <x:c r="M725" s="55"/>
      <x:c r="N725" s="55"/>
      <x:c r="O725" s="55"/>
      <x:c r="P725" s="55"/>
      <x:c r="Q725" s="55"/>
      <x:c r="R725" s="55"/>
      <x:c r="S725" s="55" t="str">
        <x:f>IF(C725="","",IFERROR(Q725*R725/100,""))</x:f>
      </x:c>
      <x:c r="T725" s="55"/>
      <x:c r="U725" s="55"/>
      <x:c r="V725" s="55" t="str">
        <x:f>IF(U725="","",U725-TODAY())</x:f>
      </x:c>
      <x:c r="W725" s="55" t="str">
        <x:f>IF(AND(U725&lt;&gt;"",U725&lt;TODAY(),O725="Активен"),"ДА","")</x:f>
      </x:c>
      <x:c r="X725" s="55"/>
      <x:c r="Y725" s="55"/>
      <x:c r="Z725" s="55"/>
      <x:c r="AA725" s="55"/>
      <x:c r="AB725" s="55" t="str">
        <x:f>IF(C725="","", "Напиши " &amp; AA725 &amp; " за бизнес: " &amp; C725 &amp; ". Тип: " &amp; D725 &amp; ". Град: " &amp; E725 &amp; ". Проблем: " &amp; L725 &amp; ". Предложение: " &amp; M725 &amp; ". Етап: " &amp; N725 &amp; ". Бележки: " &amp; Y725)</x:f>
      </x:c>
      <x:c r="AC725" s="55"/>
    </x:row>
    <x:row r="726">
      <x:c r="A726" s="55"/>
      <x:c r="B726" s="55"/>
      <x:c r="C726" s="55"/>
      <x:c r="D726" s="55"/>
      <x:c r="E726" s="55"/>
      <x:c r="F726" s="55"/>
      <x:c r="G726" s="55"/>
      <x:c r="H726" s="55"/>
      <x:c r="I726" s="55"/>
      <x:c r="J726" s="55"/>
      <x:c r="K726" s="55"/>
      <x:c r="L726" s="55"/>
      <x:c r="M726" s="55"/>
      <x:c r="N726" s="55"/>
      <x:c r="O726" s="55"/>
      <x:c r="P726" s="55"/>
      <x:c r="Q726" s="55"/>
      <x:c r="R726" s="55"/>
      <x:c r="S726" s="55" t="str">
        <x:f>IF(C726="","",IFERROR(Q726*R726/100,""))</x:f>
      </x:c>
      <x:c r="T726" s="55"/>
      <x:c r="U726" s="55"/>
      <x:c r="V726" s="55" t="str">
        <x:f>IF(U726="","",U726-TODAY())</x:f>
      </x:c>
      <x:c r="W726" s="55" t="str">
        <x:f>IF(AND(U726&lt;&gt;"",U726&lt;TODAY(),O726="Активен"),"ДА","")</x:f>
      </x:c>
      <x:c r="X726" s="55"/>
      <x:c r="Y726" s="55"/>
      <x:c r="Z726" s="55"/>
      <x:c r="AA726" s="55"/>
      <x:c r="AB726" s="55" t="str">
        <x:f>IF(C726="","", "Напиши " &amp; AA726 &amp; " за бизнес: " &amp; C726 &amp; ". Тип: " &amp; D726 &amp; ". Град: " &amp; E726 &amp; ". Проблем: " &amp; L726 &amp; ". Предложение: " &amp; M726 &amp; ". Етап: " &amp; N726 &amp; ". Бележки: " &amp; Y726)</x:f>
      </x:c>
      <x:c r="AC726" s="55"/>
    </x:row>
    <x:row r="727">
      <x:c r="A727" s="55"/>
      <x:c r="B727" s="55"/>
      <x:c r="C727" s="55"/>
      <x:c r="D727" s="55"/>
      <x:c r="E727" s="55"/>
      <x:c r="F727" s="55"/>
      <x:c r="G727" s="55"/>
      <x:c r="H727" s="55"/>
      <x:c r="I727" s="55"/>
      <x:c r="J727" s="55"/>
      <x:c r="K727" s="55"/>
      <x:c r="L727" s="55"/>
      <x:c r="M727" s="55"/>
      <x:c r="N727" s="55"/>
      <x:c r="O727" s="55"/>
      <x:c r="P727" s="55"/>
      <x:c r="Q727" s="55"/>
      <x:c r="R727" s="55"/>
      <x:c r="S727" s="55" t="str">
        <x:f>IF(C727="","",IFERROR(Q727*R727/100,""))</x:f>
      </x:c>
      <x:c r="T727" s="55"/>
      <x:c r="U727" s="55"/>
      <x:c r="V727" s="55" t="str">
        <x:f>IF(U727="","",U727-TODAY())</x:f>
      </x:c>
      <x:c r="W727" s="55" t="str">
        <x:f>IF(AND(U727&lt;&gt;"",U727&lt;TODAY(),O727="Активен"),"ДА","")</x:f>
      </x:c>
      <x:c r="X727" s="55"/>
      <x:c r="Y727" s="55"/>
      <x:c r="Z727" s="55"/>
      <x:c r="AA727" s="55"/>
      <x:c r="AB727" s="55" t="str">
        <x:f>IF(C727="","", "Напиши " &amp; AA727 &amp; " за бизнес: " &amp; C727 &amp; ". Тип: " &amp; D727 &amp; ". Град: " &amp; E727 &amp; ". Проблем: " &amp; L727 &amp; ". Предложение: " &amp; M727 &amp; ". Етап: " &amp; N727 &amp; ". Бележки: " &amp; Y727)</x:f>
      </x:c>
      <x:c r="AC727" s="55"/>
    </x:row>
    <x:row r="728">
      <x:c r="A728" s="55"/>
      <x:c r="B728" s="55"/>
      <x:c r="C728" s="55"/>
      <x:c r="D728" s="55"/>
      <x:c r="E728" s="55"/>
      <x:c r="F728" s="55"/>
      <x:c r="G728" s="55"/>
      <x:c r="H728" s="55"/>
      <x:c r="I728" s="55"/>
      <x:c r="J728" s="55"/>
      <x:c r="K728" s="55"/>
      <x:c r="L728" s="55"/>
      <x:c r="M728" s="55"/>
      <x:c r="N728" s="55"/>
      <x:c r="O728" s="55"/>
      <x:c r="P728" s="55"/>
      <x:c r="Q728" s="55"/>
      <x:c r="R728" s="55"/>
      <x:c r="S728" s="55" t="str">
        <x:f>IF(C728="","",IFERROR(Q728*R728/100,""))</x:f>
      </x:c>
      <x:c r="T728" s="55"/>
      <x:c r="U728" s="55"/>
      <x:c r="V728" s="55" t="str">
        <x:f>IF(U728="","",U728-TODAY())</x:f>
      </x:c>
      <x:c r="W728" s="55" t="str">
        <x:f>IF(AND(U728&lt;&gt;"",U728&lt;TODAY(),O728="Активен"),"ДА","")</x:f>
      </x:c>
      <x:c r="X728" s="55"/>
      <x:c r="Y728" s="55"/>
      <x:c r="Z728" s="55"/>
      <x:c r="AA728" s="55"/>
      <x:c r="AB728" s="55" t="str">
        <x:f>IF(C728="","", "Напиши " &amp; AA728 &amp; " за бизнес: " &amp; C728 &amp; ". Тип: " &amp; D728 &amp; ". Град: " &amp; E728 &amp; ". Проблем: " &amp; L728 &amp; ". Предложение: " &amp; M728 &amp; ". Етап: " &amp; N728 &amp; ". Бележки: " &amp; Y728)</x:f>
      </x:c>
      <x:c r="AC728" s="55"/>
    </x:row>
    <x:row r="729">
      <x:c r="A729" s="55"/>
      <x:c r="B729" s="55"/>
      <x:c r="C729" s="55"/>
      <x:c r="D729" s="55"/>
      <x:c r="E729" s="55"/>
      <x:c r="F729" s="55"/>
      <x:c r="G729" s="55"/>
      <x:c r="H729" s="55"/>
      <x:c r="I729" s="55"/>
      <x:c r="J729" s="55"/>
      <x:c r="K729" s="55"/>
      <x:c r="L729" s="55"/>
      <x:c r="M729" s="55"/>
      <x:c r="N729" s="55"/>
      <x:c r="O729" s="55"/>
      <x:c r="P729" s="55"/>
      <x:c r="Q729" s="55"/>
      <x:c r="R729" s="55"/>
      <x:c r="S729" s="55" t="str">
        <x:f>IF(C729="","",IFERROR(Q729*R729/100,""))</x:f>
      </x:c>
      <x:c r="T729" s="55"/>
      <x:c r="U729" s="55"/>
      <x:c r="V729" s="55" t="str">
        <x:f>IF(U729="","",U729-TODAY())</x:f>
      </x:c>
      <x:c r="W729" s="55" t="str">
        <x:f>IF(AND(U729&lt;&gt;"",U729&lt;TODAY(),O729="Активен"),"ДА","")</x:f>
      </x:c>
      <x:c r="X729" s="55"/>
      <x:c r="Y729" s="55"/>
      <x:c r="Z729" s="55"/>
      <x:c r="AA729" s="55"/>
      <x:c r="AB729" s="55" t="str">
        <x:f>IF(C729="","", "Напиши " &amp; AA729 &amp; " за бизнес: " &amp; C729 &amp; ". Тип: " &amp; D729 &amp; ". Град: " &amp; E729 &amp; ". Проблем: " &amp; L729 &amp; ". Предложение: " &amp; M729 &amp; ". Етап: " &amp; N729 &amp; ". Бележки: " &amp; Y729)</x:f>
      </x:c>
      <x:c r="AC729" s="55"/>
    </x:row>
    <x:row r="730">
      <x:c r="A730" s="55"/>
      <x:c r="B730" s="55"/>
      <x:c r="C730" s="55"/>
      <x:c r="D730" s="55"/>
      <x:c r="E730" s="55"/>
      <x:c r="F730" s="55"/>
      <x:c r="G730" s="55"/>
      <x:c r="H730" s="55"/>
      <x:c r="I730" s="55"/>
      <x:c r="J730" s="55"/>
      <x:c r="K730" s="55"/>
      <x:c r="L730" s="55"/>
      <x:c r="M730" s="55"/>
      <x:c r="N730" s="55"/>
      <x:c r="O730" s="55"/>
      <x:c r="P730" s="55"/>
      <x:c r="Q730" s="55"/>
      <x:c r="R730" s="55"/>
      <x:c r="S730" s="55" t="str">
        <x:f>IF(C730="","",IFERROR(Q730*R730/100,""))</x:f>
      </x:c>
      <x:c r="T730" s="55"/>
      <x:c r="U730" s="55"/>
      <x:c r="V730" s="55" t="str">
        <x:f>IF(U730="","",U730-TODAY())</x:f>
      </x:c>
      <x:c r="W730" s="55" t="str">
        <x:f>IF(AND(U730&lt;&gt;"",U730&lt;TODAY(),O730="Активен"),"ДА","")</x:f>
      </x:c>
      <x:c r="X730" s="55"/>
      <x:c r="Y730" s="55"/>
      <x:c r="Z730" s="55"/>
      <x:c r="AA730" s="55"/>
      <x:c r="AB730" s="55" t="str">
        <x:f>IF(C730="","", "Напиши " &amp; AA730 &amp; " за бизнес: " &amp; C730 &amp; ". Тип: " &amp; D730 &amp; ". Град: " &amp; E730 &amp; ". Проблем: " &amp; L730 &amp; ". Предложение: " &amp; M730 &amp; ". Етап: " &amp; N730 &amp; ". Бележки: " &amp; Y730)</x:f>
      </x:c>
      <x:c r="AC730" s="55"/>
    </x:row>
    <x:row r="731">
      <x:c r="A731" s="55"/>
      <x:c r="B731" s="55"/>
      <x:c r="C731" s="55"/>
      <x:c r="D731" s="55"/>
      <x:c r="E731" s="55"/>
      <x:c r="F731" s="55"/>
      <x:c r="G731" s="55"/>
      <x:c r="H731" s="55"/>
      <x:c r="I731" s="55"/>
      <x:c r="J731" s="55"/>
      <x:c r="K731" s="55"/>
      <x:c r="L731" s="55"/>
      <x:c r="M731" s="55"/>
      <x:c r="N731" s="55"/>
      <x:c r="O731" s="55"/>
      <x:c r="P731" s="55"/>
      <x:c r="Q731" s="55"/>
      <x:c r="R731" s="55"/>
      <x:c r="S731" s="55" t="str">
        <x:f>IF(C731="","",IFERROR(Q731*R731/100,""))</x:f>
      </x:c>
      <x:c r="T731" s="55"/>
      <x:c r="U731" s="55"/>
      <x:c r="V731" s="55" t="str">
        <x:f>IF(U731="","",U731-TODAY())</x:f>
      </x:c>
      <x:c r="W731" s="55" t="str">
        <x:f>IF(AND(U731&lt;&gt;"",U731&lt;TODAY(),O731="Активен"),"ДА","")</x:f>
      </x:c>
      <x:c r="X731" s="55"/>
      <x:c r="Y731" s="55"/>
      <x:c r="Z731" s="55"/>
      <x:c r="AA731" s="55"/>
      <x:c r="AB731" s="55" t="str">
        <x:f>IF(C731="","", "Напиши " &amp; AA731 &amp; " за бизнес: " &amp; C731 &amp; ". Тип: " &amp; D731 &amp; ". Град: " &amp; E731 &amp; ". Проблем: " &amp; L731 &amp; ". Предложение: " &amp; M731 &amp; ". Етап: " &amp; N731 &amp; ". Бележки: " &amp; Y731)</x:f>
      </x:c>
      <x:c r="AC731" s="55"/>
    </x:row>
    <x:row r="732">
      <x:c r="A732" s="55"/>
      <x:c r="B732" s="55"/>
      <x:c r="C732" s="55"/>
      <x:c r="D732" s="55"/>
      <x:c r="E732" s="55"/>
      <x:c r="F732" s="55"/>
      <x:c r="G732" s="55"/>
      <x:c r="H732" s="55"/>
      <x:c r="I732" s="55"/>
      <x:c r="J732" s="55"/>
      <x:c r="K732" s="55"/>
      <x:c r="L732" s="55"/>
      <x:c r="M732" s="55"/>
      <x:c r="N732" s="55"/>
      <x:c r="O732" s="55"/>
      <x:c r="P732" s="55"/>
      <x:c r="Q732" s="55"/>
      <x:c r="R732" s="55"/>
      <x:c r="S732" s="55" t="str">
        <x:f>IF(C732="","",IFERROR(Q732*R732/100,""))</x:f>
      </x:c>
      <x:c r="T732" s="55"/>
      <x:c r="U732" s="55"/>
      <x:c r="V732" s="55" t="str">
        <x:f>IF(U732="","",U732-TODAY())</x:f>
      </x:c>
      <x:c r="W732" s="55" t="str">
        <x:f>IF(AND(U732&lt;&gt;"",U732&lt;TODAY(),O732="Активен"),"ДА","")</x:f>
      </x:c>
      <x:c r="X732" s="55"/>
      <x:c r="Y732" s="55"/>
      <x:c r="Z732" s="55"/>
      <x:c r="AA732" s="55"/>
      <x:c r="AB732" s="55" t="str">
        <x:f>IF(C732="","", "Напиши " &amp; AA732 &amp; " за бизнес: " &amp; C732 &amp; ". Тип: " &amp; D732 &amp; ". Град: " &amp; E732 &amp; ". Проблем: " &amp; L732 &amp; ". Предложение: " &amp; M732 &amp; ". Етап: " &amp; N732 &amp; ". Бележки: " &amp; Y732)</x:f>
      </x:c>
      <x:c r="AC732" s="55"/>
    </x:row>
    <x:row r="733">
      <x:c r="A733" s="55"/>
      <x:c r="B733" s="55"/>
      <x:c r="C733" s="55"/>
      <x:c r="D733" s="55"/>
      <x:c r="E733" s="55"/>
      <x:c r="F733" s="55"/>
      <x:c r="G733" s="55"/>
      <x:c r="H733" s="55"/>
      <x:c r="I733" s="55"/>
      <x:c r="J733" s="55"/>
      <x:c r="K733" s="55"/>
      <x:c r="L733" s="55"/>
      <x:c r="M733" s="55"/>
      <x:c r="N733" s="55"/>
      <x:c r="O733" s="55"/>
      <x:c r="P733" s="55"/>
      <x:c r="Q733" s="55"/>
      <x:c r="R733" s="55"/>
      <x:c r="S733" s="55" t="str">
        <x:f>IF(C733="","",IFERROR(Q733*R733/100,""))</x:f>
      </x:c>
      <x:c r="T733" s="55"/>
      <x:c r="U733" s="55"/>
      <x:c r="V733" s="55" t="str">
        <x:f>IF(U733="","",U733-TODAY())</x:f>
      </x:c>
      <x:c r="W733" s="55" t="str">
        <x:f>IF(AND(U733&lt;&gt;"",U733&lt;TODAY(),O733="Активен"),"ДА","")</x:f>
      </x:c>
      <x:c r="X733" s="55"/>
      <x:c r="Y733" s="55"/>
      <x:c r="Z733" s="55"/>
      <x:c r="AA733" s="55"/>
      <x:c r="AB733" s="55" t="str">
        <x:f>IF(C733="","", "Напиши " &amp; AA733 &amp; " за бизнес: " &amp; C733 &amp; ". Тип: " &amp; D733 &amp; ". Град: " &amp; E733 &amp; ". Проблем: " &amp; L733 &amp; ". Предложение: " &amp; M733 &amp; ". Етап: " &amp; N733 &amp; ". Бележки: " &amp; Y733)</x:f>
      </x:c>
      <x:c r="AC733" s="55"/>
    </x:row>
    <x:row r="734">
      <x:c r="A734" s="55"/>
      <x:c r="B734" s="55"/>
      <x:c r="C734" s="55"/>
      <x:c r="D734" s="55"/>
      <x:c r="E734" s="55"/>
      <x:c r="F734" s="55"/>
      <x:c r="G734" s="55"/>
      <x:c r="H734" s="55"/>
      <x:c r="I734" s="55"/>
      <x:c r="J734" s="55"/>
      <x:c r="K734" s="55"/>
      <x:c r="L734" s="55"/>
      <x:c r="M734" s="55"/>
      <x:c r="N734" s="55"/>
      <x:c r="O734" s="55"/>
      <x:c r="P734" s="55"/>
      <x:c r="Q734" s="55"/>
      <x:c r="R734" s="55"/>
      <x:c r="S734" s="55" t="str">
        <x:f>IF(C734="","",IFERROR(Q734*R734/100,""))</x:f>
      </x:c>
      <x:c r="T734" s="55"/>
      <x:c r="U734" s="55"/>
      <x:c r="V734" s="55" t="str">
        <x:f>IF(U734="","",U734-TODAY())</x:f>
      </x:c>
      <x:c r="W734" s="55" t="str">
        <x:f>IF(AND(U734&lt;&gt;"",U734&lt;TODAY(),O734="Активен"),"ДА","")</x:f>
      </x:c>
      <x:c r="X734" s="55"/>
      <x:c r="Y734" s="55"/>
      <x:c r="Z734" s="55"/>
      <x:c r="AA734" s="55"/>
      <x:c r="AB734" s="55" t="str">
        <x:f>IF(C734="","", "Напиши " &amp; AA734 &amp; " за бизнес: " &amp; C734 &amp; ". Тип: " &amp; D734 &amp; ". Град: " &amp; E734 &amp; ". Проблем: " &amp; L734 &amp; ". Предложение: " &amp; M734 &amp; ". Етап: " &amp; N734 &amp; ". Бележки: " &amp; Y734)</x:f>
      </x:c>
      <x:c r="AC734" s="55"/>
    </x:row>
    <x:row r="735">
      <x:c r="A735" s="55"/>
      <x:c r="B735" s="55"/>
      <x:c r="C735" s="55"/>
      <x:c r="D735" s="55"/>
      <x:c r="E735" s="55"/>
      <x:c r="F735" s="55"/>
      <x:c r="G735" s="55"/>
      <x:c r="H735" s="55"/>
      <x:c r="I735" s="55"/>
      <x:c r="J735" s="55"/>
      <x:c r="K735" s="55"/>
      <x:c r="L735" s="55"/>
      <x:c r="M735" s="55"/>
      <x:c r="N735" s="55"/>
      <x:c r="O735" s="55"/>
      <x:c r="P735" s="55"/>
      <x:c r="Q735" s="55"/>
      <x:c r="R735" s="55"/>
      <x:c r="S735" s="55" t="str">
        <x:f>IF(C735="","",IFERROR(Q735*R735/100,""))</x:f>
      </x:c>
      <x:c r="T735" s="55"/>
      <x:c r="U735" s="55"/>
      <x:c r="V735" s="55" t="str">
        <x:f>IF(U735="","",U735-TODAY())</x:f>
      </x:c>
      <x:c r="W735" s="55" t="str">
        <x:f>IF(AND(U735&lt;&gt;"",U735&lt;TODAY(),O735="Активен"),"ДА","")</x:f>
      </x:c>
      <x:c r="X735" s="55"/>
      <x:c r="Y735" s="55"/>
      <x:c r="Z735" s="55"/>
      <x:c r="AA735" s="55"/>
      <x:c r="AB735" s="55" t="str">
        <x:f>IF(C735="","", "Напиши " &amp; AA735 &amp; " за бизнес: " &amp; C735 &amp; ". Тип: " &amp; D735 &amp; ". Град: " &amp; E735 &amp; ". Проблем: " &amp; L735 &amp; ". Предложение: " &amp; M735 &amp; ". Етап: " &amp; N735 &amp; ". Бележки: " &amp; Y735)</x:f>
      </x:c>
      <x:c r="AC735" s="55"/>
    </x:row>
    <x:row r="736">
      <x:c r="A736" s="55"/>
      <x:c r="B736" s="55"/>
      <x:c r="C736" s="55"/>
      <x:c r="D736" s="55"/>
      <x:c r="E736" s="55"/>
      <x:c r="F736" s="55"/>
      <x:c r="G736" s="55"/>
      <x:c r="H736" s="55"/>
      <x:c r="I736" s="55"/>
      <x:c r="J736" s="55"/>
      <x:c r="K736" s="55"/>
      <x:c r="L736" s="55"/>
      <x:c r="M736" s="55"/>
      <x:c r="N736" s="55"/>
      <x:c r="O736" s="55"/>
      <x:c r="P736" s="55"/>
      <x:c r="Q736" s="55"/>
      <x:c r="R736" s="55"/>
      <x:c r="S736" s="55" t="str">
        <x:f>IF(C736="","",IFERROR(Q736*R736/100,""))</x:f>
      </x:c>
      <x:c r="T736" s="55"/>
      <x:c r="U736" s="55"/>
      <x:c r="V736" s="55" t="str">
        <x:f>IF(U736="","",U736-TODAY())</x:f>
      </x:c>
      <x:c r="W736" s="55" t="str">
        <x:f>IF(AND(U736&lt;&gt;"",U736&lt;TODAY(),O736="Активен"),"ДА","")</x:f>
      </x:c>
      <x:c r="X736" s="55"/>
      <x:c r="Y736" s="55"/>
      <x:c r="Z736" s="55"/>
      <x:c r="AA736" s="55"/>
      <x:c r="AB736" s="55" t="str">
        <x:f>IF(C736="","", "Напиши " &amp; AA736 &amp; " за бизнес: " &amp; C736 &amp; ". Тип: " &amp; D736 &amp; ". Град: " &amp; E736 &amp; ". Проблем: " &amp; L736 &amp; ". Предложение: " &amp; M736 &amp; ". Етап: " &amp; N736 &amp; ". Бележки: " &amp; Y736)</x:f>
      </x:c>
      <x:c r="AC736" s="55"/>
    </x:row>
    <x:row r="737">
      <x:c r="A737" s="55"/>
      <x:c r="B737" s="55"/>
      <x:c r="C737" s="55"/>
      <x:c r="D737" s="55"/>
      <x:c r="E737" s="55"/>
      <x:c r="F737" s="55"/>
      <x:c r="G737" s="55"/>
      <x:c r="H737" s="55"/>
      <x:c r="I737" s="55"/>
      <x:c r="J737" s="55"/>
      <x:c r="K737" s="55"/>
      <x:c r="L737" s="55"/>
      <x:c r="M737" s="55"/>
      <x:c r="N737" s="55"/>
      <x:c r="O737" s="55"/>
      <x:c r="P737" s="55"/>
      <x:c r="Q737" s="55"/>
      <x:c r="R737" s="55"/>
      <x:c r="S737" s="55" t="str">
        <x:f>IF(C737="","",IFERROR(Q737*R737/100,""))</x:f>
      </x:c>
      <x:c r="T737" s="55"/>
      <x:c r="U737" s="55"/>
      <x:c r="V737" s="55" t="str">
        <x:f>IF(U737="","",U737-TODAY())</x:f>
      </x:c>
      <x:c r="W737" s="55" t="str">
        <x:f>IF(AND(U737&lt;&gt;"",U737&lt;TODAY(),O737="Активен"),"ДА","")</x:f>
      </x:c>
      <x:c r="X737" s="55"/>
      <x:c r="Y737" s="55"/>
      <x:c r="Z737" s="55"/>
      <x:c r="AA737" s="55"/>
      <x:c r="AB737" s="55" t="str">
        <x:f>IF(C737="","", "Напиши " &amp; AA737 &amp; " за бизнес: " &amp; C737 &amp; ". Тип: " &amp; D737 &amp; ". Град: " &amp; E737 &amp; ". Проблем: " &amp; L737 &amp; ". Предложение: " &amp; M737 &amp; ". Етап: " &amp; N737 &amp; ". Бележки: " &amp; Y737)</x:f>
      </x:c>
      <x:c r="AC737" s="55"/>
    </x:row>
    <x:row r="738">
      <x:c r="A738" s="55"/>
      <x:c r="B738" s="55"/>
      <x:c r="C738" s="55"/>
      <x:c r="D738" s="55"/>
      <x:c r="E738" s="55"/>
      <x:c r="F738" s="55"/>
      <x:c r="G738" s="55"/>
      <x:c r="H738" s="55"/>
      <x:c r="I738" s="55"/>
      <x:c r="J738" s="55"/>
      <x:c r="K738" s="55"/>
      <x:c r="L738" s="55"/>
      <x:c r="M738" s="55"/>
      <x:c r="N738" s="55"/>
      <x:c r="O738" s="55"/>
      <x:c r="P738" s="55"/>
      <x:c r="Q738" s="55"/>
      <x:c r="R738" s="55"/>
      <x:c r="S738" s="55" t="str">
        <x:f>IF(C738="","",IFERROR(Q738*R738/100,""))</x:f>
      </x:c>
      <x:c r="T738" s="55"/>
      <x:c r="U738" s="55"/>
      <x:c r="V738" s="55" t="str">
        <x:f>IF(U738="","",U738-TODAY())</x:f>
      </x:c>
      <x:c r="W738" s="55" t="str">
        <x:f>IF(AND(U738&lt;&gt;"",U738&lt;TODAY(),O738="Активен"),"ДА","")</x:f>
      </x:c>
      <x:c r="X738" s="55"/>
      <x:c r="Y738" s="55"/>
      <x:c r="Z738" s="55"/>
      <x:c r="AA738" s="55"/>
      <x:c r="AB738" s="55" t="str">
        <x:f>IF(C738="","", "Напиши " &amp; AA738 &amp; " за бизнес: " &amp; C738 &amp; ". Тип: " &amp; D738 &amp; ". Град: " &amp; E738 &amp; ". Проблем: " &amp; L738 &amp; ". Предложение: " &amp; M738 &amp; ". Етап: " &amp; N738 &amp; ". Бележки: " &amp; Y738)</x:f>
      </x:c>
      <x:c r="AC738" s="55"/>
    </x:row>
    <x:row r="739">
      <x:c r="A739" s="55"/>
      <x:c r="B739" s="55"/>
      <x:c r="C739" s="55"/>
      <x:c r="D739" s="55"/>
      <x:c r="E739" s="55"/>
      <x:c r="F739" s="55"/>
      <x:c r="G739" s="55"/>
      <x:c r="H739" s="55"/>
      <x:c r="I739" s="55"/>
      <x:c r="J739" s="55"/>
      <x:c r="K739" s="55"/>
      <x:c r="L739" s="55"/>
      <x:c r="M739" s="55"/>
      <x:c r="N739" s="55"/>
      <x:c r="O739" s="55"/>
      <x:c r="P739" s="55"/>
      <x:c r="Q739" s="55"/>
      <x:c r="R739" s="55"/>
      <x:c r="S739" s="55" t="str">
        <x:f>IF(C739="","",IFERROR(Q739*R739/100,""))</x:f>
      </x:c>
      <x:c r="T739" s="55"/>
      <x:c r="U739" s="55"/>
      <x:c r="V739" s="55" t="str">
        <x:f>IF(U739="","",U739-TODAY())</x:f>
      </x:c>
      <x:c r="W739" s="55" t="str">
        <x:f>IF(AND(U739&lt;&gt;"",U739&lt;TODAY(),O739="Активен"),"ДА","")</x:f>
      </x:c>
      <x:c r="X739" s="55"/>
      <x:c r="Y739" s="55"/>
      <x:c r="Z739" s="55"/>
      <x:c r="AA739" s="55"/>
      <x:c r="AB739" s="55" t="str">
        <x:f>IF(C739="","", "Напиши " &amp; AA739 &amp; " за бизнес: " &amp; C739 &amp; ". Тип: " &amp; D739 &amp; ". Град: " &amp; E739 &amp; ". Проблем: " &amp; L739 &amp; ". Предложение: " &amp; M739 &amp; ". Етап: " &amp; N739 &amp; ". Бележки: " &amp; Y739)</x:f>
      </x:c>
      <x:c r="AC739" s="55"/>
    </x:row>
    <x:row r="740">
      <x:c r="A740" s="55"/>
      <x:c r="B740" s="55"/>
      <x:c r="C740" s="55"/>
      <x:c r="D740" s="55"/>
      <x:c r="E740" s="55"/>
      <x:c r="F740" s="55"/>
      <x:c r="G740" s="55"/>
      <x:c r="H740" s="55"/>
      <x:c r="I740" s="55"/>
      <x:c r="J740" s="55"/>
      <x:c r="K740" s="55"/>
      <x:c r="L740" s="55"/>
      <x:c r="M740" s="55"/>
      <x:c r="N740" s="55"/>
      <x:c r="O740" s="55"/>
      <x:c r="P740" s="55"/>
      <x:c r="Q740" s="55"/>
      <x:c r="R740" s="55"/>
      <x:c r="S740" s="55" t="str">
        <x:f>IF(C740="","",IFERROR(Q740*R740/100,""))</x:f>
      </x:c>
      <x:c r="T740" s="55"/>
      <x:c r="U740" s="55"/>
      <x:c r="V740" s="55" t="str">
        <x:f>IF(U740="","",U740-TODAY())</x:f>
      </x:c>
      <x:c r="W740" s="55" t="str">
        <x:f>IF(AND(U740&lt;&gt;"",U740&lt;TODAY(),O740="Активен"),"ДА","")</x:f>
      </x:c>
      <x:c r="X740" s="55"/>
      <x:c r="Y740" s="55"/>
      <x:c r="Z740" s="55"/>
      <x:c r="AA740" s="55"/>
      <x:c r="AB740" s="55" t="str">
        <x:f>IF(C740="","", "Напиши " &amp; AA740 &amp; " за бизнес: " &amp; C740 &amp; ". Тип: " &amp; D740 &amp; ". Град: " &amp; E740 &amp; ". Проблем: " &amp; L740 &amp; ". Предложение: " &amp; M740 &amp; ". Етап: " &amp; N740 &amp; ". Бележки: " &amp; Y740)</x:f>
      </x:c>
      <x:c r="AC740" s="55"/>
    </x:row>
    <x:row r="741">
      <x:c r="A741" s="55"/>
      <x:c r="B741" s="55"/>
      <x:c r="C741" s="55"/>
      <x:c r="D741" s="55"/>
      <x:c r="E741" s="55"/>
      <x:c r="F741" s="55"/>
      <x:c r="G741" s="55"/>
      <x:c r="H741" s="55"/>
      <x:c r="I741" s="55"/>
      <x:c r="J741" s="55"/>
      <x:c r="K741" s="55"/>
      <x:c r="L741" s="55"/>
      <x:c r="M741" s="55"/>
      <x:c r="N741" s="55"/>
      <x:c r="O741" s="55"/>
      <x:c r="P741" s="55"/>
      <x:c r="Q741" s="55"/>
      <x:c r="R741" s="55"/>
      <x:c r="S741" s="55" t="str">
        <x:f>IF(C741="","",IFERROR(Q741*R741/100,""))</x:f>
      </x:c>
      <x:c r="T741" s="55"/>
      <x:c r="U741" s="55"/>
      <x:c r="V741" s="55" t="str">
        <x:f>IF(U741="","",U741-TODAY())</x:f>
      </x:c>
      <x:c r="W741" s="55" t="str">
        <x:f>IF(AND(U741&lt;&gt;"",U741&lt;TODAY(),O741="Активен"),"ДА","")</x:f>
      </x:c>
      <x:c r="X741" s="55"/>
      <x:c r="Y741" s="55"/>
      <x:c r="Z741" s="55"/>
      <x:c r="AA741" s="55"/>
      <x:c r="AB741" s="55" t="str">
        <x:f>IF(C741="","", "Напиши " &amp; AA741 &amp; " за бизнес: " &amp; C741 &amp; ". Тип: " &amp; D741 &amp; ". Град: " &amp; E741 &amp; ". Проблем: " &amp; L741 &amp; ". Предложение: " &amp; M741 &amp; ". Етап: " &amp; N741 &amp; ". Бележки: " &amp; Y741)</x:f>
      </x:c>
      <x:c r="AC741" s="55"/>
    </x:row>
    <x:row r="742">
      <x:c r="A742" s="55"/>
      <x:c r="B742" s="55"/>
      <x:c r="C742" s="55"/>
      <x:c r="D742" s="55"/>
      <x:c r="E742" s="55"/>
      <x:c r="F742" s="55"/>
      <x:c r="G742" s="55"/>
      <x:c r="H742" s="55"/>
      <x:c r="I742" s="55"/>
      <x:c r="J742" s="55"/>
      <x:c r="K742" s="55"/>
      <x:c r="L742" s="55"/>
      <x:c r="M742" s="55"/>
      <x:c r="N742" s="55"/>
      <x:c r="O742" s="55"/>
      <x:c r="P742" s="55"/>
      <x:c r="Q742" s="55"/>
      <x:c r="R742" s="55"/>
      <x:c r="S742" s="55" t="str">
        <x:f>IF(C742="","",IFERROR(Q742*R742/100,""))</x:f>
      </x:c>
      <x:c r="T742" s="55"/>
      <x:c r="U742" s="55"/>
      <x:c r="V742" s="55" t="str">
        <x:f>IF(U742="","",U742-TODAY())</x:f>
      </x:c>
      <x:c r="W742" s="55" t="str">
        <x:f>IF(AND(U742&lt;&gt;"",U742&lt;TODAY(),O742="Активен"),"ДА","")</x:f>
      </x:c>
      <x:c r="X742" s="55"/>
      <x:c r="Y742" s="55"/>
      <x:c r="Z742" s="55"/>
      <x:c r="AA742" s="55"/>
      <x:c r="AB742" s="55" t="str">
        <x:f>IF(C742="","", "Напиши " &amp; AA742 &amp; " за бизнес: " &amp; C742 &amp; ". Тип: " &amp; D742 &amp; ". Град: " &amp; E742 &amp; ". Проблем: " &amp; L742 &amp; ". Предложение: " &amp; M742 &amp; ". Етап: " &amp; N742 &amp; ". Бележки: " &amp; Y742)</x:f>
      </x:c>
      <x:c r="AC742" s="55"/>
    </x:row>
    <x:row r="743">
      <x:c r="A743" s="55"/>
      <x:c r="B743" s="55"/>
      <x:c r="C743" s="55"/>
      <x:c r="D743" s="55"/>
      <x:c r="E743" s="55"/>
      <x:c r="F743" s="55"/>
      <x:c r="G743" s="55"/>
      <x:c r="H743" s="55"/>
      <x:c r="I743" s="55"/>
      <x:c r="J743" s="55"/>
      <x:c r="K743" s="55"/>
      <x:c r="L743" s="55"/>
      <x:c r="M743" s="55"/>
      <x:c r="N743" s="55"/>
      <x:c r="O743" s="55"/>
      <x:c r="P743" s="55"/>
      <x:c r="Q743" s="55"/>
      <x:c r="R743" s="55"/>
      <x:c r="S743" s="55" t="str">
        <x:f>IF(C743="","",IFERROR(Q743*R743/100,""))</x:f>
      </x:c>
      <x:c r="T743" s="55"/>
      <x:c r="U743" s="55"/>
      <x:c r="V743" s="55" t="str">
        <x:f>IF(U743="","",U743-TODAY())</x:f>
      </x:c>
      <x:c r="W743" s="55" t="str">
        <x:f>IF(AND(U743&lt;&gt;"",U743&lt;TODAY(),O743="Активен"),"ДА","")</x:f>
      </x:c>
      <x:c r="X743" s="55"/>
      <x:c r="Y743" s="55"/>
      <x:c r="Z743" s="55"/>
      <x:c r="AA743" s="55"/>
      <x:c r="AB743" s="55" t="str">
        <x:f>IF(C743="","", "Напиши " &amp; AA743 &amp; " за бизнес: " &amp; C743 &amp; ". Тип: " &amp; D743 &amp; ". Град: " &amp; E743 &amp; ". Проблем: " &amp; L743 &amp; ". Предложение: " &amp; M743 &amp; ". Етап: " &amp; N743 &amp; ". Бележки: " &amp; Y743)</x:f>
      </x:c>
      <x:c r="AC743" s="55"/>
    </x:row>
    <x:row r="744">
      <x:c r="A744" s="55"/>
      <x:c r="B744" s="55"/>
      <x:c r="C744" s="55"/>
      <x:c r="D744" s="55"/>
      <x:c r="E744" s="55"/>
      <x:c r="F744" s="55"/>
      <x:c r="G744" s="55"/>
      <x:c r="H744" s="55"/>
      <x:c r="I744" s="55"/>
      <x:c r="J744" s="55"/>
      <x:c r="K744" s="55"/>
      <x:c r="L744" s="55"/>
      <x:c r="M744" s="55"/>
      <x:c r="N744" s="55"/>
      <x:c r="O744" s="55"/>
      <x:c r="P744" s="55"/>
      <x:c r="Q744" s="55"/>
      <x:c r="R744" s="55"/>
      <x:c r="S744" s="55" t="str">
        <x:f>IF(C744="","",IFERROR(Q744*R744/100,""))</x:f>
      </x:c>
      <x:c r="T744" s="55"/>
      <x:c r="U744" s="55"/>
      <x:c r="V744" s="55" t="str">
        <x:f>IF(U744="","",U744-TODAY())</x:f>
      </x:c>
      <x:c r="W744" s="55" t="str">
        <x:f>IF(AND(U744&lt;&gt;"",U744&lt;TODAY(),O744="Активен"),"ДА","")</x:f>
      </x:c>
      <x:c r="X744" s="55"/>
      <x:c r="Y744" s="55"/>
      <x:c r="Z744" s="55"/>
      <x:c r="AA744" s="55"/>
      <x:c r="AB744" s="55" t="str">
        <x:f>IF(C744="","", "Напиши " &amp; AA744 &amp; " за бизнес: " &amp; C744 &amp; ". Тип: " &amp; D744 &amp; ". Град: " &amp; E744 &amp; ". Проблем: " &amp; L744 &amp; ". Предложение: " &amp; M744 &amp; ". Етап: " &amp; N744 &amp; ". Бележки: " &amp; Y744)</x:f>
      </x:c>
      <x:c r="AC744" s="55"/>
    </x:row>
    <x:row r="745">
      <x:c r="A745" s="55"/>
      <x:c r="B745" s="55"/>
      <x:c r="C745" s="55"/>
      <x:c r="D745" s="55"/>
      <x:c r="E745" s="55"/>
      <x:c r="F745" s="55"/>
      <x:c r="G745" s="55"/>
      <x:c r="H745" s="55"/>
      <x:c r="I745" s="55"/>
      <x:c r="J745" s="55"/>
      <x:c r="K745" s="55"/>
      <x:c r="L745" s="55"/>
      <x:c r="M745" s="55"/>
      <x:c r="N745" s="55"/>
      <x:c r="O745" s="55"/>
      <x:c r="P745" s="55"/>
      <x:c r="Q745" s="55"/>
      <x:c r="R745" s="55"/>
      <x:c r="S745" s="55" t="str">
        <x:f>IF(C745="","",IFERROR(Q745*R745/100,""))</x:f>
      </x:c>
      <x:c r="T745" s="55"/>
      <x:c r="U745" s="55"/>
      <x:c r="V745" s="55" t="str">
        <x:f>IF(U745="","",U745-TODAY())</x:f>
      </x:c>
      <x:c r="W745" s="55" t="str">
        <x:f>IF(AND(U745&lt;&gt;"",U745&lt;TODAY(),O745="Активен"),"ДА","")</x:f>
      </x:c>
      <x:c r="X745" s="55"/>
      <x:c r="Y745" s="55"/>
      <x:c r="Z745" s="55"/>
      <x:c r="AA745" s="55"/>
      <x:c r="AB745" s="55" t="str">
        <x:f>IF(C745="","", "Напиши " &amp; AA745 &amp; " за бизнес: " &amp; C745 &amp; ". Тип: " &amp; D745 &amp; ". Град: " &amp; E745 &amp; ". Проблем: " &amp; L745 &amp; ". Предложение: " &amp; M745 &amp; ". Етап: " &amp; N745 &amp; ". Бележки: " &amp; Y745)</x:f>
      </x:c>
      <x:c r="AC745" s="55"/>
    </x:row>
    <x:row r="746">
      <x:c r="A746" s="55"/>
      <x:c r="B746" s="55"/>
      <x:c r="C746" s="55"/>
      <x:c r="D746" s="55"/>
      <x:c r="E746" s="55"/>
      <x:c r="F746" s="55"/>
      <x:c r="G746" s="55"/>
      <x:c r="H746" s="55"/>
      <x:c r="I746" s="55"/>
      <x:c r="J746" s="55"/>
      <x:c r="K746" s="55"/>
      <x:c r="L746" s="55"/>
      <x:c r="M746" s="55"/>
      <x:c r="N746" s="55"/>
      <x:c r="O746" s="55"/>
      <x:c r="P746" s="55"/>
      <x:c r="Q746" s="55"/>
      <x:c r="R746" s="55"/>
      <x:c r="S746" s="55" t="str">
        <x:f>IF(C746="","",IFERROR(Q746*R746/100,""))</x:f>
      </x:c>
      <x:c r="T746" s="55"/>
      <x:c r="U746" s="55"/>
      <x:c r="V746" s="55" t="str">
        <x:f>IF(U746="","",U746-TODAY())</x:f>
      </x:c>
      <x:c r="W746" s="55" t="str">
        <x:f>IF(AND(U746&lt;&gt;"",U746&lt;TODAY(),O746="Активен"),"ДА","")</x:f>
      </x:c>
      <x:c r="X746" s="55"/>
      <x:c r="Y746" s="55"/>
      <x:c r="Z746" s="55"/>
      <x:c r="AA746" s="55"/>
      <x:c r="AB746" s="55" t="str">
        <x:f>IF(C746="","", "Напиши " &amp; AA746 &amp; " за бизнес: " &amp; C746 &amp; ". Тип: " &amp; D746 &amp; ". Град: " &amp; E746 &amp; ". Проблем: " &amp; L746 &amp; ". Предложение: " &amp; M746 &amp; ". Етап: " &amp; N746 &amp; ". Бележки: " &amp; Y746)</x:f>
      </x:c>
      <x:c r="AC746" s="55"/>
    </x:row>
    <x:row r="747">
      <x:c r="A747" s="55"/>
      <x:c r="B747" s="55"/>
      <x:c r="C747" s="55"/>
      <x:c r="D747" s="55"/>
      <x:c r="E747" s="55"/>
      <x:c r="F747" s="55"/>
      <x:c r="G747" s="55"/>
      <x:c r="H747" s="55"/>
      <x:c r="I747" s="55"/>
      <x:c r="J747" s="55"/>
      <x:c r="K747" s="55"/>
      <x:c r="L747" s="55"/>
      <x:c r="M747" s="55"/>
      <x:c r="N747" s="55"/>
      <x:c r="O747" s="55"/>
      <x:c r="P747" s="55"/>
      <x:c r="Q747" s="55"/>
      <x:c r="R747" s="55"/>
      <x:c r="S747" s="55" t="str">
        <x:f>IF(C747="","",IFERROR(Q747*R747/100,""))</x:f>
      </x:c>
      <x:c r="T747" s="55"/>
      <x:c r="U747" s="55"/>
      <x:c r="V747" s="55" t="str">
        <x:f>IF(U747="","",U747-TODAY())</x:f>
      </x:c>
      <x:c r="W747" s="55" t="str">
        <x:f>IF(AND(U747&lt;&gt;"",U747&lt;TODAY(),O747="Активен"),"ДА","")</x:f>
      </x:c>
      <x:c r="X747" s="55"/>
      <x:c r="Y747" s="55"/>
      <x:c r="Z747" s="55"/>
      <x:c r="AA747" s="55"/>
      <x:c r="AB747" s="55" t="str">
        <x:f>IF(C747="","", "Напиши " &amp; AA747 &amp; " за бизнес: " &amp; C747 &amp; ". Тип: " &amp; D747 &amp; ". Град: " &amp; E747 &amp; ". Проблем: " &amp; L747 &amp; ". Предложение: " &amp; M747 &amp; ". Етап: " &amp; N747 &amp; ". Бележки: " &amp; Y747)</x:f>
      </x:c>
      <x:c r="AC747" s="55"/>
    </x:row>
    <x:row r="748">
      <x:c r="A748" s="55"/>
      <x:c r="B748" s="55"/>
      <x:c r="C748" s="55"/>
      <x:c r="D748" s="55"/>
      <x:c r="E748" s="55"/>
      <x:c r="F748" s="55"/>
      <x:c r="G748" s="55"/>
      <x:c r="H748" s="55"/>
      <x:c r="I748" s="55"/>
      <x:c r="J748" s="55"/>
      <x:c r="K748" s="55"/>
      <x:c r="L748" s="55"/>
      <x:c r="M748" s="55"/>
      <x:c r="N748" s="55"/>
      <x:c r="O748" s="55"/>
      <x:c r="P748" s="55"/>
      <x:c r="Q748" s="55"/>
      <x:c r="R748" s="55"/>
      <x:c r="S748" s="55" t="str">
        <x:f>IF(C748="","",IFERROR(Q748*R748/100,""))</x:f>
      </x:c>
      <x:c r="T748" s="55"/>
      <x:c r="U748" s="55"/>
      <x:c r="V748" s="55" t="str">
        <x:f>IF(U748="","",U748-TODAY())</x:f>
      </x:c>
      <x:c r="W748" s="55" t="str">
        <x:f>IF(AND(U748&lt;&gt;"",U748&lt;TODAY(),O748="Активен"),"ДА","")</x:f>
      </x:c>
      <x:c r="X748" s="55"/>
      <x:c r="Y748" s="55"/>
      <x:c r="Z748" s="55"/>
      <x:c r="AA748" s="55"/>
      <x:c r="AB748" s="55" t="str">
        <x:f>IF(C748="","", "Напиши " &amp; AA748 &amp; " за бизнес: " &amp; C748 &amp; ". Тип: " &amp; D748 &amp; ". Град: " &amp; E748 &amp; ". Проблем: " &amp; L748 &amp; ". Предложение: " &amp; M748 &amp; ". Етап: " &amp; N748 &amp; ". Бележки: " &amp; Y748)</x:f>
      </x:c>
      <x:c r="AC748" s="55"/>
    </x:row>
    <x:row r="749">
      <x:c r="A749" s="55"/>
      <x:c r="B749" s="55"/>
      <x:c r="C749" s="55"/>
      <x:c r="D749" s="55"/>
      <x:c r="E749" s="55"/>
      <x:c r="F749" s="55"/>
      <x:c r="G749" s="55"/>
      <x:c r="H749" s="55"/>
      <x:c r="I749" s="55"/>
      <x:c r="J749" s="55"/>
      <x:c r="K749" s="55"/>
      <x:c r="L749" s="55"/>
      <x:c r="M749" s="55"/>
      <x:c r="N749" s="55"/>
      <x:c r="O749" s="55"/>
      <x:c r="P749" s="55"/>
      <x:c r="Q749" s="55"/>
      <x:c r="R749" s="55"/>
      <x:c r="S749" s="55" t="str">
        <x:f>IF(C749="","",IFERROR(Q749*R749/100,""))</x:f>
      </x:c>
      <x:c r="T749" s="55"/>
      <x:c r="U749" s="55"/>
      <x:c r="V749" s="55" t="str">
        <x:f>IF(U749="","",U749-TODAY())</x:f>
      </x:c>
      <x:c r="W749" s="55" t="str">
        <x:f>IF(AND(U749&lt;&gt;"",U749&lt;TODAY(),O749="Активен"),"ДА","")</x:f>
      </x:c>
      <x:c r="X749" s="55"/>
      <x:c r="Y749" s="55"/>
      <x:c r="Z749" s="55"/>
      <x:c r="AA749" s="55"/>
      <x:c r="AB749" s="55" t="str">
        <x:f>IF(C749="","", "Напиши " &amp; AA749 &amp; " за бизнес: " &amp; C749 &amp; ". Тип: " &amp; D749 &amp; ". Град: " &amp; E749 &amp; ". Проблем: " &amp; L749 &amp; ". Предложение: " &amp; M749 &amp; ". Етап: " &amp; N749 &amp; ". Бележки: " &amp; Y749)</x:f>
      </x:c>
      <x:c r="AC749" s="55"/>
    </x:row>
    <x:row r="750">
      <x:c r="A750" s="55"/>
      <x:c r="B750" s="55"/>
      <x:c r="C750" s="55"/>
      <x:c r="D750" s="55"/>
      <x:c r="E750" s="55"/>
      <x:c r="F750" s="55"/>
      <x:c r="G750" s="55"/>
      <x:c r="H750" s="55"/>
      <x:c r="I750" s="55"/>
      <x:c r="J750" s="55"/>
      <x:c r="K750" s="55"/>
      <x:c r="L750" s="55"/>
      <x:c r="M750" s="55"/>
      <x:c r="N750" s="55"/>
      <x:c r="O750" s="55"/>
      <x:c r="P750" s="55"/>
      <x:c r="Q750" s="55"/>
      <x:c r="R750" s="55"/>
      <x:c r="S750" s="55" t="str">
        <x:f>IF(C750="","",IFERROR(Q750*R750/100,""))</x:f>
      </x:c>
      <x:c r="T750" s="55"/>
      <x:c r="U750" s="55"/>
      <x:c r="V750" s="55" t="str">
        <x:f>IF(U750="","",U750-TODAY())</x:f>
      </x:c>
      <x:c r="W750" s="55" t="str">
        <x:f>IF(AND(U750&lt;&gt;"",U750&lt;TODAY(),O750="Активен"),"ДА","")</x:f>
      </x:c>
      <x:c r="X750" s="55"/>
      <x:c r="Y750" s="55"/>
      <x:c r="Z750" s="55"/>
      <x:c r="AA750" s="55"/>
      <x:c r="AB750" s="55" t="str">
        <x:f>IF(C750="","", "Напиши " &amp; AA750 &amp; " за бизнес: " &amp; C750 &amp; ". Тип: " &amp; D750 &amp; ". Град: " &amp; E750 &amp; ". Проблем: " &amp; L750 &amp; ". Предложение: " &amp; M750 &amp; ". Етап: " &amp; N750 &amp; ". Бележки: " &amp; Y750)</x:f>
      </x:c>
      <x:c r="AC750" s="55"/>
    </x:row>
    <x:row r="751">
      <x:c r="A751" s="55"/>
      <x:c r="B751" s="55"/>
      <x:c r="C751" s="55"/>
      <x:c r="D751" s="55"/>
      <x:c r="E751" s="55"/>
      <x:c r="F751" s="55"/>
      <x:c r="G751" s="55"/>
      <x:c r="H751" s="55"/>
      <x:c r="I751" s="55"/>
      <x:c r="J751" s="55"/>
      <x:c r="K751" s="55"/>
      <x:c r="L751" s="55"/>
      <x:c r="M751" s="55"/>
      <x:c r="N751" s="55"/>
      <x:c r="O751" s="55"/>
      <x:c r="P751" s="55"/>
      <x:c r="Q751" s="55"/>
      <x:c r="R751" s="55"/>
      <x:c r="S751" s="55" t="str">
        <x:f>IF(C751="","",IFERROR(Q751*R751/100,""))</x:f>
      </x:c>
      <x:c r="T751" s="55"/>
      <x:c r="U751" s="55"/>
      <x:c r="V751" s="55" t="str">
        <x:f>IF(U751="","",U751-TODAY())</x:f>
      </x:c>
      <x:c r="W751" s="55" t="str">
        <x:f>IF(AND(U751&lt;&gt;"",U751&lt;TODAY(),O751="Активен"),"ДА","")</x:f>
      </x:c>
      <x:c r="X751" s="55"/>
      <x:c r="Y751" s="55"/>
      <x:c r="Z751" s="55"/>
      <x:c r="AA751" s="55"/>
      <x:c r="AB751" s="55" t="str">
        <x:f>IF(C751="","", "Напиши " &amp; AA751 &amp; " за бизнес: " &amp; C751 &amp; ". Тип: " &amp; D751 &amp; ". Град: " &amp; E751 &amp; ". Проблем: " &amp; L751 &amp; ". Предложение: " &amp; M751 &amp; ". Етап: " &amp; N751 &amp; ". Бележки: " &amp; Y751)</x:f>
      </x:c>
      <x:c r="AC751" s="55"/>
    </x:row>
    <x:row r="752">
      <x:c r="A752" s="55"/>
      <x:c r="B752" s="55"/>
      <x:c r="C752" s="55"/>
      <x:c r="D752" s="55"/>
      <x:c r="E752" s="55"/>
      <x:c r="F752" s="55"/>
      <x:c r="G752" s="55"/>
      <x:c r="H752" s="55"/>
      <x:c r="I752" s="55"/>
      <x:c r="J752" s="55"/>
      <x:c r="K752" s="55"/>
      <x:c r="L752" s="55"/>
      <x:c r="M752" s="55"/>
      <x:c r="N752" s="55"/>
      <x:c r="O752" s="55"/>
      <x:c r="P752" s="55"/>
      <x:c r="Q752" s="55"/>
      <x:c r="R752" s="55"/>
      <x:c r="S752" s="55" t="str">
        <x:f>IF(C752="","",IFERROR(Q752*R752/100,""))</x:f>
      </x:c>
      <x:c r="T752" s="55"/>
      <x:c r="U752" s="55"/>
      <x:c r="V752" s="55" t="str">
        <x:f>IF(U752="","",U752-TODAY())</x:f>
      </x:c>
      <x:c r="W752" s="55" t="str">
        <x:f>IF(AND(U752&lt;&gt;"",U752&lt;TODAY(),O752="Активен"),"ДА","")</x:f>
      </x:c>
      <x:c r="X752" s="55"/>
      <x:c r="Y752" s="55"/>
      <x:c r="Z752" s="55"/>
      <x:c r="AA752" s="55"/>
      <x:c r="AB752" s="55" t="str">
        <x:f>IF(C752="","", "Напиши " &amp; AA752 &amp; " за бизнес: " &amp; C752 &amp; ". Тип: " &amp; D752 &amp; ". Град: " &amp; E752 &amp; ". Проблем: " &amp; L752 &amp; ". Предложение: " &amp; M752 &amp; ". Етап: " &amp; N752 &amp; ". Бележки: " &amp; Y752)</x:f>
      </x:c>
      <x:c r="AC752" s="55"/>
    </x:row>
    <x:row r="753">
      <x:c r="A753" s="55"/>
      <x:c r="B753" s="55"/>
      <x:c r="C753" s="55"/>
      <x:c r="D753" s="55"/>
      <x:c r="E753" s="55"/>
      <x:c r="F753" s="55"/>
      <x:c r="G753" s="55"/>
      <x:c r="H753" s="55"/>
      <x:c r="I753" s="55"/>
      <x:c r="J753" s="55"/>
      <x:c r="K753" s="55"/>
      <x:c r="L753" s="55"/>
      <x:c r="M753" s="55"/>
      <x:c r="N753" s="55"/>
      <x:c r="O753" s="55"/>
      <x:c r="P753" s="55"/>
      <x:c r="Q753" s="55"/>
      <x:c r="R753" s="55"/>
      <x:c r="S753" s="55" t="str">
        <x:f>IF(C753="","",IFERROR(Q753*R753/100,""))</x:f>
      </x:c>
      <x:c r="T753" s="55"/>
      <x:c r="U753" s="55"/>
      <x:c r="V753" s="55" t="str">
        <x:f>IF(U753="","",U753-TODAY())</x:f>
      </x:c>
      <x:c r="W753" s="55" t="str">
        <x:f>IF(AND(U753&lt;&gt;"",U753&lt;TODAY(),O753="Активен"),"ДА","")</x:f>
      </x:c>
      <x:c r="X753" s="55"/>
      <x:c r="Y753" s="55"/>
      <x:c r="Z753" s="55"/>
      <x:c r="AA753" s="55"/>
      <x:c r="AB753" s="55" t="str">
        <x:f>IF(C753="","", "Напиши " &amp; AA753 &amp; " за бизнес: " &amp; C753 &amp; ". Тип: " &amp; D753 &amp; ". Град: " &amp; E753 &amp; ". Проблем: " &amp; L753 &amp; ". Предложение: " &amp; M753 &amp; ". Етап: " &amp; N753 &amp; ". Бележки: " &amp; Y753)</x:f>
      </x:c>
      <x:c r="AC753" s="55"/>
    </x:row>
    <x:row r="754">
      <x:c r="A754" s="55"/>
      <x:c r="B754" s="55"/>
      <x:c r="C754" s="55"/>
      <x:c r="D754" s="55"/>
      <x:c r="E754" s="55"/>
      <x:c r="F754" s="55"/>
      <x:c r="G754" s="55"/>
      <x:c r="H754" s="55"/>
      <x:c r="I754" s="55"/>
      <x:c r="J754" s="55"/>
      <x:c r="K754" s="55"/>
      <x:c r="L754" s="55"/>
      <x:c r="M754" s="55"/>
      <x:c r="N754" s="55"/>
      <x:c r="O754" s="55"/>
      <x:c r="P754" s="55"/>
      <x:c r="Q754" s="55"/>
      <x:c r="R754" s="55"/>
      <x:c r="S754" s="55" t="str">
        <x:f>IF(C754="","",IFERROR(Q754*R754/100,""))</x:f>
      </x:c>
      <x:c r="T754" s="55"/>
      <x:c r="U754" s="55"/>
      <x:c r="V754" s="55" t="str">
        <x:f>IF(U754="","",U754-TODAY())</x:f>
      </x:c>
      <x:c r="W754" s="55" t="str">
        <x:f>IF(AND(U754&lt;&gt;"",U754&lt;TODAY(),O754="Активен"),"ДА","")</x:f>
      </x:c>
      <x:c r="X754" s="55"/>
      <x:c r="Y754" s="55"/>
      <x:c r="Z754" s="55"/>
      <x:c r="AA754" s="55"/>
      <x:c r="AB754" s="55" t="str">
        <x:f>IF(C754="","", "Напиши " &amp; AA754 &amp; " за бизнес: " &amp; C754 &amp; ". Тип: " &amp; D754 &amp; ". Град: " &amp; E754 &amp; ". Проблем: " &amp; L754 &amp; ". Предложение: " &amp; M754 &amp; ". Етап: " &amp; N754 &amp; ". Бележки: " &amp; Y754)</x:f>
      </x:c>
      <x:c r="AC754" s="55"/>
    </x:row>
    <x:row r="755">
      <x:c r="A755" s="55"/>
      <x:c r="B755" s="55"/>
      <x:c r="C755" s="55"/>
      <x:c r="D755" s="55"/>
      <x:c r="E755" s="55"/>
      <x:c r="F755" s="55"/>
      <x:c r="G755" s="55"/>
      <x:c r="H755" s="55"/>
      <x:c r="I755" s="55"/>
      <x:c r="J755" s="55"/>
      <x:c r="K755" s="55"/>
      <x:c r="L755" s="55"/>
      <x:c r="M755" s="55"/>
      <x:c r="N755" s="55"/>
      <x:c r="O755" s="55"/>
      <x:c r="P755" s="55"/>
      <x:c r="Q755" s="55"/>
      <x:c r="R755" s="55"/>
      <x:c r="S755" s="55" t="str">
        <x:f>IF(C755="","",IFERROR(Q755*R755/100,""))</x:f>
      </x:c>
      <x:c r="T755" s="55"/>
      <x:c r="U755" s="55"/>
      <x:c r="V755" s="55" t="str">
        <x:f>IF(U755="","",U755-TODAY())</x:f>
      </x:c>
      <x:c r="W755" s="55" t="str">
        <x:f>IF(AND(U755&lt;&gt;"",U755&lt;TODAY(),O755="Активен"),"ДА","")</x:f>
      </x:c>
      <x:c r="X755" s="55"/>
      <x:c r="Y755" s="55"/>
      <x:c r="Z755" s="55"/>
      <x:c r="AA755" s="55"/>
      <x:c r="AB755" s="55" t="str">
        <x:f>IF(C755="","", "Напиши " &amp; AA755 &amp; " за бизнес: " &amp; C755 &amp; ". Тип: " &amp; D755 &amp; ". Град: " &amp; E755 &amp; ". Проблем: " &amp; L755 &amp; ". Предложение: " &amp; M755 &amp; ". Етап: " &amp; N755 &amp; ". Бележки: " &amp; Y755)</x:f>
      </x:c>
      <x:c r="AC755" s="55"/>
    </x:row>
    <x:row r="756">
      <x:c r="A756" s="55"/>
      <x:c r="B756" s="55"/>
      <x:c r="C756" s="55"/>
      <x:c r="D756" s="55"/>
      <x:c r="E756" s="55"/>
      <x:c r="F756" s="55"/>
      <x:c r="G756" s="55"/>
      <x:c r="H756" s="55"/>
      <x:c r="I756" s="55"/>
      <x:c r="J756" s="55"/>
      <x:c r="K756" s="55"/>
      <x:c r="L756" s="55"/>
      <x:c r="M756" s="55"/>
      <x:c r="N756" s="55"/>
      <x:c r="O756" s="55"/>
      <x:c r="P756" s="55"/>
      <x:c r="Q756" s="55"/>
      <x:c r="R756" s="55"/>
      <x:c r="S756" s="55" t="str">
        <x:f>IF(C756="","",IFERROR(Q756*R756/100,""))</x:f>
      </x:c>
      <x:c r="T756" s="55"/>
      <x:c r="U756" s="55"/>
      <x:c r="V756" s="55" t="str">
        <x:f>IF(U756="","",U756-TODAY())</x:f>
      </x:c>
      <x:c r="W756" s="55" t="str">
        <x:f>IF(AND(U756&lt;&gt;"",U756&lt;TODAY(),O756="Активен"),"ДА","")</x:f>
      </x:c>
      <x:c r="X756" s="55"/>
      <x:c r="Y756" s="55"/>
      <x:c r="Z756" s="55"/>
      <x:c r="AA756" s="55"/>
      <x:c r="AB756" s="55" t="str">
        <x:f>IF(C756="","", "Напиши " &amp; AA756 &amp; " за бизнес: " &amp; C756 &amp; ". Тип: " &amp; D756 &amp; ". Град: " &amp; E756 &amp; ". Проблем: " &amp; L756 &amp; ". Предложение: " &amp; M756 &amp; ". Етап: " &amp; N756 &amp; ". Бележки: " &amp; Y756)</x:f>
      </x:c>
      <x:c r="AC756" s="55"/>
    </x:row>
    <x:row r="757">
      <x:c r="A757" s="55"/>
      <x:c r="B757" s="55"/>
      <x:c r="C757" s="55"/>
      <x:c r="D757" s="55"/>
      <x:c r="E757" s="55"/>
      <x:c r="F757" s="55"/>
      <x:c r="G757" s="55"/>
      <x:c r="H757" s="55"/>
      <x:c r="I757" s="55"/>
      <x:c r="J757" s="55"/>
      <x:c r="K757" s="55"/>
      <x:c r="L757" s="55"/>
      <x:c r="M757" s="55"/>
      <x:c r="N757" s="55"/>
      <x:c r="O757" s="55"/>
      <x:c r="P757" s="55"/>
      <x:c r="Q757" s="55"/>
      <x:c r="R757" s="55"/>
      <x:c r="S757" s="55" t="str">
        <x:f>IF(C757="","",IFERROR(Q757*R757/100,""))</x:f>
      </x:c>
      <x:c r="T757" s="55"/>
      <x:c r="U757" s="55"/>
      <x:c r="V757" s="55" t="str">
        <x:f>IF(U757="","",U757-TODAY())</x:f>
      </x:c>
      <x:c r="W757" s="55" t="str">
        <x:f>IF(AND(U757&lt;&gt;"",U757&lt;TODAY(),O757="Активен"),"ДА","")</x:f>
      </x:c>
      <x:c r="X757" s="55"/>
      <x:c r="Y757" s="55"/>
      <x:c r="Z757" s="55"/>
      <x:c r="AA757" s="55"/>
      <x:c r="AB757" s="55" t="str">
        <x:f>IF(C757="","", "Напиши " &amp; AA757 &amp; " за бизнес: " &amp; C757 &amp; ". Тип: " &amp; D757 &amp; ". Град: " &amp; E757 &amp; ". Проблем: " &amp; L757 &amp; ". Предложение: " &amp; M757 &amp; ". Етап: " &amp; N757 &amp; ". Бележки: " &amp; Y757)</x:f>
      </x:c>
      <x:c r="AC757" s="55"/>
    </x:row>
    <x:row r="758">
      <x:c r="A758" s="55"/>
      <x:c r="B758" s="55"/>
      <x:c r="C758" s="55"/>
      <x:c r="D758" s="55"/>
      <x:c r="E758" s="55"/>
      <x:c r="F758" s="55"/>
      <x:c r="G758" s="55"/>
      <x:c r="H758" s="55"/>
      <x:c r="I758" s="55"/>
      <x:c r="J758" s="55"/>
      <x:c r="K758" s="55"/>
      <x:c r="L758" s="55"/>
      <x:c r="M758" s="55"/>
      <x:c r="N758" s="55"/>
      <x:c r="O758" s="55"/>
      <x:c r="P758" s="55"/>
      <x:c r="Q758" s="55"/>
      <x:c r="R758" s="55"/>
      <x:c r="S758" s="55" t="str">
        <x:f>IF(C758="","",IFERROR(Q758*R758/100,""))</x:f>
      </x:c>
      <x:c r="T758" s="55"/>
      <x:c r="U758" s="55"/>
      <x:c r="V758" s="55" t="str">
        <x:f>IF(U758="","",U758-TODAY())</x:f>
      </x:c>
      <x:c r="W758" s="55" t="str">
        <x:f>IF(AND(U758&lt;&gt;"",U758&lt;TODAY(),O758="Активен"),"ДА","")</x:f>
      </x:c>
      <x:c r="X758" s="55"/>
      <x:c r="Y758" s="55"/>
      <x:c r="Z758" s="55"/>
      <x:c r="AA758" s="55"/>
      <x:c r="AB758" s="55" t="str">
        <x:f>IF(C758="","", "Напиши " &amp; AA758 &amp; " за бизнес: " &amp; C758 &amp; ". Тип: " &amp; D758 &amp; ". Град: " &amp; E758 &amp; ". Проблем: " &amp; L758 &amp; ". Предложение: " &amp; M758 &amp; ". Етап: " &amp; N758 &amp; ". Бележки: " &amp; Y758)</x:f>
      </x:c>
      <x:c r="AC758" s="55"/>
    </x:row>
    <x:row r="759">
      <x:c r="A759" s="55"/>
      <x:c r="B759" s="55"/>
      <x:c r="C759" s="55"/>
      <x:c r="D759" s="55"/>
      <x:c r="E759" s="55"/>
      <x:c r="F759" s="55"/>
      <x:c r="G759" s="55"/>
      <x:c r="H759" s="55"/>
      <x:c r="I759" s="55"/>
      <x:c r="J759" s="55"/>
      <x:c r="K759" s="55"/>
      <x:c r="L759" s="55"/>
      <x:c r="M759" s="55"/>
      <x:c r="N759" s="55"/>
      <x:c r="O759" s="55"/>
      <x:c r="P759" s="55"/>
      <x:c r="Q759" s="55"/>
      <x:c r="R759" s="55"/>
      <x:c r="S759" s="55" t="str">
        <x:f>IF(C759="","",IFERROR(Q759*R759/100,""))</x:f>
      </x:c>
      <x:c r="T759" s="55"/>
      <x:c r="U759" s="55"/>
      <x:c r="V759" s="55" t="str">
        <x:f>IF(U759="","",U759-TODAY())</x:f>
      </x:c>
      <x:c r="W759" s="55" t="str">
        <x:f>IF(AND(U759&lt;&gt;"",U759&lt;TODAY(),O759="Активен"),"ДА","")</x:f>
      </x:c>
      <x:c r="X759" s="55"/>
      <x:c r="Y759" s="55"/>
      <x:c r="Z759" s="55"/>
      <x:c r="AA759" s="55"/>
      <x:c r="AB759" s="55" t="str">
        <x:f>IF(C759="","", "Напиши " &amp; AA759 &amp; " за бизнес: " &amp; C759 &amp; ". Тип: " &amp; D759 &amp; ". Град: " &amp; E759 &amp; ". Проблем: " &amp; L759 &amp; ". Предложение: " &amp; M759 &amp; ". Етап: " &amp; N759 &amp; ". Бележки: " &amp; Y759)</x:f>
      </x:c>
      <x:c r="AC759" s="55"/>
    </x:row>
    <x:row r="760">
      <x:c r="A760" s="55"/>
      <x:c r="B760" s="55"/>
      <x:c r="C760" s="55"/>
      <x:c r="D760" s="55"/>
      <x:c r="E760" s="55"/>
      <x:c r="F760" s="55"/>
      <x:c r="G760" s="55"/>
      <x:c r="H760" s="55"/>
      <x:c r="I760" s="55"/>
      <x:c r="J760" s="55"/>
      <x:c r="K760" s="55"/>
      <x:c r="L760" s="55"/>
      <x:c r="M760" s="55"/>
      <x:c r="N760" s="55"/>
      <x:c r="O760" s="55"/>
      <x:c r="P760" s="55"/>
      <x:c r="Q760" s="55"/>
      <x:c r="R760" s="55"/>
      <x:c r="S760" s="55" t="str">
        <x:f>IF(C760="","",IFERROR(Q760*R760/100,""))</x:f>
      </x:c>
      <x:c r="T760" s="55"/>
      <x:c r="U760" s="55"/>
      <x:c r="V760" s="55" t="str">
        <x:f>IF(U760="","",U760-TODAY())</x:f>
      </x:c>
      <x:c r="W760" s="55" t="str">
        <x:f>IF(AND(U760&lt;&gt;"",U760&lt;TODAY(),O760="Активен"),"ДА","")</x:f>
      </x:c>
      <x:c r="X760" s="55"/>
      <x:c r="Y760" s="55"/>
      <x:c r="Z760" s="55"/>
      <x:c r="AA760" s="55"/>
      <x:c r="AB760" s="55" t="str">
        <x:f>IF(C760="","", "Напиши " &amp; AA760 &amp; " за бизнес: " &amp; C760 &amp; ". Тип: " &amp; D760 &amp; ". Град: " &amp; E760 &amp; ". Проблем: " &amp; L760 &amp; ". Предложение: " &amp; M760 &amp; ". Етап: " &amp; N760 &amp; ". Бележки: " &amp; Y760)</x:f>
      </x:c>
      <x:c r="AC760" s="55"/>
    </x:row>
    <x:row r="761">
      <x:c r="A761" s="55"/>
      <x:c r="B761" s="55"/>
      <x:c r="C761" s="55"/>
      <x:c r="D761" s="55"/>
      <x:c r="E761" s="55"/>
      <x:c r="F761" s="55"/>
      <x:c r="G761" s="55"/>
      <x:c r="H761" s="55"/>
      <x:c r="I761" s="55"/>
      <x:c r="J761" s="55"/>
      <x:c r="K761" s="55"/>
      <x:c r="L761" s="55"/>
      <x:c r="M761" s="55"/>
      <x:c r="N761" s="55"/>
      <x:c r="O761" s="55"/>
      <x:c r="P761" s="55"/>
      <x:c r="Q761" s="55"/>
      <x:c r="R761" s="55"/>
      <x:c r="S761" s="55" t="str">
        <x:f>IF(C761="","",IFERROR(Q761*R761/100,""))</x:f>
      </x:c>
      <x:c r="T761" s="55"/>
      <x:c r="U761" s="55"/>
      <x:c r="V761" s="55" t="str">
        <x:f>IF(U761="","",U761-TODAY())</x:f>
      </x:c>
      <x:c r="W761" s="55" t="str">
        <x:f>IF(AND(U761&lt;&gt;"",U761&lt;TODAY(),O761="Активен"),"ДА","")</x:f>
      </x:c>
      <x:c r="X761" s="55"/>
      <x:c r="Y761" s="55"/>
      <x:c r="Z761" s="55"/>
      <x:c r="AA761" s="55"/>
      <x:c r="AB761" s="55" t="str">
        <x:f>IF(C761="","", "Напиши " &amp; AA761 &amp; " за бизнес: " &amp; C761 &amp; ". Тип: " &amp; D761 &amp; ". Град: " &amp; E761 &amp; ". Проблем: " &amp; L761 &amp; ". Предложение: " &amp; M761 &amp; ". Етап: " &amp; N761 &amp; ". Бележки: " &amp; Y761)</x:f>
      </x:c>
      <x:c r="AC761" s="55"/>
    </x:row>
    <x:row r="762">
      <x:c r="A762" s="55"/>
      <x:c r="B762" s="55"/>
      <x:c r="C762" s="55"/>
      <x:c r="D762" s="55"/>
      <x:c r="E762" s="55"/>
      <x:c r="F762" s="55"/>
      <x:c r="G762" s="55"/>
      <x:c r="H762" s="55"/>
      <x:c r="I762" s="55"/>
      <x:c r="J762" s="55"/>
      <x:c r="K762" s="55"/>
      <x:c r="L762" s="55"/>
      <x:c r="M762" s="55"/>
      <x:c r="N762" s="55"/>
      <x:c r="O762" s="55"/>
      <x:c r="P762" s="55"/>
      <x:c r="Q762" s="55"/>
      <x:c r="R762" s="55"/>
      <x:c r="S762" s="55" t="str">
        <x:f>IF(C762="","",IFERROR(Q762*R762/100,""))</x:f>
      </x:c>
      <x:c r="T762" s="55"/>
      <x:c r="U762" s="55"/>
      <x:c r="V762" s="55" t="str">
        <x:f>IF(U762="","",U762-TODAY())</x:f>
      </x:c>
      <x:c r="W762" s="55" t="str">
        <x:f>IF(AND(U762&lt;&gt;"",U762&lt;TODAY(),O762="Активен"),"ДА","")</x:f>
      </x:c>
      <x:c r="X762" s="55"/>
      <x:c r="Y762" s="55"/>
      <x:c r="Z762" s="55"/>
      <x:c r="AA762" s="55"/>
      <x:c r="AB762" s="55" t="str">
        <x:f>IF(C762="","", "Напиши " &amp; AA762 &amp; " за бизнес: " &amp; C762 &amp; ". Тип: " &amp; D762 &amp; ". Град: " &amp; E762 &amp; ". Проблем: " &amp; L762 &amp; ". Предложение: " &amp; M762 &amp; ". Етап: " &amp; N762 &amp; ". Бележки: " &amp; Y762)</x:f>
      </x:c>
      <x:c r="AC762" s="55"/>
    </x:row>
    <x:row r="763">
      <x:c r="A763" s="55"/>
      <x:c r="B763" s="55"/>
      <x:c r="C763" s="55"/>
      <x:c r="D763" s="55"/>
      <x:c r="E763" s="55"/>
      <x:c r="F763" s="55"/>
      <x:c r="G763" s="55"/>
      <x:c r="H763" s="55"/>
      <x:c r="I763" s="55"/>
      <x:c r="J763" s="55"/>
      <x:c r="K763" s="55"/>
      <x:c r="L763" s="55"/>
      <x:c r="M763" s="55"/>
      <x:c r="N763" s="55"/>
      <x:c r="O763" s="55"/>
      <x:c r="P763" s="55"/>
      <x:c r="Q763" s="55"/>
      <x:c r="R763" s="55"/>
      <x:c r="S763" s="55" t="str">
        <x:f>IF(C763="","",IFERROR(Q763*R763/100,""))</x:f>
      </x:c>
      <x:c r="T763" s="55"/>
      <x:c r="U763" s="55"/>
      <x:c r="V763" s="55" t="str">
        <x:f>IF(U763="","",U763-TODAY())</x:f>
      </x:c>
      <x:c r="W763" s="55" t="str">
        <x:f>IF(AND(U763&lt;&gt;"",U763&lt;TODAY(),O763="Активен"),"ДА","")</x:f>
      </x:c>
      <x:c r="X763" s="55"/>
      <x:c r="Y763" s="55"/>
      <x:c r="Z763" s="55"/>
      <x:c r="AA763" s="55"/>
      <x:c r="AB763" s="55" t="str">
        <x:f>IF(C763="","", "Напиши " &amp; AA763 &amp; " за бизнес: " &amp; C763 &amp; ". Тип: " &amp; D763 &amp; ". Град: " &amp; E763 &amp; ". Проблем: " &amp; L763 &amp; ". Предложение: " &amp; M763 &amp; ". Етап: " &amp; N763 &amp; ". Бележки: " &amp; Y763)</x:f>
      </x:c>
      <x:c r="AC763" s="55"/>
    </x:row>
    <x:row r="764">
      <x:c r="A764" s="55"/>
      <x:c r="B764" s="55"/>
      <x:c r="C764" s="55"/>
      <x:c r="D764" s="55"/>
      <x:c r="E764" s="55"/>
      <x:c r="F764" s="55"/>
      <x:c r="G764" s="55"/>
      <x:c r="H764" s="55"/>
      <x:c r="I764" s="55"/>
      <x:c r="J764" s="55"/>
      <x:c r="K764" s="55"/>
      <x:c r="L764" s="55"/>
      <x:c r="M764" s="55"/>
      <x:c r="N764" s="55"/>
      <x:c r="O764" s="55"/>
      <x:c r="P764" s="55"/>
      <x:c r="Q764" s="55"/>
      <x:c r="R764" s="55"/>
      <x:c r="S764" s="55" t="str">
        <x:f>IF(C764="","",IFERROR(Q764*R764/100,""))</x:f>
      </x:c>
      <x:c r="T764" s="55"/>
      <x:c r="U764" s="55"/>
      <x:c r="V764" s="55" t="str">
        <x:f>IF(U764="","",U764-TODAY())</x:f>
      </x:c>
      <x:c r="W764" s="55" t="str">
        <x:f>IF(AND(U764&lt;&gt;"",U764&lt;TODAY(),O764="Активен"),"ДА","")</x:f>
      </x:c>
      <x:c r="X764" s="55"/>
      <x:c r="Y764" s="55"/>
      <x:c r="Z764" s="55"/>
      <x:c r="AA764" s="55"/>
      <x:c r="AB764" s="55" t="str">
        <x:f>IF(C764="","", "Напиши " &amp; AA764 &amp; " за бизнес: " &amp; C764 &amp; ". Тип: " &amp; D764 &amp; ". Град: " &amp; E764 &amp; ". Проблем: " &amp; L764 &amp; ". Предложение: " &amp; M764 &amp; ". Етап: " &amp; N764 &amp; ". Бележки: " &amp; Y764)</x:f>
      </x:c>
      <x:c r="AC764" s="55"/>
    </x:row>
    <x:row r="765">
      <x:c r="A765" s="55"/>
      <x:c r="B765" s="55"/>
      <x:c r="C765" s="55"/>
      <x:c r="D765" s="55"/>
      <x:c r="E765" s="55"/>
      <x:c r="F765" s="55"/>
      <x:c r="G765" s="55"/>
      <x:c r="H765" s="55"/>
      <x:c r="I765" s="55"/>
      <x:c r="J765" s="55"/>
      <x:c r="K765" s="55"/>
      <x:c r="L765" s="55"/>
      <x:c r="M765" s="55"/>
      <x:c r="N765" s="55"/>
      <x:c r="O765" s="55"/>
      <x:c r="P765" s="55"/>
      <x:c r="Q765" s="55"/>
      <x:c r="R765" s="55"/>
      <x:c r="S765" s="55" t="str">
        <x:f>IF(C765="","",IFERROR(Q765*R765/100,""))</x:f>
      </x:c>
      <x:c r="T765" s="55"/>
      <x:c r="U765" s="55"/>
      <x:c r="V765" s="55" t="str">
        <x:f>IF(U765="","",U765-TODAY())</x:f>
      </x:c>
      <x:c r="W765" s="55" t="str">
        <x:f>IF(AND(U765&lt;&gt;"",U765&lt;TODAY(),O765="Активен"),"ДА","")</x:f>
      </x:c>
      <x:c r="X765" s="55"/>
      <x:c r="Y765" s="55"/>
      <x:c r="Z765" s="55"/>
      <x:c r="AA765" s="55"/>
      <x:c r="AB765" s="55" t="str">
        <x:f>IF(C765="","", "Напиши " &amp; AA765 &amp; " за бизнес: " &amp; C765 &amp; ". Тип: " &amp; D765 &amp; ". Град: " &amp; E765 &amp; ". Проблем: " &amp; L765 &amp; ". Предложение: " &amp; M765 &amp; ". Етап: " &amp; N765 &amp; ". Бележки: " &amp; Y765)</x:f>
      </x:c>
      <x:c r="AC765" s="55"/>
    </x:row>
    <x:row r="766">
      <x:c r="A766" s="55"/>
      <x:c r="B766" s="55"/>
      <x:c r="C766" s="55"/>
      <x:c r="D766" s="55"/>
      <x:c r="E766" s="55"/>
      <x:c r="F766" s="55"/>
      <x:c r="G766" s="55"/>
      <x:c r="H766" s="55"/>
      <x:c r="I766" s="55"/>
      <x:c r="J766" s="55"/>
      <x:c r="K766" s="55"/>
      <x:c r="L766" s="55"/>
      <x:c r="M766" s="55"/>
      <x:c r="N766" s="55"/>
      <x:c r="O766" s="55"/>
      <x:c r="P766" s="55"/>
      <x:c r="Q766" s="55"/>
      <x:c r="R766" s="55"/>
      <x:c r="S766" s="55" t="str">
        <x:f>IF(C766="","",IFERROR(Q766*R766/100,""))</x:f>
      </x:c>
      <x:c r="T766" s="55"/>
      <x:c r="U766" s="55"/>
      <x:c r="V766" s="55" t="str">
        <x:f>IF(U766="","",U766-TODAY())</x:f>
      </x:c>
      <x:c r="W766" s="55" t="str">
        <x:f>IF(AND(U766&lt;&gt;"",U766&lt;TODAY(),O766="Активен"),"ДА","")</x:f>
      </x:c>
      <x:c r="X766" s="55"/>
      <x:c r="Y766" s="55"/>
      <x:c r="Z766" s="55"/>
      <x:c r="AA766" s="55"/>
      <x:c r="AB766" s="55" t="str">
        <x:f>IF(C766="","", "Напиши " &amp; AA766 &amp; " за бизнес: " &amp; C766 &amp; ". Тип: " &amp; D766 &amp; ". Град: " &amp; E766 &amp; ". Проблем: " &amp; L766 &amp; ". Предложение: " &amp; M766 &amp; ". Етап: " &amp; N766 &amp; ". Бележки: " &amp; Y766)</x:f>
      </x:c>
      <x:c r="AC766" s="55"/>
    </x:row>
    <x:row r="767">
      <x:c r="A767" s="55"/>
      <x:c r="B767" s="55"/>
      <x:c r="C767" s="55"/>
      <x:c r="D767" s="55"/>
      <x:c r="E767" s="55"/>
      <x:c r="F767" s="55"/>
      <x:c r="G767" s="55"/>
      <x:c r="H767" s="55"/>
      <x:c r="I767" s="55"/>
      <x:c r="J767" s="55"/>
      <x:c r="K767" s="55"/>
      <x:c r="L767" s="55"/>
      <x:c r="M767" s="55"/>
      <x:c r="N767" s="55"/>
      <x:c r="O767" s="55"/>
      <x:c r="P767" s="55"/>
      <x:c r="Q767" s="55"/>
      <x:c r="R767" s="55"/>
      <x:c r="S767" s="55" t="str">
        <x:f>IF(C767="","",IFERROR(Q767*R767/100,""))</x:f>
      </x:c>
      <x:c r="T767" s="55"/>
      <x:c r="U767" s="55"/>
      <x:c r="V767" s="55" t="str">
        <x:f>IF(U767="","",U767-TODAY())</x:f>
      </x:c>
      <x:c r="W767" s="55" t="str">
        <x:f>IF(AND(U767&lt;&gt;"",U767&lt;TODAY(),O767="Активен"),"ДА","")</x:f>
      </x:c>
      <x:c r="X767" s="55"/>
      <x:c r="Y767" s="55"/>
      <x:c r="Z767" s="55"/>
      <x:c r="AA767" s="55"/>
      <x:c r="AB767" s="55" t="str">
        <x:f>IF(C767="","", "Напиши " &amp; AA767 &amp; " за бизнес: " &amp; C767 &amp; ". Тип: " &amp; D767 &amp; ". Град: " &amp; E767 &amp; ". Проблем: " &amp; L767 &amp; ". Предложение: " &amp; M767 &amp; ". Етап: " &amp; N767 &amp; ". Бележки: " &amp; Y767)</x:f>
      </x:c>
      <x:c r="AC767" s="55"/>
    </x:row>
    <x:row r="768">
      <x:c r="A768" s="55"/>
      <x:c r="B768" s="55"/>
      <x:c r="C768" s="55"/>
      <x:c r="D768" s="55"/>
      <x:c r="E768" s="55"/>
      <x:c r="F768" s="55"/>
      <x:c r="G768" s="55"/>
      <x:c r="H768" s="55"/>
      <x:c r="I768" s="55"/>
      <x:c r="J768" s="55"/>
      <x:c r="K768" s="55"/>
      <x:c r="L768" s="55"/>
      <x:c r="M768" s="55"/>
      <x:c r="N768" s="55"/>
      <x:c r="O768" s="55"/>
      <x:c r="P768" s="55"/>
      <x:c r="Q768" s="55"/>
      <x:c r="R768" s="55"/>
      <x:c r="S768" s="55" t="str">
        <x:f>IF(C768="","",IFERROR(Q768*R768/100,""))</x:f>
      </x:c>
      <x:c r="T768" s="55"/>
      <x:c r="U768" s="55"/>
      <x:c r="V768" s="55" t="str">
        <x:f>IF(U768="","",U768-TODAY())</x:f>
      </x:c>
      <x:c r="W768" s="55" t="str">
        <x:f>IF(AND(U768&lt;&gt;"",U768&lt;TODAY(),O768="Активен"),"ДА","")</x:f>
      </x:c>
      <x:c r="X768" s="55"/>
      <x:c r="Y768" s="55"/>
      <x:c r="Z768" s="55"/>
      <x:c r="AA768" s="55"/>
      <x:c r="AB768" s="55" t="str">
        <x:f>IF(C768="","", "Напиши " &amp; AA768 &amp; " за бизнес: " &amp; C768 &amp; ". Тип: " &amp; D768 &amp; ". Град: " &amp; E768 &amp; ". Проблем: " &amp; L768 &amp; ". Предложение: " &amp; M768 &amp; ". Етап: " &amp; N768 &amp; ". Бележки: " &amp; Y768)</x:f>
      </x:c>
      <x:c r="AC768" s="55"/>
    </x:row>
    <x:row r="769">
      <x:c r="A769" s="55"/>
      <x:c r="B769" s="55"/>
      <x:c r="C769" s="55"/>
      <x:c r="D769" s="55"/>
      <x:c r="E769" s="55"/>
      <x:c r="F769" s="55"/>
      <x:c r="G769" s="55"/>
      <x:c r="H769" s="55"/>
      <x:c r="I769" s="55"/>
      <x:c r="J769" s="55"/>
      <x:c r="K769" s="55"/>
      <x:c r="L769" s="55"/>
      <x:c r="M769" s="55"/>
      <x:c r="N769" s="55"/>
      <x:c r="O769" s="55"/>
      <x:c r="P769" s="55"/>
      <x:c r="Q769" s="55"/>
      <x:c r="R769" s="55"/>
      <x:c r="S769" s="55" t="str">
        <x:f>IF(C769="","",IFERROR(Q769*R769/100,""))</x:f>
      </x:c>
      <x:c r="T769" s="55"/>
      <x:c r="U769" s="55"/>
      <x:c r="V769" s="55" t="str">
        <x:f>IF(U769="","",U769-TODAY())</x:f>
      </x:c>
      <x:c r="W769" s="55" t="str">
        <x:f>IF(AND(U769&lt;&gt;"",U769&lt;TODAY(),O769="Активен"),"ДА","")</x:f>
      </x:c>
      <x:c r="X769" s="55"/>
      <x:c r="Y769" s="55"/>
      <x:c r="Z769" s="55"/>
      <x:c r="AA769" s="55"/>
      <x:c r="AB769" s="55" t="str">
        <x:f>IF(C769="","", "Напиши " &amp; AA769 &amp; " за бизнес: " &amp; C769 &amp; ". Тип: " &amp; D769 &amp; ". Град: " &amp; E769 &amp; ". Проблем: " &amp; L769 &amp; ". Предложение: " &amp; M769 &amp; ". Етап: " &amp; N769 &amp; ". Бележки: " &amp; Y769)</x:f>
      </x:c>
      <x:c r="AC769" s="55"/>
    </x:row>
    <x:row r="770">
      <x:c r="A770" s="55"/>
      <x:c r="B770" s="55"/>
      <x:c r="C770" s="55"/>
      <x:c r="D770" s="55"/>
      <x:c r="E770" s="55"/>
      <x:c r="F770" s="55"/>
      <x:c r="G770" s="55"/>
      <x:c r="H770" s="55"/>
      <x:c r="I770" s="55"/>
      <x:c r="J770" s="55"/>
      <x:c r="K770" s="55"/>
      <x:c r="L770" s="55"/>
      <x:c r="M770" s="55"/>
      <x:c r="N770" s="55"/>
      <x:c r="O770" s="55"/>
      <x:c r="P770" s="55"/>
      <x:c r="Q770" s="55"/>
      <x:c r="R770" s="55"/>
      <x:c r="S770" s="55" t="str">
        <x:f>IF(C770="","",IFERROR(Q770*R770/100,""))</x:f>
      </x:c>
      <x:c r="T770" s="55"/>
      <x:c r="U770" s="55"/>
      <x:c r="V770" s="55" t="str">
        <x:f>IF(U770="","",U770-TODAY())</x:f>
      </x:c>
      <x:c r="W770" s="55" t="str">
        <x:f>IF(AND(U770&lt;&gt;"",U770&lt;TODAY(),O770="Активен"),"ДА","")</x:f>
      </x:c>
      <x:c r="X770" s="55"/>
      <x:c r="Y770" s="55"/>
      <x:c r="Z770" s="55"/>
      <x:c r="AA770" s="55"/>
      <x:c r="AB770" s="55" t="str">
        <x:f>IF(C770="","", "Напиши " &amp; AA770 &amp; " за бизнес: " &amp; C770 &amp; ". Тип: " &amp; D770 &amp; ". Град: " &amp; E770 &amp; ". Проблем: " &amp; L770 &amp; ". Предложение: " &amp; M770 &amp; ". Етап: " &amp; N770 &amp; ". Бележки: " &amp; Y770)</x:f>
      </x:c>
      <x:c r="AC770" s="55"/>
    </x:row>
    <x:row r="771">
      <x:c r="A771" s="55"/>
      <x:c r="B771" s="55"/>
      <x:c r="C771" s="55"/>
      <x:c r="D771" s="55"/>
      <x:c r="E771" s="55"/>
      <x:c r="F771" s="55"/>
      <x:c r="G771" s="55"/>
      <x:c r="H771" s="55"/>
      <x:c r="I771" s="55"/>
      <x:c r="J771" s="55"/>
      <x:c r="K771" s="55"/>
      <x:c r="L771" s="55"/>
      <x:c r="M771" s="55"/>
      <x:c r="N771" s="55"/>
      <x:c r="O771" s="55"/>
      <x:c r="P771" s="55"/>
      <x:c r="Q771" s="55"/>
      <x:c r="R771" s="55"/>
      <x:c r="S771" s="55" t="str">
        <x:f>IF(C771="","",IFERROR(Q771*R771/100,""))</x:f>
      </x:c>
      <x:c r="T771" s="55"/>
      <x:c r="U771" s="55"/>
      <x:c r="V771" s="55" t="str">
        <x:f>IF(U771="","",U771-TODAY())</x:f>
      </x:c>
      <x:c r="W771" s="55" t="str">
        <x:f>IF(AND(U771&lt;&gt;"",U771&lt;TODAY(),O771="Активен"),"ДА","")</x:f>
      </x:c>
      <x:c r="X771" s="55"/>
      <x:c r="Y771" s="55"/>
      <x:c r="Z771" s="55"/>
      <x:c r="AA771" s="55"/>
      <x:c r="AB771" s="55" t="str">
        <x:f>IF(C771="","", "Напиши " &amp; AA771 &amp; " за бизнес: " &amp; C771 &amp; ". Тип: " &amp; D771 &amp; ". Град: " &amp; E771 &amp; ". Проблем: " &amp; L771 &amp; ". Предложение: " &amp; M771 &amp; ". Етап: " &amp; N771 &amp; ". Бележки: " &amp; Y771)</x:f>
      </x:c>
      <x:c r="AC771" s="55"/>
    </x:row>
    <x:row r="772">
      <x:c r="A772" s="55"/>
      <x:c r="B772" s="55"/>
      <x:c r="C772" s="55"/>
      <x:c r="D772" s="55"/>
      <x:c r="E772" s="55"/>
      <x:c r="F772" s="55"/>
      <x:c r="G772" s="55"/>
      <x:c r="H772" s="55"/>
      <x:c r="I772" s="55"/>
      <x:c r="J772" s="55"/>
      <x:c r="K772" s="55"/>
      <x:c r="L772" s="55"/>
      <x:c r="M772" s="55"/>
      <x:c r="N772" s="55"/>
      <x:c r="O772" s="55"/>
      <x:c r="P772" s="55"/>
      <x:c r="Q772" s="55"/>
      <x:c r="R772" s="55"/>
      <x:c r="S772" s="55" t="str">
        <x:f>IF(C772="","",IFERROR(Q772*R772/100,""))</x:f>
      </x:c>
      <x:c r="T772" s="55"/>
      <x:c r="U772" s="55"/>
      <x:c r="V772" s="55" t="str">
        <x:f>IF(U772="","",U772-TODAY())</x:f>
      </x:c>
      <x:c r="W772" s="55" t="str">
        <x:f>IF(AND(U772&lt;&gt;"",U772&lt;TODAY(),O772="Активен"),"ДА","")</x:f>
      </x:c>
      <x:c r="X772" s="55"/>
      <x:c r="Y772" s="55"/>
      <x:c r="Z772" s="55"/>
      <x:c r="AA772" s="55"/>
      <x:c r="AB772" s="55" t="str">
        <x:f>IF(C772="","", "Напиши " &amp; AA772 &amp; " за бизнес: " &amp; C772 &amp; ". Тип: " &amp; D772 &amp; ". Град: " &amp; E772 &amp; ". Проблем: " &amp; L772 &amp; ". Предложение: " &amp; M772 &amp; ". Етап: " &amp; N772 &amp; ". Бележки: " &amp; Y772)</x:f>
      </x:c>
      <x:c r="AC772" s="55"/>
    </x:row>
    <x:row r="773">
      <x:c r="A773" s="55"/>
      <x:c r="B773" s="55"/>
      <x:c r="C773" s="55"/>
      <x:c r="D773" s="55"/>
      <x:c r="E773" s="55"/>
      <x:c r="F773" s="55"/>
      <x:c r="G773" s="55"/>
      <x:c r="H773" s="55"/>
      <x:c r="I773" s="55"/>
      <x:c r="J773" s="55"/>
      <x:c r="K773" s="55"/>
      <x:c r="L773" s="55"/>
      <x:c r="M773" s="55"/>
      <x:c r="N773" s="55"/>
      <x:c r="O773" s="55"/>
      <x:c r="P773" s="55"/>
      <x:c r="Q773" s="55"/>
      <x:c r="R773" s="55"/>
      <x:c r="S773" s="55" t="str">
        <x:f>IF(C773="","",IFERROR(Q773*R773/100,""))</x:f>
      </x:c>
      <x:c r="T773" s="55"/>
      <x:c r="U773" s="55"/>
      <x:c r="V773" s="55" t="str">
        <x:f>IF(U773="","",U773-TODAY())</x:f>
      </x:c>
      <x:c r="W773" s="55" t="str">
        <x:f>IF(AND(U773&lt;&gt;"",U773&lt;TODAY(),O773="Активен"),"ДА","")</x:f>
      </x:c>
      <x:c r="X773" s="55"/>
      <x:c r="Y773" s="55"/>
      <x:c r="Z773" s="55"/>
      <x:c r="AA773" s="55"/>
      <x:c r="AB773" s="55" t="str">
        <x:f>IF(C773="","", "Напиши " &amp; AA773 &amp; " за бизнес: " &amp; C773 &amp; ". Тип: " &amp; D773 &amp; ". Град: " &amp; E773 &amp; ". Проблем: " &amp; L773 &amp; ". Предложение: " &amp; M773 &amp; ". Етап: " &amp; N773 &amp; ". Бележки: " &amp; Y773)</x:f>
      </x:c>
      <x:c r="AC773" s="55"/>
    </x:row>
    <x:row r="774">
      <x:c r="A774" s="55"/>
      <x:c r="B774" s="55"/>
      <x:c r="C774" s="55"/>
      <x:c r="D774" s="55"/>
      <x:c r="E774" s="55"/>
      <x:c r="F774" s="55"/>
      <x:c r="G774" s="55"/>
      <x:c r="H774" s="55"/>
      <x:c r="I774" s="55"/>
      <x:c r="J774" s="55"/>
      <x:c r="K774" s="55"/>
      <x:c r="L774" s="55"/>
      <x:c r="M774" s="55"/>
      <x:c r="N774" s="55"/>
      <x:c r="O774" s="55"/>
      <x:c r="P774" s="55"/>
      <x:c r="Q774" s="55"/>
      <x:c r="R774" s="55"/>
      <x:c r="S774" s="55" t="str">
        <x:f>IF(C774="","",IFERROR(Q774*R774/100,""))</x:f>
      </x:c>
      <x:c r="T774" s="55"/>
      <x:c r="U774" s="55"/>
      <x:c r="V774" s="55" t="str">
        <x:f>IF(U774="","",U774-TODAY())</x:f>
      </x:c>
      <x:c r="W774" s="55" t="str">
        <x:f>IF(AND(U774&lt;&gt;"",U774&lt;TODAY(),O774="Активен"),"ДА","")</x:f>
      </x:c>
      <x:c r="X774" s="55"/>
      <x:c r="Y774" s="55"/>
      <x:c r="Z774" s="55"/>
      <x:c r="AA774" s="55"/>
      <x:c r="AB774" s="55" t="str">
        <x:f>IF(C774="","", "Напиши " &amp; AA774 &amp; " за бизнес: " &amp; C774 &amp; ". Тип: " &amp; D774 &amp; ". Град: " &amp; E774 &amp; ". Проблем: " &amp; L774 &amp; ". Предложение: " &amp; M774 &amp; ". Етап: " &amp; N774 &amp; ". Бележки: " &amp; Y774)</x:f>
      </x:c>
      <x:c r="AC774" s="55"/>
    </x:row>
    <x:row r="775">
      <x:c r="A775" s="55"/>
      <x:c r="B775" s="55"/>
      <x:c r="C775" s="55"/>
      <x:c r="D775" s="55"/>
      <x:c r="E775" s="55"/>
      <x:c r="F775" s="55"/>
      <x:c r="G775" s="55"/>
      <x:c r="H775" s="55"/>
      <x:c r="I775" s="55"/>
      <x:c r="J775" s="55"/>
      <x:c r="K775" s="55"/>
      <x:c r="L775" s="55"/>
      <x:c r="M775" s="55"/>
      <x:c r="N775" s="55"/>
      <x:c r="O775" s="55"/>
      <x:c r="P775" s="55"/>
      <x:c r="Q775" s="55"/>
      <x:c r="R775" s="55"/>
      <x:c r="S775" s="55" t="str">
        <x:f>IF(C775="","",IFERROR(Q775*R775/100,""))</x:f>
      </x:c>
      <x:c r="T775" s="55"/>
      <x:c r="U775" s="55"/>
      <x:c r="V775" s="55" t="str">
        <x:f>IF(U775="","",U775-TODAY())</x:f>
      </x:c>
      <x:c r="W775" s="55" t="str">
        <x:f>IF(AND(U775&lt;&gt;"",U775&lt;TODAY(),O775="Активен"),"ДА","")</x:f>
      </x:c>
      <x:c r="X775" s="55"/>
      <x:c r="Y775" s="55"/>
      <x:c r="Z775" s="55"/>
      <x:c r="AA775" s="55"/>
      <x:c r="AB775" s="55" t="str">
        <x:f>IF(C775="","", "Напиши " &amp; AA775 &amp; " за бизнес: " &amp; C775 &amp; ". Тип: " &amp; D775 &amp; ". Град: " &amp; E775 &amp; ". Проблем: " &amp; L775 &amp; ". Предложение: " &amp; M775 &amp; ". Етап: " &amp; N775 &amp; ". Бележки: " &amp; Y775)</x:f>
      </x:c>
      <x:c r="AC775" s="55"/>
    </x:row>
    <x:row r="776">
      <x:c r="A776" s="55"/>
      <x:c r="B776" s="55"/>
      <x:c r="C776" s="55"/>
      <x:c r="D776" s="55"/>
      <x:c r="E776" s="55"/>
      <x:c r="F776" s="55"/>
      <x:c r="G776" s="55"/>
      <x:c r="H776" s="55"/>
      <x:c r="I776" s="55"/>
      <x:c r="J776" s="55"/>
      <x:c r="K776" s="55"/>
      <x:c r="L776" s="55"/>
      <x:c r="M776" s="55"/>
      <x:c r="N776" s="55"/>
      <x:c r="O776" s="55"/>
      <x:c r="P776" s="55"/>
      <x:c r="Q776" s="55"/>
      <x:c r="R776" s="55"/>
      <x:c r="S776" s="55" t="str">
        <x:f>IF(C776="","",IFERROR(Q776*R776/100,""))</x:f>
      </x:c>
      <x:c r="T776" s="55"/>
      <x:c r="U776" s="55"/>
      <x:c r="V776" s="55" t="str">
        <x:f>IF(U776="","",U776-TODAY())</x:f>
      </x:c>
      <x:c r="W776" s="55" t="str">
        <x:f>IF(AND(U776&lt;&gt;"",U776&lt;TODAY(),O776="Активен"),"ДА","")</x:f>
      </x:c>
      <x:c r="X776" s="55"/>
      <x:c r="Y776" s="55"/>
      <x:c r="Z776" s="55"/>
      <x:c r="AA776" s="55"/>
      <x:c r="AB776" s="55" t="str">
        <x:f>IF(C776="","", "Напиши " &amp; AA776 &amp; " за бизнес: " &amp; C776 &amp; ". Тип: " &amp; D776 &amp; ". Град: " &amp; E776 &amp; ". Проблем: " &amp; L776 &amp; ". Предложение: " &amp; M776 &amp; ". Етап: " &amp; N776 &amp; ". Бележки: " &amp; Y776)</x:f>
      </x:c>
      <x:c r="AC776" s="55"/>
    </x:row>
    <x:row r="777">
      <x:c r="A777" s="55"/>
      <x:c r="B777" s="55"/>
      <x:c r="C777" s="55"/>
      <x:c r="D777" s="55"/>
      <x:c r="E777" s="55"/>
      <x:c r="F777" s="55"/>
      <x:c r="G777" s="55"/>
      <x:c r="H777" s="55"/>
      <x:c r="I777" s="55"/>
      <x:c r="J777" s="55"/>
      <x:c r="K777" s="55"/>
      <x:c r="L777" s="55"/>
      <x:c r="M777" s="55"/>
      <x:c r="N777" s="55"/>
      <x:c r="O777" s="55"/>
      <x:c r="P777" s="55"/>
      <x:c r="Q777" s="55"/>
      <x:c r="R777" s="55"/>
      <x:c r="S777" s="55" t="str">
        <x:f>IF(C777="","",IFERROR(Q777*R777/100,""))</x:f>
      </x:c>
      <x:c r="T777" s="55"/>
      <x:c r="U777" s="55"/>
      <x:c r="V777" s="55" t="str">
        <x:f>IF(U777="","",U777-TODAY())</x:f>
      </x:c>
      <x:c r="W777" s="55" t="str">
        <x:f>IF(AND(U777&lt;&gt;"",U777&lt;TODAY(),O777="Активен"),"ДА","")</x:f>
      </x:c>
      <x:c r="X777" s="55"/>
      <x:c r="Y777" s="55"/>
      <x:c r="Z777" s="55"/>
      <x:c r="AA777" s="55"/>
      <x:c r="AB777" s="55" t="str">
        <x:f>IF(C777="","", "Напиши " &amp; AA777 &amp; " за бизнес: " &amp; C777 &amp; ". Тип: " &amp; D777 &amp; ". Град: " &amp; E777 &amp; ". Проблем: " &amp; L777 &amp; ". Предложение: " &amp; M777 &amp; ". Етап: " &amp; N777 &amp; ". Бележки: " &amp; Y777)</x:f>
      </x:c>
      <x:c r="AC777" s="55"/>
    </x:row>
    <x:row r="778">
      <x:c r="A778" s="55"/>
      <x:c r="B778" s="55"/>
      <x:c r="C778" s="55"/>
      <x:c r="D778" s="55"/>
      <x:c r="E778" s="55"/>
      <x:c r="F778" s="55"/>
      <x:c r="G778" s="55"/>
      <x:c r="H778" s="55"/>
      <x:c r="I778" s="55"/>
      <x:c r="J778" s="55"/>
      <x:c r="K778" s="55"/>
      <x:c r="L778" s="55"/>
      <x:c r="M778" s="55"/>
      <x:c r="N778" s="55"/>
      <x:c r="O778" s="55"/>
      <x:c r="P778" s="55"/>
      <x:c r="Q778" s="55"/>
      <x:c r="R778" s="55"/>
      <x:c r="S778" s="55" t="str">
        <x:f>IF(C778="","",IFERROR(Q778*R778/100,""))</x:f>
      </x:c>
      <x:c r="T778" s="55"/>
      <x:c r="U778" s="55"/>
      <x:c r="V778" s="55" t="str">
        <x:f>IF(U778="","",U778-TODAY())</x:f>
      </x:c>
      <x:c r="W778" s="55" t="str">
        <x:f>IF(AND(U778&lt;&gt;"",U778&lt;TODAY(),O778="Активен"),"ДА","")</x:f>
      </x:c>
      <x:c r="X778" s="55"/>
      <x:c r="Y778" s="55"/>
      <x:c r="Z778" s="55"/>
      <x:c r="AA778" s="55"/>
      <x:c r="AB778" s="55" t="str">
        <x:f>IF(C778="","", "Напиши " &amp; AA778 &amp; " за бизнес: " &amp; C778 &amp; ". Тип: " &amp; D778 &amp; ". Град: " &amp; E778 &amp; ". Проблем: " &amp; L778 &amp; ". Предложение: " &amp; M778 &amp; ". Етап: " &amp; N778 &amp; ". Бележки: " &amp; Y778)</x:f>
      </x:c>
      <x:c r="AC778" s="55"/>
    </x:row>
    <x:row r="779">
      <x:c r="A779" s="55"/>
      <x:c r="B779" s="55"/>
      <x:c r="C779" s="55"/>
      <x:c r="D779" s="55"/>
      <x:c r="E779" s="55"/>
      <x:c r="F779" s="55"/>
      <x:c r="G779" s="55"/>
      <x:c r="H779" s="55"/>
      <x:c r="I779" s="55"/>
      <x:c r="J779" s="55"/>
      <x:c r="K779" s="55"/>
      <x:c r="L779" s="55"/>
      <x:c r="M779" s="55"/>
      <x:c r="N779" s="55"/>
      <x:c r="O779" s="55"/>
      <x:c r="P779" s="55"/>
      <x:c r="Q779" s="55"/>
      <x:c r="R779" s="55"/>
      <x:c r="S779" s="55" t="str">
        <x:f>IF(C779="","",IFERROR(Q779*R779/100,""))</x:f>
      </x:c>
      <x:c r="T779" s="55"/>
      <x:c r="U779" s="55"/>
      <x:c r="V779" s="55" t="str">
        <x:f>IF(U779="","",U779-TODAY())</x:f>
      </x:c>
      <x:c r="W779" s="55" t="str">
        <x:f>IF(AND(U779&lt;&gt;"",U779&lt;TODAY(),O779="Активен"),"ДА","")</x:f>
      </x:c>
      <x:c r="X779" s="55"/>
      <x:c r="Y779" s="55"/>
      <x:c r="Z779" s="55"/>
      <x:c r="AA779" s="55"/>
      <x:c r="AB779" s="55" t="str">
        <x:f>IF(C779="","", "Напиши " &amp; AA779 &amp; " за бизнес: " &amp; C779 &amp; ". Тип: " &amp; D779 &amp; ". Град: " &amp; E779 &amp; ". Проблем: " &amp; L779 &amp; ". Предложение: " &amp; M779 &amp; ". Етап: " &amp; N779 &amp; ". Бележки: " &amp; Y779)</x:f>
      </x:c>
      <x:c r="AC779" s="55"/>
    </x:row>
    <x:row r="780">
      <x:c r="A780" s="55"/>
      <x:c r="B780" s="55"/>
      <x:c r="C780" s="55"/>
      <x:c r="D780" s="55"/>
      <x:c r="E780" s="55"/>
      <x:c r="F780" s="55"/>
      <x:c r="G780" s="55"/>
      <x:c r="H780" s="55"/>
      <x:c r="I780" s="55"/>
      <x:c r="J780" s="55"/>
      <x:c r="K780" s="55"/>
      <x:c r="L780" s="55"/>
      <x:c r="M780" s="55"/>
      <x:c r="N780" s="55"/>
      <x:c r="O780" s="55"/>
      <x:c r="P780" s="55"/>
      <x:c r="Q780" s="55"/>
      <x:c r="R780" s="55"/>
      <x:c r="S780" s="55" t="str">
        <x:f>IF(C780="","",IFERROR(Q780*R780/100,""))</x:f>
      </x:c>
      <x:c r="T780" s="55"/>
      <x:c r="U780" s="55"/>
      <x:c r="V780" s="55" t="str">
        <x:f>IF(U780="","",U780-TODAY())</x:f>
      </x:c>
      <x:c r="W780" s="55" t="str">
        <x:f>IF(AND(U780&lt;&gt;"",U780&lt;TODAY(),O780="Активен"),"ДА","")</x:f>
      </x:c>
      <x:c r="X780" s="55"/>
      <x:c r="Y780" s="55"/>
      <x:c r="Z780" s="55"/>
      <x:c r="AA780" s="55"/>
      <x:c r="AB780" s="55" t="str">
        <x:f>IF(C780="","", "Напиши " &amp; AA780 &amp; " за бизнес: " &amp; C780 &amp; ". Тип: " &amp; D780 &amp; ". Град: " &amp; E780 &amp; ". Проблем: " &amp; L780 &amp; ". Предложение: " &amp; M780 &amp; ". Етап: " &amp; N780 &amp; ". Бележки: " &amp; Y780)</x:f>
      </x:c>
      <x:c r="AC780" s="55"/>
    </x:row>
    <x:row r="781">
      <x:c r="A781" s="55"/>
      <x:c r="B781" s="55"/>
      <x:c r="C781" s="55"/>
      <x:c r="D781" s="55"/>
      <x:c r="E781" s="55"/>
      <x:c r="F781" s="55"/>
      <x:c r="G781" s="55"/>
      <x:c r="H781" s="55"/>
      <x:c r="I781" s="55"/>
      <x:c r="J781" s="55"/>
      <x:c r="K781" s="55"/>
      <x:c r="L781" s="55"/>
      <x:c r="M781" s="55"/>
      <x:c r="N781" s="55"/>
      <x:c r="O781" s="55"/>
      <x:c r="P781" s="55"/>
      <x:c r="Q781" s="55"/>
      <x:c r="R781" s="55"/>
      <x:c r="S781" s="55" t="str">
        <x:f>IF(C781="","",IFERROR(Q781*R781/100,""))</x:f>
      </x:c>
      <x:c r="T781" s="55"/>
      <x:c r="U781" s="55"/>
      <x:c r="V781" s="55" t="str">
        <x:f>IF(U781="","",U781-TODAY())</x:f>
      </x:c>
      <x:c r="W781" s="55" t="str">
        <x:f>IF(AND(U781&lt;&gt;"",U781&lt;TODAY(),O781="Активен"),"ДА","")</x:f>
      </x:c>
      <x:c r="X781" s="55"/>
      <x:c r="Y781" s="55"/>
      <x:c r="Z781" s="55"/>
      <x:c r="AA781" s="55"/>
      <x:c r="AB781" s="55" t="str">
        <x:f>IF(C781="","", "Напиши " &amp; AA781 &amp; " за бизнес: " &amp; C781 &amp; ". Тип: " &amp; D781 &amp; ". Град: " &amp; E781 &amp; ". Проблем: " &amp; L781 &amp; ". Предложение: " &amp; M781 &amp; ". Етап: " &amp; N781 &amp; ". Бележки: " &amp; Y781)</x:f>
      </x:c>
      <x:c r="AC781" s="55"/>
    </x:row>
    <x:row r="782">
      <x:c r="A782" s="55"/>
      <x:c r="B782" s="55"/>
      <x:c r="C782" s="55"/>
      <x:c r="D782" s="55"/>
      <x:c r="E782" s="55"/>
      <x:c r="F782" s="55"/>
      <x:c r="G782" s="55"/>
      <x:c r="H782" s="55"/>
      <x:c r="I782" s="55"/>
      <x:c r="J782" s="55"/>
      <x:c r="K782" s="55"/>
      <x:c r="L782" s="55"/>
      <x:c r="M782" s="55"/>
      <x:c r="N782" s="55"/>
      <x:c r="O782" s="55"/>
      <x:c r="P782" s="55"/>
      <x:c r="Q782" s="55"/>
      <x:c r="R782" s="55"/>
      <x:c r="S782" s="55" t="str">
        <x:f>IF(C782="","",IFERROR(Q782*R782/100,""))</x:f>
      </x:c>
      <x:c r="T782" s="55"/>
      <x:c r="U782" s="55"/>
      <x:c r="V782" s="55" t="str">
        <x:f>IF(U782="","",U782-TODAY())</x:f>
      </x:c>
      <x:c r="W782" s="55" t="str">
        <x:f>IF(AND(U782&lt;&gt;"",U782&lt;TODAY(),O782="Активен"),"ДА","")</x:f>
      </x:c>
      <x:c r="X782" s="55"/>
      <x:c r="Y782" s="55"/>
      <x:c r="Z782" s="55"/>
      <x:c r="AA782" s="55"/>
      <x:c r="AB782" s="55" t="str">
        <x:f>IF(C782="","", "Напиши " &amp; AA782 &amp; " за бизнес: " &amp; C782 &amp; ". Тип: " &amp; D782 &amp; ". Град: " &amp; E782 &amp; ". Проблем: " &amp; L782 &amp; ". Предложение: " &amp; M782 &amp; ". Етап: " &amp; N782 &amp; ". Бележки: " &amp; Y782)</x:f>
      </x:c>
      <x:c r="AC782" s="55"/>
    </x:row>
    <x:row r="783">
      <x:c r="A783" s="55"/>
      <x:c r="B783" s="55"/>
      <x:c r="C783" s="55"/>
      <x:c r="D783" s="55"/>
      <x:c r="E783" s="55"/>
      <x:c r="F783" s="55"/>
      <x:c r="G783" s="55"/>
      <x:c r="H783" s="55"/>
      <x:c r="I783" s="55"/>
      <x:c r="J783" s="55"/>
      <x:c r="K783" s="55"/>
      <x:c r="L783" s="55"/>
      <x:c r="M783" s="55"/>
      <x:c r="N783" s="55"/>
      <x:c r="O783" s="55"/>
      <x:c r="P783" s="55"/>
      <x:c r="Q783" s="55"/>
      <x:c r="R783" s="55"/>
      <x:c r="S783" s="55" t="str">
        <x:f>IF(C783="","",IFERROR(Q783*R783/100,""))</x:f>
      </x:c>
      <x:c r="T783" s="55"/>
      <x:c r="U783" s="55"/>
      <x:c r="V783" s="55" t="str">
        <x:f>IF(U783="","",U783-TODAY())</x:f>
      </x:c>
      <x:c r="W783" s="55" t="str">
        <x:f>IF(AND(U783&lt;&gt;"",U783&lt;TODAY(),O783="Активен"),"ДА","")</x:f>
      </x:c>
      <x:c r="X783" s="55"/>
      <x:c r="Y783" s="55"/>
      <x:c r="Z783" s="55"/>
      <x:c r="AA783" s="55"/>
      <x:c r="AB783" s="55" t="str">
        <x:f>IF(C783="","", "Напиши " &amp; AA783 &amp; " за бизнес: " &amp; C783 &amp; ". Тип: " &amp; D783 &amp; ". Град: " &amp; E783 &amp; ". Проблем: " &amp; L783 &amp; ". Предложение: " &amp; M783 &amp; ". Етап: " &amp; N783 &amp; ". Бележки: " &amp; Y783)</x:f>
      </x:c>
      <x:c r="AC783" s="55"/>
    </x:row>
    <x:row r="784">
      <x:c r="A784" s="55"/>
      <x:c r="B784" s="55"/>
      <x:c r="C784" s="55"/>
      <x:c r="D784" s="55"/>
      <x:c r="E784" s="55"/>
      <x:c r="F784" s="55"/>
      <x:c r="G784" s="55"/>
      <x:c r="H784" s="55"/>
      <x:c r="I784" s="55"/>
      <x:c r="J784" s="55"/>
      <x:c r="K784" s="55"/>
      <x:c r="L784" s="55"/>
      <x:c r="M784" s="55"/>
      <x:c r="N784" s="55"/>
      <x:c r="O784" s="55"/>
      <x:c r="P784" s="55"/>
      <x:c r="Q784" s="55"/>
      <x:c r="R784" s="55"/>
      <x:c r="S784" s="55" t="str">
        <x:f>IF(C784="","",IFERROR(Q784*R784/100,""))</x:f>
      </x:c>
      <x:c r="T784" s="55"/>
      <x:c r="U784" s="55"/>
      <x:c r="V784" s="55" t="str">
        <x:f>IF(U784="","",U784-TODAY())</x:f>
      </x:c>
      <x:c r="W784" s="55" t="str">
        <x:f>IF(AND(U784&lt;&gt;"",U784&lt;TODAY(),O784="Активен"),"ДА","")</x:f>
      </x:c>
      <x:c r="X784" s="55"/>
      <x:c r="Y784" s="55"/>
      <x:c r="Z784" s="55"/>
      <x:c r="AA784" s="55"/>
      <x:c r="AB784" s="55" t="str">
        <x:f>IF(C784="","", "Напиши " &amp; AA784 &amp; " за бизнес: " &amp; C784 &amp; ". Тип: " &amp; D784 &amp; ". Град: " &amp; E784 &amp; ". Проблем: " &amp; L784 &amp; ". Предложение: " &amp; M784 &amp; ". Етап: " &amp; N784 &amp; ". Бележки: " &amp; Y784)</x:f>
      </x:c>
      <x:c r="AC784" s="55"/>
    </x:row>
    <x:row r="785">
      <x:c r="A785" s="55"/>
      <x:c r="B785" s="55"/>
      <x:c r="C785" s="55"/>
      <x:c r="D785" s="55"/>
      <x:c r="E785" s="55"/>
      <x:c r="F785" s="55"/>
      <x:c r="G785" s="55"/>
      <x:c r="H785" s="55"/>
      <x:c r="I785" s="55"/>
      <x:c r="J785" s="55"/>
      <x:c r="K785" s="55"/>
      <x:c r="L785" s="55"/>
      <x:c r="M785" s="55"/>
      <x:c r="N785" s="55"/>
      <x:c r="O785" s="55"/>
      <x:c r="P785" s="55"/>
      <x:c r="Q785" s="55"/>
      <x:c r="R785" s="55"/>
      <x:c r="S785" s="55" t="str">
        <x:f>IF(C785="","",IFERROR(Q785*R785/100,""))</x:f>
      </x:c>
      <x:c r="T785" s="55"/>
      <x:c r="U785" s="55"/>
      <x:c r="V785" s="55" t="str">
        <x:f>IF(U785="","",U785-TODAY())</x:f>
      </x:c>
      <x:c r="W785" s="55" t="str">
        <x:f>IF(AND(U785&lt;&gt;"",U785&lt;TODAY(),O785="Активен"),"ДА","")</x:f>
      </x:c>
      <x:c r="X785" s="55"/>
      <x:c r="Y785" s="55"/>
      <x:c r="Z785" s="55"/>
      <x:c r="AA785" s="55"/>
      <x:c r="AB785" s="55" t="str">
        <x:f>IF(C785="","", "Напиши " &amp; AA785 &amp; " за бизнес: " &amp; C785 &amp; ". Тип: " &amp; D785 &amp; ". Град: " &amp; E785 &amp; ". Проблем: " &amp; L785 &amp; ". Предложение: " &amp; M785 &amp; ". Етап: " &amp; N785 &amp; ". Бележки: " &amp; Y785)</x:f>
      </x:c>
      <x:c r="AC785" s="55"/>
    </x:row>
    <x:row r="786">
      <x:c r="A786" s="55"/>
      <x:c r="B786" s="55"/>
      <x:c r="C786" s="55"/>
      <x:c r="D786" s="55"/>
      <x:c r="E786" s="55"/>
      <x:c r="F786" s="55"/>
      <x:c r="G786" s="55"/>
      <x:c r="H786" s="55"/>
      <x:c r="I786" s="55"/>
      <x:c r="J786" s="55"/>
      <x:c r="K786" s="55"/>
      <x:c r="L786" s="55"/>
      <x:c r="M786" s="55"/>
      <x:c r="N786" s="55"/>
      <x:c r="O786" s="55"/>
      <x:c r="P786" s="55"/>
      <x:c r="Q786" s="55"/>
      <x:c r="R786" s="55"/>
      <x:c r="S786" s="55" t="str">
        <x:f>IF(C786="","",IFERROR(Q786*R786/100,""))</x:f>
      </x:c>
      <x:c r="T786" s="55"/>
      <x:c r="U786" s="55"/>
      <x:c r="V786" s="55" t="str">
        <x:f>IF(U786="","",U786-TODAY())</x:f>
      </x:c>
      <x:c r="W786" s="55" t="str">
        <x:f>IF(AND(U786&lt;&gt;"",U786&lt;TODAY(),O786="Активен"),"ДА","")</x:f>
      </x:c>
      <x:c r="X786" s="55"/>
      <x:c r="Y786" s="55"/>
      <x:c r="Z786" s="55"/>
      <x:c r="AA786" s="55"/>
      <x:c r="AB786" s="55" t="str">
        <x:f>IF(C786="","", "Напиши " &amp; AA786 &amp; " за бизнес: " &amp; C786 &amp; ". Тип: " &amp; D786 &amp; ". Град: " &amp; E786 &amp; ". Проблем: " &amp; L786 &amp; ". Предложение: " &amp; M786 &amp; ". Етап: " &amp; N786 &amp; ". Бележки: " &amp; Y786)</x:f>
      </x:c>
      <x:c r="AC786" s="55"/>
    </x:row>
    <x:row r="787">
      <x:c r="A787" s="55"/>
      <x:c r="B787" s="55"/>
      <x:c r="C787" s="55"/>
      <x:c r="D787" s="55"/>
      <x:c r="E787" s="55"/>
      <x:c r="F787" s="55"/>
      <x:c r="G787" s="55"/>
      <x:c r="H787" s="55"/>
      <x:c r="I787" s="55"/>
      <x:c r="J787" s="55"/>
      <x:c r="K787" s="55"/>
      <x:c r="L787" s="55"/>
      <x:c r="M787" s="55"/>
      <x:c r="N787" s="55"/>
      <x:c r="O787" s="55"/>
      <x:c r="P787" s="55"/>
      <x:c r="Q787" s="55"/>
      <x:c r="R787" s="55"/>
      <x:c r="S787" s="55" t="str">
        <x:f>IF(C787="","",IFERROR(Q787*R787/100,""))</x:f>
      </x:c>
      <x:c r="T787" s="55"/>
      <x:c r="U787" s="55"/>
      <x:c r="V787" s="55" t="str">
        <x:f>IF(U787="","",U787-TODAY())</x:f>
      </x:c>
      <x:c r="W787" s="55" t="str">
        <x:f>IF(AND(U787&lt;&gt;"",U787&lt;TODAY(),O787="Активен"),"ДА","")</x:f>
      </x:c>
      <x:c r="X787" s="55"/>
      <x:c r="Y787" s="55"/>
      <x:c r="Z787" s="55"/>
      <x:c r="AA787" s="55"/>
      <x:c r="AB787" s="55" t="str">
        <x:f>IF(C787="","", "Напиши " &amp; AA787 &amp; " за бизнес: " &amp; C787 &amp; ". Тип: " &amp; D787 &amp; ". Град: " &amp; E787 &amp; ". Проблем: " &amp; L787 &amp; ". Предложение: " &amp; M787 &amp; ". Етап: " &amp; N787 &amp; ". Бележки: " &amp; Y787)</x:f>
      </x:c>
      <x:c r="AC787" s="55"/>
    </x:row>
    <x:row r="788">
      <x:c r="A788" s="55"/>
      <x:c r="B788" s="55"/>
      <x:c r="C788" s="55"/>
      <x:c r="D788" s="55"/>
      <x:c r="E788" s="55"/>
      <x:c r="F788" s="55"/>
      <x:c r="G788" s="55"/>
      <x:c r="H788" s="55"/>
      <x:c r="I788" s="55"/>
      <x:c r="J788" s="55"/>
      <x:c r="K788" s="55"/>
      <x:c r="L788" s="55"/>
      <x:c r="M788" s="55"/>
      <x:c r="N788" s="55"/>
      <x:c r="O788" s="55"/>
      <x:c r="P788" s="55"/>
      <x:c r="Q788" s="55"/>
      <x:c r="R788" s="55"/>
      <x:c r="S788" s="55" t="str">
        <x:f>IF(C788="","",IFERROR(Q788*R788/100,""))</x:f>
      </x:c>
      <x:c r="T788" s="55"/>
      <x:c r="U788" s="55"/>
      <x:c r="V788" s="55" t="str">
        <x:f>IF(U788="","",U788-TODAY())</x:f>
      </x:c>
      <x:c r="W788" s="55" t="str">
        <x:f>IF(AND(U788&lt;&gt;"",U788&lt;TODAY(),O788="Активен"),"ДА","")</x:f>
      </x:c>
      <x:c r="X788" s="55"/>
      <x:c r="Y788" s="55"/>
      <x:c r="Z788" s="55"/>
      <x:c r="AA788" s="55"/>
      <x:c r="AB788" s="55" t="str">
        <x:f>IF(C788="","", "Напиши " &amp; AA788 &amp; " за бизнес: " &amp; C788 &amp; ". Тип: " &amp; D788 &amp; ". Град: " &amp; E788 &amp; ". Проблем: " &amp; L788 &amp; ". Предложение: " &amp; M788 &amp; ". Етап: " &amp; N788 &amp; ". Бележки: " &amp; Y788)</x:f>
      </x:c>
      <x:c r="AC788" s="55"/>
    </x:row>
    <x:row r="789">
      <x:c r="A789" s="55"/>
      <x:c r="B789" s="55"/>
      <x:c r="C789" s="55"/>
      <x:c r="D789" s="55"/>
      <x:c r="E789" s="55"/>
      <x:c r="F789" s="55"/>
      <x:c r="G789" s="55"/>
      <x:c r="H789" s="55"/>
      <x:c r="I789" s="55"/>
      <x:c r="J789" s="55"/>
      <x:c r="K789" s="55"/>
      <x:c r="L789" s="55"/>
      <x:c r="M789" s="55"/>
      <x:c r="N789" s="55"/>
      <x:c r="O789" s="55"/>
      <x:c r="P789" s="55"/>
      <x:c r="Q789" s="55"/>
      <x:c r="R789" s="55"/>
      <x:c r="S789" s="55" t="str">
        <x:f>IF(C789="","",IFERROR(Q789*R789/100,""))</x:f>
      </x:c>
      <x:c r="T789" s="55"/>
      <x:c r="U789" s="55"/>
      <x:c r="V789" s="55" t="str">
        <x:f>IF(U789="","",U789-TODAY())</x:f>
      </x:c>
      <x:c r="W789" s="55" t="str">
        <x:f>IF(AND(U789&lt;&gt;"",U789&lt;TODAY(),O789="Активен"),"ДА","")</x:f>
      </x:c>
      <x:c r="X789" s="55"/>
      <x:c r="Y789" s="55"/>
      <x:c r="Z789" s="55"/>
      <x:c r="AA789" s="55"/>
      <x:c r="AB789" s="55" t="str">
        <x:f>IF(C789="","", "Напиши " &amp; AA789 &amp; " за бизнес: " &amp; C789 &amp; ". Тип: " &amp; D789 &amp; ". Град: " &amp; E789 &amp; ". Проблем: " &amp; L789 &amp; ". Предложение: " &amp; M789 &amp; ". Етап: " &amp; N789 &amp; ". Бележки: " &amp; Y789)</x:f>
      </x:c>
      <x:c r="AC789" s="55"/>
    </x:row>
    <x:row r="790">
      <x:c r="A790" s="55"/>
      <x:c r="B790" s="55"/>
      <x:c r="C790" s="55"/>
      <x:c r="D790" s="55"/>
      <x:c r="E790" s="55"/>
      <x:c r="F790" s="55"/>
      <x:c r="G790" s="55"/>
      <x:c r="H790" s="55"/>
      <x:c r="I790" s="55"/>
      <x:c r="J790" s="55"/>
      <x:c r="K790" s="55"/>
      <x:c r="L790" s="55"/>
      <x:c r="M790" s="55"/>
      <x:c r="N790" s="55"/>
      <x:c r="O790" s="55"/>
      <x:c r="P790" s="55"/>
      <x:c r="Q790" s="55"/>
      <x:c r="R790" s="55"/>
      <x:c r="S790" s="55" t="str">
        <x:f>IF(C790="","",IFERROR(Q790*R790/100,""))</x:f>
      </x:c>
      <x:c r="T790" s="55"/>
      <x:c r="U790" s="55"/>
      <x:c r="V790" s="55" t="str">
        <x:f>IF(U790="","",U790-TODAY())</x:f>
      </x:c>
      <x:c r="W790" s="55" t="str">
        <x:f>IF(AND(U790&lt;&gt;"",U790&lt;TODAY(),O790="Активен"),"ДА","")</x:f>
      </x:c>
      <x:c r="X790" s="55"/>
      <x:c r="Y790" s="55"/>
      <x:c r="Z790" s="55"/>
      <x:c r="AA790" s="55"/>
      <x:c r="AB790" s="55" t="str">
        <x:f>IF(C790="","", "Напиши " &amp; AA790 &amp; " за бизнес: " &amp; C790 &amp; ". Тип: " &amp; D790 &amp; ". Град: " &amp; E790 &amp; ". Проблем: " &amp; L790 &amp; ". Предложение: " &amp; M790 &amp; ". Етап: " &amp; N790 &amp; ". Бележки: " &amp; Y790)</x:f>
      </x:c>
      <x:c r="AC790" s="55"/>
    </x:row>
    <x:row r="791">
      <x:c r="A791" s="55"/>
      <x:c r="B791" s="55"/>
      <x:c r="C791" s="55"/>
      <x:c r="D791" s="55"/>
      <x:c r="E791" s="55"/>
      <x:c r="F791" s="55"/>
      <x:c r="G791" s="55"/>
      <x:c r="H791" s="55"/>
      <x:c r="I791" s="55"/>
      <x:c r="J791" s="55"/>
      <x:c r="K791" s="55"/>
      <x:c r="L791" s="55"/>
      <x:c r="M791" s="55"/>
      <x:c r="N791" s="55"/>
      <x:c r="O791" s="55"/>
      <x:c r="P791" s="55"/>
      <x:c r="Q791" s="55"/>
      <x:c r="R791" s="55"/>
      <x:c r="S791" s="55" t="str">
        <x:f>IF(C791="","",IFERROR(Q791*R791/100,""))</x:f>
      </x:c>
      <x:c r="T791" s="55"/>
      <x:c r="U791" s="55"/>
      <x:c r="V791" s="55" t="str">
        <x:f>IF(U791="","",U791-TODAY())</x:f>
      </x:c>
      <x:c r="W791" s="55" t="str">
        <x:f>IF(AND(U791&lt;&gt;"",U791&lt;TODAY(),O791="Активен"),"ДА","")</x:f>
      </x:c>
      <x:c r="X791" s="55"/>
      <x:c r="Y791" s="55"/>
      <x:c r="Z791" s="55"/>
      <x:c r="AA791" s="55"/>
      <x:c r="AB791" s="55" t="str">
        <x:f>IF(C791="","", "Напиши " &amp; AA791 &amp; " за бизнес: " &amp; C791 &amp; ". Тип: " &amp; D791 &amp; ". Град: " &amp; E791 &amp; ". Проблем: " &amp; L791 &amp; ". Предложение: " &amp; M791 &amp; ". Етап: " &amp; N791 &amp; ". Бележки: " &amp; Y791)</x:f>
      </x:c>
      <x:c r="AC791" s="55"/>
    </x:row>
    <x:row r="792">
      <x:c r="A792" s="55"/>
      <x:c r="B792" s="55"/>
      <x:c r="C792" s="55"/>
      <x:c r="D792" s="55"/>
      <x:c r="E792" s="55"/>
      <x:c r="F792" s="55"/>
      <x:c r="G792" s="55"/>
      <x:c r="H792" s="55"/>
      <x:c r="I792" s="55"/>
      <x:c r="J792" s="55"/>
      <x:c r="K792" s="55"/>
      <x:c r="L792" s="55"/>
      <x:c r="M792" s="55"/>
      <x:c r="N792" s="55"/>
      <x:c r="O792" s="55"/>
      <x:c r="P792" s="55"/>
      <x:c r="Q792" s="55"/>
      <x:c r="R792" s="55"/>
      <x:c r="S792" s="55" t="str">
        <x:f>IF(C792="","",IFERROR(Q792*R792/100,""))</x:f>
      </x:c>
      <x:c r="T792" s="55"/>
      <x:c r="U792" s="55"/>
      <x:c r="V792" s="55" t="str">
        <x:f>IF(U792="","",U792-TODAY())</x:f>
      </x:c>
      <x:c r="W792" s="55" t="str">
        <x:f>IF(AND(U792&lt;&gt;"",U792&lt;TODAY(),O792="Активен"),"ДА","")</x:f>
      </x:c>
      <x:c r="X792" s="55"/>
      <x:c r="Y792" s="55"/>
      <x:c r="Z792" s="55"/>
      <x:c r="AA792" s="55"/>
      <x:c r="AB792" s="55" t="str">
        <x:f>IF(C792="","", "Напиши " &amp; AA792 &amp; " за бизнес: " &amp; C792 &amp; ". Тип: " &amp; D792 &amp; ". Град: " &amp; E792 &amp; ". Проблем: " &amp; L792 &amp; ". Предложение: " &amp; M792 &amp; ". Етап: " &amp; N792 &amp; ". Бележки: " &amp; Y792)</x:f>
      </x:c>
      <x:c r="AC792" s="55"/>
    </x:row>
    <x:row r="793">
      <x:c r="A793" s="55"/>
      <x:c r="B793" s="55"/>
      <x:c r="C793" s="55"/>
      <x:c r="D793" s="55"/>
      <x:c r="E793" s="55"/>
      <x:c r="F793" s="55"/>
      <x:c r="G793" s="55"/>
      <x:c r="H793" s="55"/>
      <x:c r="I793" s="55"/>
      <x:c r="J793" s="55"/>
      <x:c r="K793" s="55"/>
      <x:c r="L793" s="55"/>
      <x:c r="M793" s="55"/>
      <x:c r="N793" s="55"/>
      <x:c r="O793" s="55"/>
      <x:c r="P793" s="55"/>
      <x:c r="Q793" s="55"/>
      <x:c r="R793" s="55"/>
      <x:c r="S793" s="55" t="str">
        <x:f>IF(C793="","",IFERROR(Q793*R793/100,""))</x:f>
      </x:c>
      <x:c r="T793" s="55"/>
      <x:c r="U793" s="55"/>
      <x:c r="V793" s="55" t="str">
        <x:f>IF(U793="","",U793-TODAY())</x:f>
      </x:c>
      <x:c r="W793" s="55" t="str">
        <x:f>IF(AND(U793&lt;&gt;"",U793&lt;TODAY(),O793="Активен"),"ДА","")</x:f>
      </x:c>
      <x:c r="X793" s="55"/>
      <x:c r="Y793" s="55"/>
      <x:c r="Z793" s="55"/>
      <x:c r="AA793" s="55"/>
      <x:c r="AB793" s="55" t="str">
        <x:f>IF(C793="","", "Напиши " &amp; AA793 &amp; " за бизнес: " &amp; C793 &amp; ". Тип: " &amp; D793 &amp; ". Град: " &amp; E793 &amp; ". Проблем: " &amp; L793 &amp; ". Предложение: " &amp; M793 &amp; ". Етап: " &amp; N793 &amp; ". Бележки: " &amp; Y793)</x:f>
      </x:c>
      <x:c r="AC793" s="55"/>
    </x:row>
    <x:row r="794">
      <x:c r="A794" s="55"/>
      <x:c r="B794" s="55"/>
      <x:c r="C794" s="55"/>
      <x:c r="D794" s="55"/>
      <x:c r="E794" s="55"/>
      <x:c r="F794" s="55"/>
      <x:c r="G794" s="55"/>
      <x:c r="H794" s="55"/>
      <x:c r="I794" s="55"/>
      <x:c r="J794" s="55"/>
      <x:c r="K794" s="55"/>
      <x:c r="L794" s="55"/>
      <x:c r="M794" s="55"/>
      <x:c r="N794" s="55"/>
      <x:c r="O794" s="55"/>
      <x:c r="P794" s="55"/>
      <x:c r="Q794" s="55"/>
      <x:c r="R794" s="55"/>
      <x:c r="S794" s="55" t="str">
        <x:f>IF(C794="","",IFERROR(Q794*R794/100,""))</x:f>
      </x:c>
      <x:c r="T794" s="55"/>
      <x:c r="U794" s="55"/>
      <x:c r="V794" s="55" t="str">
        <x:f>IF(U794="","",U794-TODAY())</x:f>
      </x:c>
      <x:c r="W794" s="55" t="str">
        <x:f>IF(AND(U794&lt;&gt;"",U794&lt;TODAY(),O794="Активен"),"ДА","")</x:f>
      </x:c>
      <x:c r="X794" s="55"/>
      <x:c r="Y794" s="55"/>
      <x:c r="Z794" s="55"/>
      <x:c r="AA794" s="55"/>
      <x:c r="AB794" s="55" t="str">
        <x:f>IF(C794="","", "Напиши " &amp; AA794 &amp; " за бизнес: " &amp; C794 &amp; ". Тип: " &amp; D794 &amp; ". Град: " &amp; E794 &amp; ". Проблем: " &amp; L794 &amp; ". Предложение: " &amp; M794 &amp; ". Етап: " &amp; N794 &amp; ". Бележки: " &amp; Y794)</x:f>
      </x:c>
      <x:c r="AC794" s="55"/>
    </x:row>
    <x:row r="795">
      <x:c r="A795" s="55"/>
      <x:c r="B795" s="55"/>
      <x:c r="C795" s="55"/>
      <x:c r="D795" s="55"/>
      <x:c r="E795" s="55"/>
      <x:c r="F795" s="55"/>
      <x:c r="G795" s="55"/>
      <x:c r="H795" s="55"/>
      <x:c r="I795" s="55"/>
      <x:c r="J795" s="55"/>
      <x:c r="K795" s="55"/>
      <x:c r="L795" s="55"/>
      <x:c r="M795" s="55"/>
      <x:c r="N795" s="55"/>
      <x:c r="O795" s="55"/>
      <x:c r="P795" s="55"/>
      <x:c r="Q795" s="55"/>
      <x:c r="R795" s="55"/>
      <x:c r="S795" s="55" t="str">
        <x:f>IF(C795="","",IFERROR(Q795*R795/100,""))</x:f>
      </x:c>
      <x:c r="T795" s="55"/>
      <x:c r="U795" s="55"/>
      <x:c r="V795" s="55" t="str">
        <x:f>IF(U795="","",U795-TODAY())</x:f>
      </x:c>
      <x:c r="W795" s="55" t="str">
        <x:f>IF(AND(U795&lt;&gt;"",U795&lt;TODAY(),O795="Активен"),"ДА","")</x:f>
      </x:c>
      <x:c r="X795" s="55"/>
      <x:c r="Y795" s="55"/>
      <x:c r="Z795" s="55"/>
      <x:c r="AA795" s="55"/>
      <x:c r="AB795" s="55" t="str">
        <x:f>IF(C795="","", "Напиши " &amp; AA795 &amp; " за бизнес: " &amp; C795 &amp; ". Тип: " &amp; D795 &amp; ". Град: " &amp; E795 &amp; ". Проблем: " &amp; L795 &amp; ". Предложение: " &amp; M795 &amp; ". Етап: " &amp; N795 &amp; ". Бележки: " &amp; Y795)</x:f>
      </x:c>
      <x:c r="AC795" s="55"/>
    </x:row>
    <x:row r="796">
      <x:c r="A796" s="55"/>
      <x:c r="B796" s="55"/>
      <x:c r="C796" s="55"/>
      <x:c r="D796" s="55"/>
      <x:c r="E796" s="55"/>
      <x:c r="F796" s="55"/>
      <x:c r="G796" s="55"/>
      <x:c r="H796" s="55"/>
      <x:c r="I796" s="55"/>
      <x:c r="J796" s="55"/>
      <x:c r="K796" s="55"/>
      <x:c r="L796" s="55"/>
      <x:c r="M796" s="55"/>
      <x:c r="N796" s="55"/>
      <x:c r="O796" s="55"/>
      <x:c r="P796" s="55"/>
      <x:c r="Q796" s="55"/>
      <x:c r="R796" s="55"/>
      <x:c r="S796" s="55" t="str">
        <x:f>IF(C796="","",IFERROR(Q796*R796/100,""))</x:f>
      </x:c>
      <x:c r="T796" s="55"/>
      <x:c r="U796" s="55"/>
      <x:c r="V796" s="55" t="str">
        <x:f>IF(U796="","",U796-TODAY())</x:f>
      </x:c>
      <x:c r="W796" s="55" t="str">
        <x:f>IF(AND(U796&lt;&gt;"",U796&lt;TODAY(),O796="Активен"),"ДА","")</x:f>
      </x:c>
      <x:c r="X796" s="55"/>
      <x:c r="Y796" s="55"/>
      <x:c r="Z796" s="55"/>
      <x:c r="AA796" s="55"/>
      <x:c r="AB796" s="55" t="str">
        <x:f>IF(C796="","", "Напиши " &amp; AA796 &amp; " за бизнес: " &amp; C796 &amp; ". Тип: " &amp; D796 &amp; ". Град: " &amp; E796 &amp; ". Проблем: " &amp; L796 &amp; ". Предложение: " &amp; M796 &amp; ". Етап: " &amp; N796 &amp; ". Бележки: " &amp; Y796)</x:f>
      </x:c>
      <x:c r="AC796" s="55"/>
    </x:row>
    <x:row r="797">
      <x:c r="A797" s="55"/>
      <x:c r="B797" s="55"/>
      <x:c r="C797" s="55"/>
      <x:c r="D797" s="55"/>
      <x:c r="E797" s="55"/>
      <x:c r="F797" s="55"/>
      <x:c r="G797" s="55"/>
      <x:c r="H797" s="55"/>
      <x:c r="I797" s="55"/>
      <x:c r="J797" s="55"/>
      <x:c r="K797" s="55"/>
      <x:c r="L797" s="55"/>
      <x:c r="M797" s="55"/>
      <x:c r="N797" s="55"/>
      <x:c r="O797" s="55"/>
      <x:c r="P797" s="55"/>
      <x:c r="Q797" s="55"/>
      <x:c r="R797" s="55"/>
      <x:c r="S797" s="55" t="str">
        <x:f>IF(C797="","",IFERROR(Q797*R797/100,""))</x:f>
      </x:c>
      <x:c r="T797" s="55"/>
      <x:c r="U797" s="55"/>
      <x:c r="V797" s="55" t="str">
        <x:f>IF(U797="","",U797-TODAY())</x:f>
      </x:c>
      <x:c r="W797" s="55" t="str">
        <x:f>IF(AND(U797&lt;&gt;"",U797&lt;TODAY(),O797="Активен"),"ДА","")</x:f>
      </x:c>
      <x:c r="X797" s="55"/>
      <x:c r="Y797" s="55"/>
      <x:c r="Z797" s="55"/>
      <x:c r="AA797" s="55"/>
      <x:c r="AB797" s="55" t="str">
        <x:f>IF(C797="","", "Напиши " &amp; AA797 &amp; " за бизнес: " &amp; C797 &amp; ". Тип: " &amp; D797 &amp; ". Град: " &amp; E797 &amp; ". Проблем: " &amp; L797 &amp; ". Предложение: " &amp; M797 &amp; ". Етап: " &amp; N797 &amp; ". Бележки: " &amp; Y797)</x:f>
      </x:c>
      <x:c r="AC797" s="55"/>
    </x:row>
    <x:row r="798">
      <x:c r="A798" s="55"/>
      <x:c r="B798" s="55"/>
      <x:c r="C798" s="55"/>
      <x:c r="D798" s="55"/>
      <x:c r="E798" s="55"/>
      <x:c r="F798" s="55"/>
      <x:c r="G798" s="55"/>
      <x:c r="H798" s="55"/>
      <x:c r="I798" s="55"/>
      <x:c r="J798" s="55"/>
      <x:c r="K798" s="55"/>
      <x:c r="L798" s="55"/>
      <x:c r="M798" s="55"/>
      <x:c r="N798" s="55"/>
      <x:c r="O798" s="55"/>
      <x:c r="P798" s="55"/>
      <x:c r="Q798" s="55"/>
      <x:c r="R798" s="55"/>
      <x:c r="S798" s="55" t="str">
        <x:f>IF(C798="","",IFERROR(Q798*R798/100,""))</x:f>
      </x:c>
      <x:c r="T798" s="55"/>
      <x:c r="U798" s="55"/>
      <x:c r="V798" s="55" t="str">
        <x:f>IF(U798="","",U798-TODAY())</x:f>
      </x:c>
      <x:c r="W798" s="55" t="str">
        <x:f>IF(AND(U798&lt;&gt;"",U798&lt;TODAY(),O798="Активен"),"ДА","")</x:f>
      </x:c>
      <x:c r="X798" s="55"/>
      <x:c r="Y798" s="55"/>
      <x:c r="Z798" s="55"/>
      <x:c r="AA798" s="55"/>
      <x:c r="AB798" s="55" t="str">
        <x:f>IF(C798="","", "Напиши " &amp; AA798 &amp; " за бизнес: " &amp; C798 &amp; ". Тип: " &amp; D798 &amp; ". Град: " &amp; E798 &amp; ". Проблем: " &amp; L798 &amp; ". Предложение: " &amp; M798 &amp; ". Етап: " &amp; N798 &amp; ". Бележки: " &amp; Y798)</x:f>
      </x:c>
      <x:c r="AC798" s="55"/>
    </x:row>
    <x:row r="799">
      <x:c r="A799" s="55"/>
      <x:c r="B799" s="55"/>
      <x:c r="C799" s="55"/>
      <x:c r="D799" s="55"/>
      <x:c r="E799" s="55"/>
      <x:c r="F799" s="55"/>
      <x:c r="G799" s="55"/>
      <x:c r="H799" s="55"/>
      <x:c r="I799" s="55"/>
      <x:c r="J799" s="55"/>
      <x:c r="K799" s="55"/>
      <x:c r="L799" s="55"/>
      <x:c r="M799" s="55"/>
      <x:c r="N799" s="55"/>
      <x:c r="O799" s="55"/>
      <x:c r="P799" s="55"/>
      <x:c r="Q799" s="55"/>
      <x:c r="R799" s="55"/>
      <x:c r="S799" s="55" t="str">
        <x:f>IF(C799="","",IFERROR(Q799*R799/100,""))</x:f>
      </x:c>
      <x:c r="T799" s="55"/>
      <x:c r="U799" s="55"/>
      <x:c r="V799" s="55" t="str">
        <x:f>IF(U799="","",U799-TODAY())</x:f>
      </x:c>
      <x:c r="W799" s="55" t="str">
        <x:f>IF(AND(U799&lt;&gt;"",U799&lt;TODAY(),O799="Активен"),"ДА","")</x:f>
      </x:c>
      <x:c r="X799" s="55"/>
      <x:c r="Y799" s="55"/>
      <x:c r="Z799" s="55"/>
      <x:c r="AA799" s="55"/>
      <x:c r="AB799" s="55" t="str">
        <x:f>IF(C799="","", "Напиши " &amp; AA799 &amp; " за бизнес: " &amp; C799 &amp; ". Тип: " &amp; D799 &amp; ". Град: " &amp; E799 &amp; ". Проблем: " &amp; L799 &amp; ". Предложение: " &amp; M799 &amp; ". Етап: " &amp; N799 &amp; ". Бележки: " &amp; Y799)</x:f>
      </x:c>
      <x:c r="AC799" s="55"/>
    </x:row>
    <x:row r="800">
      <x:c r="A800" s="55"/>
      <x:c r="B800" s="55"/>
      <x:c r="C800" s="55"/>
      <x:c r="D800" s="55"/>
      <x:c r="E800" s="55"/>
      <x:c r="F800" s="55"/>
      <x:c r="G800" s="55"/>
      <x:c r="H800" s="55"/>
      <x:c r="I800" s="55"/>
      <x:c r="J800" s="55"/>
      <x:c r="K800" s="55"/>
      <x:c r="L800" s="55"/>
      <x:c r="M800" s="55"/>
      <x:c r="N800" s="55"/>
      <x:c r="O800" s="55"/>
      <x:c r="P800" s="55"/>
      <x:c r="Q800" s="55"/>
      <x:c r="R800" s="55"/>
      <x:c r="S800" s="55" t="str">
        <x:f>IF(C800="","",IFERROR(Q800*R800/100,""))</x:f>
      </x:c>
      <x:c r="T800" s="55"/>
      <x:c r="U800" s="55"/>
      <x:c r="V800" s="55" t="str">
        <x:f>IF(U800="","",U800-TODAY())</x:f>
      </x:c>
      <x:c r="W800" s="55" t="str">
        <x:f>IF(AND(U800&lt;&gt;"",U800&lt;TODAY(),O800="Активен"),"ДА","")</x:f>
      </x:c>
      <x:c r="X800" s="55"/>
      <x:c r="Y800" s="55"/>
      <x:c r="Z800" s="55"/>
      <x:c r="AA800" s="55"/>
      <x:c r="AB800" s="55" t="str">
        <x:f>IF(C800="","", "Напиши " &amp; AA800 &amp; " за бизнес: " &amp; C800 &amp; ". Тип: " &amp; D800 &amp; ". Град: " &amp; E800 &amp; ". Проблем: " &amp; L800 &amp; ". Предложение: " &amp; M800 &amp; ". Етап: " &amp; N800 &amp; ". Бележки: " &amp; Y800)</x:f>
      </x:c>
      <x:c r="AC800" s="55"/>
    </x:row>
    <x:row r="801">
      <x:c r="A801" s="55"/>
      <x:c r="B801" s="55"/>
      <x:c r="C801" s="55"/>
      <x:c r="D801" s="55"/>
      <x:c r="E801" s="55"/>
      <x:c r="F801" s="55"/>
      <x:c r="G801" s="55"/>
      <x:c r="H801" s="55"/>
      <x:c r="I801" s="55"/>
      <x:c r="J801" s="55"/>
      <x:c r="K801" s="55"/>
      <x:c r="L801" s="55"/>
      <x:c r="M801" s="55"/>
      <x:c r="N801" s="55"/>
      <x:c r="O801" s="55"/>
      <x:c r="P801" s="55"/>
      <x:c r="Q801" s="55"/>
      <x:c r="R801" s="55"/>
      <x:c r="S801" s="55" t="str">
        <x:f>IF(C801="","",IFERROR(Q801*R801/100,""))</x:f>
      </x:c>
      <x:c r="T801" s="55"/>
      <x:c r="U801" s="55"/>
      <x:c r="V801" s="55" t="str">
        <x:f>IF(U801="","",U801-TODAY())</x:f>
      </x:c>
      <x:c r="W801" s="55" t="str">
        <x:f>IF(AND(U801&lt;&gt;"",U801&lt;TODAY(),O801="Активен"),"ДА","")</x:f>
      </x:c>
      <x:c r="X801" s="55"/>
      <x:c r="Y801" s="55"/>
      <x:c r="Z801" s="55"/>
      <x:c r="AA801" s="55"/>
      <x:c r="AB801" s="55" t="str">
        <x:f>IF(C801="","", "Напиши " &amp; AA801 &amp; " за бизнес: " &amp; C801 &amp; ". Тип: " &amp; D801 &amp; ". Град: " &amp; E801 &amp; ". Проблем: " &amp; L801 &amp; ". Предложение: " &amp; M801 &amp; ". Етап: " &amp; N801 &amp; ". Бележки: " &amp; Y801)</x:f>
      </x:c>
      <x:c r="AC801" s="55"/>
    </x:row>
    <x:row r="802">
      <x:c r="A802" s="55"/>
      <x:c r="B802" s="55"/>
      <x:c r="C802" s="55"/>
      <x:c r="D802" s="55"/>
      <x:c r="E802" s="55"/>
      <x:c r="F802" s="55"/>
      <x:c r="G802" s="55"/>
      <x:c r="H802" s="55"/>
      <x:c r="I802" s="55"/>
      <x:c r="J802" s="55"/>
      <x:c r="K802" s="55"/>
      <x:c r="L802" s="55"/>
      <x:c r="M802" s="55"/>
      <x:c r="N802" s="55"/>
      <x:c r="O802" s="55"/>
      <x:c r="P802" s="55"/>
      <x:c r="Q802" s="55"/>
      <x:c r="R802" s="55"/>
      <x:c r="S802" s="55" t="str">
        <x:f>IF(C802="","",IFERROR(Q802*R802/100,""))</x:f>
      </x:c>
      <x:c r="T802" s="55"/>
      <x:c r="U802" s="55"/>
      <x:c r="V802" s="55" t="str">
        <x:f>IF(U802="","",U802-TODAY())</x:f>
      </x:c>
      <x:c r="W802" s="55" t="str">
        <x:f>IF(AND(U802&lt;&gt;"",U802&lt;TODAY(),O802="Активен"),"ДА","")</x:f>
      </x:c>
      <x:c r="X802" s="55"/>
      <x:c r="Y802" s="55"/>
      <x:c r="Z802" s="55"/>
      <x:c r="AA802" s="55"/>
      <x:c r="AB802" s="55" t="str">
        <x:f>IF(C802="","", "Напиши " &amp; AA802 &amp; " за бизнес: " &amp; C802 &amp; ". Тип: " &amp; D802 &amp; ". Град: " &amp; E802 &amp; ". Проблем: " &amp; L802 &amp; ". Предложение: " &amp; M802 &amp; ". Етап: " &amp; N802 &amp; ". Бележки: " &amp; Y802)</x:f>
      </x:c>
      <x:c r="AC802" s="55"/>
    </x:row>
    <x:row r="803">
      <x:c r="A803" s="55"/>
      <x:c r="B803" s="55"/>
      <x:c r="C803" s="55"/>
      <x:c r="D803" s="55"/>
      <x:c r="E803" s="55"/>
      <x:c r="F803" s="55"/>
      <x:c r="G803" s="55"/>
      <x:c r="H803" s="55"/>
      <x:c r="I803" s="55"/>
      <x:c r="J803" s="55"/>
      <x:c r="K803" s="55"/>
      <x:c r="L803" s="55"/>
      <x:c r="M803" s="55"/>
      <x:c r="N803" s="55"/>
      <x:c r="O803" s="55"/>
      <x:c r="P803" s="55"/>
      <x:c r="Q803" s="55"/>
      <x:c r="R803" s="55"/>
      <x:c r="S803" s="55" t="str">
        <x:f>IF(C803="","",IFERROR(Q803*R803/100,""))</x:f>
      </x:c>
      <x:c r="T803" s="55"/>
      <x:c r="U803" s="55"/>
      <x:c r="V803" s="55" t="str">
        <x:f>IF(U803="","",U803-TODAY())</x:f>
      </x:c>
      <x:c r="W803" s="55" t="str">
        <x:f>IF(AND(U803&lt;&gt;"",U803&lt;TODAY(),O803="Активен"),"ДА","")</x:f>
      </x:c>
      <x:c r="X803" s="55"/>
      <x:c r="Y803" s="55"/>
      <x:c r="Z803" s="55"/>
      <x:c r="AA803" s="55"/>
      <x:c r="AB803" s="55" t="str">
        <x:f>IF(C803="","", "Напиши " &amp; AA803 &amp; " за бизнес: " &amp; C803 &amp; ". Тип: " &amp; D803 &amp; ". Град: " &amp; E803 &amp; ". Проблем: " &amp; L803 &amp; ". Предложение: " &amp; M803 &amp; ". Етап: " &amp; N803 &amp; ". Бележки: " &amp; Y803)</x:f>
      </x:c>
      <x:c r="AC803" s="55"/>
    </x:row>
    <x:row r="804">
      <x:c r="A804" s="55"/>
      <x:c r="B804" s="55"/>
      <x:c r="C804" s="55"/>
      <x:c r="D804" s="55"/>
      <x:c r="E804" s="55"/>
      <x:c r="F804" s="55"/>
      <x:c r="G804" s="55"/>
      <x:c r="H804" s="55"/>
      <x:c r="I804" s="55"/>
      <x:c r="J804" s="55"/>
      <x:c r="K804" s="55"/>
      <x:c r="L804" s="55"/>
      <x:c r="M804" s="55"/>
      <x:c r="N804" s="55"/>
      <x:c r="O804" s="55"/>
      <x:c r="P804" s="55"/>
      <x:c r="Q804" s="55"/>
      <x:c r="R804" s="55"/>
      <x:c r="S804" s="55" t="str">
        <x:f>IF(C804="","",IFERROR(Q804*R804/100,""))</x:f>
      </x:c>
      <x:c r="T804" s="55"/>
      <x:c r="U804" s="55"/>
      <x:c r="V804" s="55" t="str">
        <x:f>IF(U804="","",U804-TODAY())</x:f>
      </x:c>
      <x:c r="W804" s="55" t="str">
        <x:f>IF(AND(U804&lt;&gt;"",U804&lt;TODAY(),O804="Активен"),"ДА","")</x:f>
      </x:c>
      <x:c r="X804" s="55"/>
      <x:c r="Y804" s="55"/>
      <x:c r="Z804" s="55"/>
      <x:c r="AA804" s="55"/>
      <x:c r="AB804" s="55" t="str">
        <x:f>IF(C804="","", "Напиши " &amp; AA804 &amp; " за бизнес: " &amp; C804 &amp; ". Тип: " &amp; D804 &amp; ". Град: " &amp; E804 &amp; ". Проблем: " &amp; L804 &amp; ". Предложение: " &amp; M804 &amp; ". Етап: " &amp; N804 &amp; ". Бележки: " &amp; Y804)</x:f>
      </x:c>
      <x:c r="AC804" s="55"/>
    </x:row>
    <x:row r="805">
      <x:c r="A805" s="55"/>
      <x:c r="B805" s="55"/>
      <x:c r="C805" s="55"/>
      <x:c r="D805" s="55"/>
      <x:c r="E805" s="55"/>
      <x:c r="F805" s="55"/>
      <x:c r="G805" s="55"/>
      <x:c r="H805" s="55"/>
      <x:c r="I805" s="55"/>
      <x:c r="J805" s="55"/>
      <x:c r="K805" s="55"/>
      <x:c r="L805" s="55"/>
      <x:c r="M805" s="55"/>
      <x:c r="N805" s="55"/>
      <x:c r="O805" s="55"/>
      <x:c r="P805" s="55"/>
      <x:c r="Q805" s="55"/>
      <x:c r="R805" s="55"/>
      <x:c r="S805" s="55" t="str">
        <x:f>IF(C805="","",IFERROR(Q805*R805/100,""))</x:f>
      </x:c>
      <x:c r="T805" s="55"/>
      <x:c r="U805" s="55"/>
      <x:c r="V805" s="55" t="str">
        <x:f>IF(U805="","",U805-TODAY())</x:f>
      </x:c>
      <x:c r="W805" s="55" t="str">
        <x:f>IF(AND(U805&lt;&gt;"",U805&lt;TODAY(),O805="Активен"),"ДА","")</x:f>
      </x:c>
      <x:c r="X805" s="55"/>
      <x:c r="Y805" s="55"/>
      <x:c r="Z805" s="55"/>
      <x:c r="AA805" s="55"/>
      <x:c r="AB805" s="55" t="str">
        <x:f>IF(C805="","", "Напиши " &amp; AA805 &amp; " за бизнес: " &amp; C805 &amp; ". Тип: " &amp; D805 &amp; ". Град: " &amp; E805 &amp; ". Проблем: " &amp; L805 &amp; ". Предложение: " &amp; M805 &amp; ". Етап: " &amp; N805 &amp; ". Бележки: " &amp; Y805)</x:f>
      </x:c>
      <x:c r="AC805" s="55"/>
    </x:row>
    <x:row r="806">
      <x:c r="A806" s="55"/>
      <x:c r="B806" s="55"/>
      <x:c r="C806" s="55"/>
      <x:c r="D806" s="55"/>
      <x:c r="E806" s="55"/>
      <x:c r="F806" s="55"/>
      <x:c r="G806" s="55"/>
      <x:c r="H806" s="55"/>
      <x:c r="I806" s="55"/>
      <x:c r="J806" s="55"/>
      <x:c r="K806" s="55"/>
      <x:c r="L806" s="55"/>
      <x:c r="M806" s="55"/>
      <x:c r="N806" s="55"/>
      <x:c r="O806" s="55"/>
      <x:c r="P806" s="55"/>
      <x:c r="Q806" s="55"/>
      <x:c r="R806" s="55"/>
      <x:c r="S806" s="55" t="str">
        <x:f>IF(C806="","",IFERROR(Q806*R806/100,""))</x:f>
      </x:c>
      <x:c r="T806" s="55"/>
      <x:c r="U806" s="55"/>
      <x:c r="V806" s="55" t="str">
        <x:f>IF(U806="","",U806-TODAY())</x:f>
      </x:c>
      <x:c r="W806" s="55" t="str">
        <x:f>IF(AND(U806&lt;&gt;"",U806&lt;TODAY(),O806="Активен"),"ДА","")</x:f>
      </x:c>
      <x:c r="X806" s="55"/>
      <x:c r="Y806" s="55"/>
      <x:c r="Z806" s="55"/>
      <x:c r="AA806" s="55"/>
      <x:c r="AB806" s="55" t="str">
        <x:f>IF(C806="","", "Напиши " &amp; AA806 &amp; " за бизнес: " &amp; C806 &amp; ". Тип: " &amp; D806 &amp; ". Град: " &amp; E806 &amp; ". Проблем: " &amp; L806 &amp; ". Предложение: " &amp; M806 &amp; ". Етап: " &amp; N806 &amp; ". Бележки: " &amp; Y806)</x:f>
      </x:c>
      <x:c r="AC806" s="55"/>
    </x:row>
    <x:row r="807">
      <x:c r="A807" s="55"/>
      <x:c r="B807" s="55"/>
      <x:c r="C807" s="55"/>
      <x:c r="D807" s="55"/>
      <x:c r="E807" s="55"/>
      <x:c r="F807" s="55"/>
      <x:c r="G807" s="55"/>
      <x:c r="H807" s="55"/>
      <x:c r="I807" s="55"/>
      <x:c r="J807" s="55"/>
      <x:c r="K807" s="55"/>
      <x:c r="L807" s="55"/>
      <x:c r="M807" s="55"/>
      <x:c r="N807" s="55"/>
      <x:c r="O807" s="55"/>
      <x:c r="P807" s="55"/>
      <x:c r="Q807" s="55"/>
      <x:c r="R807" s="55"/>
      <x:c r="S807" s="55" t="str">
        <x:f>IF(C807="","",IFERROR(Q807*R807/100,""))</x:f>
      </x:c>
      <x:c r="T807" s="55"/>
      <x:c r="U807" s="55"/>
      <x:c r="V807" s="55" t="str">
        <x:f>IF(U807="","",U807-TODAY())</x:f>
      </x:c>
      <x:c r="W807" s="55" t="str">
        <x:f>IF(AND(U807&lt;&gt;"",U807&lt;TODAY(),O807="Активен"),"ДА","")</x:f>
      </x:c>
      <x:c r="X807" s="55"/>
      <x:c r="Y807" s="55"/>
      <x:c r="Z807" s="55"/>
      <x:c r="AA807" s="55"/>
      <x:c r="AB807" s="55" t="str">
        <x:f>IF(C807="","", "Напиши " &amp; AA807 &amp; " за бизнес: " &amp; C807 &amp; ". Тип: " &amp; D807 &amp; ". Град: " &amp; E807 &amp; ". Проблем: " &amp; L807 &amp; ". Предложение: " &amp; M807 &amp; ". Етап: " &amp; N807 &amp; ". Бележки: " &amp; Y807)</x:f>
      </x:c>
      <x:c r="AC807" s="55"/>
    </x:row>
    <x:row r="808">
      <x:c r="A808" s="55"/>
      <x:c r="B808" s="55"/>
      <x:c r="C808" s="55"/>
      <x:c r="D808" s="55"/>
      <x:c r="E808" s="55"/>
      <x:c r="F808" s="55"/>
      <x:c r="G808" s="55"/>
      <x:c r="H808" s="55"/>
      <x:c r="I808" s="55"/>
      <x:c r="J808" s="55"/>
      <x:c r="K808" s="55"/>
      <x:c r="L808" s="55"/>
      <x:c r="M808" s="55"/>
      <x:c r="N808" s="55"/>
      <x:c r="O808" s="55"/>
      <x:c r="P808" s="55"/>
      <x:c r="Q808" s="55"/>
      <x:c r="R808" s="55"/>
      <x:c r="S808" s="55" t="str">
        <x:f>IF(C808="","",IFERROR(Q808*R808/100,""))</x:f>
      </x:c>
      <x:c r="T808" s="55"/>
      <x:c r="U808" s="55"/>
      <x:c r="V808" s="55" t="str">
        <x:f>IF(U808="","",U808-TODAY())</x:f>
      </x:c>
      <x:c r="W808" s="55" t="str">
        <x:f>IF(AND(U808&lt;&gt;"",U808&lt;TODAY(),O808="Активен"),"ДА","")</x:f>
      </x:c>
      <x:c r="X808" s="55"/>
      <x:c r="Y808" s="55"/>
      <x:c r="Z808" s="55"/>
      <x:c r="AA808" s="55"/>
      <x:c r="AB808" s="55" t="str">
        <x:f>IF(C808="","", "Напиши " &amp; AA808 &amp; " за бизнес: " &amp; C808 &amp; ". Тип: " &amp; D808 &amp; ". Град: " &amp; E808 &amp; ". Проблем: " &amp; L808 &amp; ". Предложение: " &amp; M808 &amp; ". Етап: " &amp; N808 &amp; ". Бележки: " &amp; Y808)</x:f>
      </x:c>
      <x:c r="AC808" s="55"/>
    </x:row>
    <x:row r="809">
      <x:c r="A809" s="55"/>
      <x:c r="B809" s="55"/>
      <x:c r="C809" s="55"/>
      <x:c r="D809" s="55"/>
      <x:c r="E809" s="55"/>
      <x:c r="F809" s="55"/>
      <x:c r="G809" s="55"/>
      <x:c r="H809" s="55"/>
      <x:c r="I809" s="55"/>
      <x:c r="J809" s="55"/>
      <x:c r="K809" s="55"/>
      <x:c r="L809" s="55"/>
      <x:c r="M809" s="55"/>
      <x:c r="N809" s="55"/>
      <x:c r="O809" s="55"/>
      <x:c r="P809" s="55"/>
      <x:c r="Q809" s="55"/>
      <x:c r="R809" s="55"/>
      <x:c r="S809" s="55" t="str">
        <x:f>IF(C809="","",IFERROR(Q809*R809/100,""))</x:f>
      </x:c>
      <x:c r="T809" s="55"/>
      <x:c r="U809" s="55"/>
      <x:c r="V809" s="55" t="str">
        <x:f>IF(U809="","",U809-TODAY())</x:f>
      </x:c>
      <x:c r="W809" s="55" t="str">
        <x:f>IF(AND(U809&lt;&gt;"",U809&lt;TODAY(),O809="Активен"),"ДА","")</x:f>
      </x:c>
      <x:c r="X809" s="55"/>
      <x:c r="Y809" s="55"/>
      <x:c r="Z809" s="55"/>
      <x:c r="AA809" s="55"/>
      <x:c r="AB809" s="55" t="str">
        <x:f>IF(C809="","", "Напиши " &amp; AA809 &amp; " за бизнес: " &amp; C809 &amp; ". Тип: " &amp; D809 &amp; ". Град: " &amp; E809 &amp; ". Проблем: " &amp; L809 &amp; ". Предложение: " &amp; M809 &amp; ". Етап: " &amp; N809 &amp; ". Бележки: " &amp; Y809)</x:f>
      </x:c>
      <x:c r="AC809" s="55"/>
    </x:row>
    <x:row r="810">
      <x:c r="A810" s="55"/>
      <x:c r="B810" s="55"/>
      <x:c r="C810" s="55"/>
      <x:c r="D810" s="55"/>
      <x:c r="E810" s="55"/>
      <x:c r="F810" s="55"/>
      <x:c r="G810" s="55"/>
      <x:c r="H810" s="55"/>
      <x:c r="I810" s="55"/>
      <x:c r="J810" s="55"/>
      <x:c r="K810" s="55"/>
      <x:c r="L810" s="55"/>
      <x:c r="M810" s="55"/>
      <x:c r="N810" s="55"/>
      <x:c r="O810" s="55"/>
      <x:c r="P810" s="55"/>
      <x:c r="Q810" s="55"/>
      <x:c r="R810" s="55"/>
      <x:c r="S810" s="55" t="str">
        <x:f>IF(C810="","",IFERROR(Q810*R810/100,""))</x:f>
      </x:c>
      <x:c r="T810" s="55"/>
      <x:c r="U810" s="55"/>
      <x:c r="V810" s="55" t="str">
        <x:f>IF(U810="","",U810-TODAY())</x:f>
      </x:c>
      <x:c r="W810" s="55" t="str">
        <x:f>IF(AND(U810&lt;&gt;"",U810&lt;TODAY(),O810="Активен"),"ДА","")</x:f>
      </x:c>
      <x:c r="X810" s="55"/>
      <x:c r="Y810" s="55"/>
      <x:c r="Z810" s="55"/>
      <x:c r="AA810" s="55"/>
      <x:c r="AB810" s="55" t="str">
        <x:f>IF(C810="","", "Напиши " &amp; AA810 &amp; " за бизнес: " &amp; C810 &amp; ". Тип: " &amp; D810 &amp; ". Град: " &amp; E810 &amp; ". Проблем: " &amp; L810 &amp; ". Предложение: " &amp; M810 &amp; ". Етап: " &amp; N810 &amp; ". Бележки: " &amp; Y810)</x:f>
      </x:c>
      <x:c r="AC810" s="55"/>
    </x:row>
    <x:row r="811">
      <x:c r="A811" s="55"/>
      <x:c r="B811" s="55"/>
      <x:c r="C811" s="55"/>
      <x:c r="D811" s="55"/>
      <x:c r="E811" s="55"/>
      <x:c r="F811" s="55"/>
      <x:c r="G811" s="55"/>
      <x:c r="H811" s="55"/>
      <x:c r="I811" s="55"/>
      <x:c r="J811" s="55"/>
      <x:c r="K811" s="55"/>
      <x:c r="L811" s="55"/>
      <x:c r="M811" s="55"/>
      <x:c r="N811" s="55"/>
      <x:c r="O811" s="55"/>
      <x:c r="P811" s="55"/>
      <x:c r="Q811" s="55"/>
      <x:c r="R811" s="55"/>
      <x:c r="S811" s="55" t="str">
        <x:f>IF(C811="","",IFERROR(Q811*R811/100,""))</x:f>
      </x:c>
      <x:c r="T811" s="55"/>
      <x:c r="U811" s="55"/>
      <x:c r="V811" s="55" t="str">
        <x:f>IF(U811="","",U811-TODAY())</x:f>
      </x:c>
      <x:c r="W811" s="55" t="str">
        <x:f>IF(AND(U811&lt;&gt;"",U811&lt;TODAY(),O811="Активен"),"ДА","")</x:f>
      </x:c>
      <x:c r="X811" s="55"/>
      <x:c r="Y811" s="55"/>
      <x:c r="Z811" s="55"/>
      <x:c r="AA811" s="55"/>
      <x:c r="AB811" s="55" t="str">
        <x:f>IF(C811="","", "Напиши " &amp; AA811 &amp; " за бизнес: " &amp; C811 &amp; ". Тип: " &amp; D811 &amp; ". Град: " &amp; E811 &amp; ". Проблем: " &amp; L811 &amp; ". Предложение: " &amp; M811 &amp; ". Етап: " &amp; N811 &amp; ". Бележки: " &amp; Y811)</x:f>
      </x:c>
      <x:c r="AC811" s="55"/>
    </x:row>
    <x:row r="812">
      <x:c r="A812" s="55"/>
      <x:c r="B812" s="55"/>
      <x:c r="C812" s="55"/>
      <x:c r="D812" s="55"/>
      <x:c r="E812" s="55"/>
      <x:c r="F812" s="55"/>
      <x:c r="G812" s="55"/>
      <x:c r="H812" s="55"/>
      <x:c r="I812" s="55"/>
      <x:c r="J812" s="55"/>
      <x:c r="K812" s="55"/>
      <x:c r="L812" s="55"/>
      <x:c r="M812" s="55"/>
      <x:c r="N812" s="55"/>
      <x:c r="O812" s="55"/>
      <x:c r="P812" s="55"/>
      <x:c r="Q812" s="55"/>
      <x:c r="R812" s="55"/>
      <x:c r="S812" s="55" t="str">
        <x:f>IF(C812="","",IFERROR(Q812*R812/100,""))</x:f>
      </x:c>
      <x:c r="T812" s="55"/>
      <x:c r="U812" s="55"/>
      <x:c r="V812" s="55" t="str">
        <x:f>IF(U812="","",U812-TODAY())</x:f>
      </x:c>
      <x:c r="W812" s="55" t="str">
        <x:f>IF(AND(U812&lt;&gt;"",U812&lt;TODAY(),O812="Активен"),"ДА","")</x:f>
      </x:c>
      <x:c r="X812" s="55"/>
      <x:c r="Y812" s="55"/>
      <x:c r="Z812" s="55"/>
      <x:c r="AA812" s="55"/>
      <x:c r="AB812" s="55" t="str">
        <x:f>IF(C812="","", "Напиши " &amp; AA812 &amp; " за бизнес: " &amp; C812 &amp; ". Тип: " &amp; D812 &amp; ". Град: " &amp; E812 &amp; ". Проблем: " &amp; L812 &amp; ". Предложение: " &amp; M812 &amp; ". Етап: " &amp; N812 &amp; ". Бележки: " &amp; Y812)</x:f>
      </x:c>
      <x:c r="AC812" s="55"/>
    </x:row>
    <x:row r="813">
      <x:c r="A813" s="55"/>
      <x:c r="B813" s="55"/>
      <x:c r="C813" s="55"/>
      <x:c r="D813" s="55"/>
      <x:c r="E813" s="55"/>
      <x:c r="F813" s="55"/>
      <x:c r="G813" s="55"/>
      <x:c r="H813" s="55"/>
      <x:c r="I813" s="55"/>
      <x:c r="J813" s="55"/>
      <x:c r="K813" s="55"/>
      <x:c r="L813" s="55"/>
      <x:c r="M813" s="55"/>
      <x:c r="N813" s="55"/>
      <x:c r="O813" s="55"/>
      <x:c r="P813" s="55"/>
      <x:c r="Q813" s="55"/>
      <x:c r="R813" s="55"/>
      <x:c r="S813" s="55" t="str">
        <x:f>IF(C813="","",IFERROR(Q813*R813/100,""))</x:f>
      </x:c>
      <x:c r="T813" s="55"/>
      <x:c r="U813" s="55"/>
      <x:c r="V813" s="55" t="str">
        <x:f>IF(U813="","",U813-TODAY())</x:f>
      </x:c>
      <x:c r="W813" s="55" t="str">
        <x:f>IF(AND(U813&lt;&gt;"",U813&lt;TODAY(),O813="Активен"),"ДА","")</x:f>
      </x:c>
      <x:c r="X813" s="55"/>
      <x:c r="Y813" s="55"/>
      <x:c r="Z813" s="55"/>
      <x:c r="AA813" s="55"/>
      <x:c r="AB813" s="55" t="str">
        <x:f>IF(C813="","", "Напиши " &amp; AA813 &amp; " за бизнес: " &amp; C813 &amp; ". Тип: " &amp; D813 &amp; ". Град: " &amp; E813 &amp; ". Проблем: " &amp; L813 &amp; ". Предложение: " &amp; M813 &amp; ". Етап: " &amp; N813 &amp; ". Бележки: " &amp; Y813)</x:f>
      </x:c>
      <x:c r="AC813" s="55"/>
    </x:row>
    <x:row r="814">
      <x:c r="A814" s="55"/>
      <x:c r="B814" s="55"/>
      <x:c r="C814" s="55"/>
      <x:c r="D814" s="55"/>
      <x:c r="E814" s="55"/>
      <x:c r="F814" s="55"/>
      <x:c r="G814" s="55"/>
      <x:c r="H814" s="55"/>
      <x:c r="I814" s="55"/>
      <x:c r="J814" s="55"/>
      <x:c r="K814" s="55"/>
      <x:c r="L814" s="55"/>
      <x:c r="M814" s="55"/>
      <x:c r="N814" s="55"/>
      <x:c r="O814" s="55"/>
      <x:c r="P814" s="55"/>
      <x:c r="Q814" s="55"/>
      <x:c r="R814" s="55"/>
      <x:c r="S814" s="55" t="str">
        <x:f>IF(C814="","",IFERROR(Q814*R814/100,""))</x:f>
      </x:c>
      <x:c r="T814" s="55"/>
      <x:c r="U814" s="55"/>
      <x:c r="V814" s="55" t="str">
        <x:f>IF(U814="","",U814-TODAY())</x:f>
      </x:c>
      <x:c r="W814" s="55" t="str">
        <x:f>IF(AND(U814&lt;&gt;"",U814&lt;TODAY(),O814="Активен"),"ДА","")</x:f>
      </x:c>
      <x:c r="X814" s="55"/>
      <x:c r="Y814" s="55"/>
      <x:c r="Z814" s="55"/>
      <x:c r="AA814" s="55"/>
      <x:c r="AB814" s="55" t="str">
        <x:f>IF(C814="","", "Напиши " &amp; AA814 &amp; " за бизнес: " &amp; C814 &amp; ". Тип: " &amp; D814 &amp; ". Град: " &amp; E814 &amp; ". Проблем: " &amp; L814 &amp; ". Предложение: " &amp; M814 &amp; ". Етап: " &amp; N814 &amp; ". Бележки: " &amp; Y814)</x:f>
      </x:c>
      <x:c r="AC814" s="55"/>
    </x:row>
    <x:row r="815">
      <x:c r="A815" s="55"/>
      <x:c r="B815" s="55"/>
      <x:c r="C815" s="55"/>
      <x:c r="D815" s="55"/>
      <x:c r="E815" s="55"/>
      <x:c r="F815" s="55"/>
      <x:c r="G815" s="55"/>
      <x:c r="H815" s="55"/>
      <x:c r="I815" s="55"/>
      <x:c r="J815" s="55"/>
      <x:c r="K815" s="55"/>
      <x:c r="L815" s="55"/>
      <x:c r="M815" s="55"/>
      <x:c r="N815" s="55"/>
      <x:c r="O815" s="55"/>
      <x:c r="P815" s="55"/>
      <x:c r="Q815" s="55"/>
      <x:c r="R815" s="55"/>
      <x:c r="S815" s="55" t="str">
        <x:f>IF(C815="","",IFERROR(Q815*R815/100,""))</x:f>
      </x:c>
      <x:c r="T815" s="55"/>
      <x:c r="U815" s="55"/>
      <x:c r="V815" s="55" t="str">
        <x:f>IF(U815="","",U815-TODAY())</x:f>
      </x:c>
      <x:c r="W815" s="55" t="str">
        <x:f>IF(AND(U815&lt;&gt;"",U815&lt;TODAY(),O815="Активен"),"ДА","")</x:f>
      </x:c>
      <x:c r="X815" s="55"/>
      <x:c r="Y815" s="55"/>
      <x:c r="Z815" s="55"/>
      <x:c r="AA815" s="55"/>
      <x:c r="AB815" s="55" t="str">
        <x:f>IF(C815="","", "Напиши " &amp; AA815 &amp; " за бизнес: " &amp; C815 &amp; ". Тип: " &amp; D815 &amp; ". Град: " &amp; E815 &amp; ". Проблем: " &amp; L815 &amp; ". Предложение: " &amp; M815 &amp; ". Етап: " &amp; N815 &amp; ". Бележки: " &amp; Y815)</x:f>
      </x:c>
      <x:c r="AC815" s="55"/>
    </x:row>
    <x:row r="816">
      <x:c r="A816" s="55"/>
      <x:c r="B816" s="55"/>
      <x:c r="C816" s="55"/>
      <x:c r="D816" s="55"/>
      <x:c r="E816" s="55"/>
      <x:c r="F816" s="55"/>
      <x:c r="G816" s="55"/>
      <x:c r="H816" s="55"/>
      <x:c r="I816" s="55"/>
      <x:c r="J816" s="55"/>
      <x:c r="K816" s="55"/>
      <x:c r="L816" s="55"/>
      <x:c r="M816" s="55"/>
      <x:c r="N816" s="55"/>
      <x:c r="O816" s="55"/>
      <x:c r="P816" s="55"/>
      <x:c r="Q816" s="55"/>
      <x:c r="R816" s="55"/>
      <x:c r="S816" s="55" t="str">
        <x:f>IF(C816="","",IFERROR(Q816*R816/100,""))</x:f>
      </x:c>
      <x:c r="T816" s="55"/>
      <x:c r="U816" s="55"/>
      <x:c r="V816" s="55" t="str">
        <x:f>IF(U816="","",U816-TODAY())</x:f>
      </x:c>
      <x:c r="W816" s="55" t="str">
        <x:f>IF(AND(U816&lt;&gt;"",U816&lt;TODAY(),O816="Активен"),"ДА","")</x:f>
      </x:c>
      <x:c r="X816" s="55"/>
      <x:c r="Y816" s="55"/>
      <x:c r="Z816" s="55"/>
      <x:c r="AA816" s="55"/>
      <x:c r="AB816" s="55" t="str">
        <x:f>IF(C816="","", "Напиши " &amp; AA816 &amp; " за бизнес: " &amp; C816 &amp; ". Тип: " &amp; D816 &amp; ". Град: " &amp; E816 &amp; ". Проблем: " &amp; L816 &amp; ". Предложение: " &amp; M816 &amp; ". Етап: " &amp; N816 &amp; ". Бележки: " &amp; Y816)</x:f>
      </x:c>
      <x:c r="AC816" s="55"/>
    </x:row>
    <x:row r="817">
      <x:c r="A817" s="55"/>
      <x:c r="B817" s="55"/>
      <x:c r="C817" s="55"/>
      <x:c r="D817" s="55"/>
      <x:c r="E817" s="55"/>
      <x:c r="F817" s="55"/>
      <x:c r="G817" s="55"/>
      <x:c r="H817" s="55"/>
      <x:c r="I817" s="55"/>
      <x:c r="J817" s="55"/>
      <x:c r="K817" s="55"/>
      <x:c r="L817" s="55"/>
      <x:c r="M817" s="55"/>
      <x:c r="N817" s="55"/>
      <x:c r="O817" s="55"/>
      <x:c r="P817" s="55"/>
      <x:c r="Q817" s="55"/>
      <x:c r="R817" s="55"/>
      <x:c r="S817" s="55" t="str">
        <x:f>IF(C817="","",IFERROR(Q817*R817/100,""))</x:f>
      </x:c>
      <x:c r="T817" s="55"/>
      <x:c r="U817" s="55"/>
      <x:c r="V817" s="55" t="str">
        <x:f>IF(U817="","",U817-TODAY())</x:f>
      </x:c>
      <x:c r="W817" s="55" t="str">
        <x:f>IF(AND(U817&lt;&gt;"",U817&lt;TODAY(),O817="Активен"),"ДА","")</x:f>
      </x:c>
      <x:c r="X817" s="55"/>
      <x:c r="Y817" s="55"/>
      <x:c r="Z817" s="55"/>
      <x:c r="AA817" s="55"/>
      <x:c r="AB817" s="55" t="str">
        <x:f>IF(C817="","", "Напиши " &amp; AA817 &amp; " за бизнес: " &amp; C817 &amp; ". Тип: " &amp; D817 &amp; ". Град: " &amp; E817 &amp; ". Проблем: " &amp; L817 &amp; ". Предложение: " &amp; M817 &amp; ". Етап: " &amp; N817 &amp; ". Бележки: " &amp; Y817)</x:f>
      </x:c>
      <x:c r="AC817" s="55"/>
    </x:row>
    <x:row r="818">
      <x:c r="A818" s="55"/>
      <x:c r="B818" s="55"/>
      <x:c r="C818" s="55"/>
      <x:c r="D818" s="55"/>
      <x:c r="E818" s="55"/>
      <x:c r="F818" s="55"/>
      <x:c r="G818" s="55"/>
      <x:c r="H818" s="55"/>
      <x:c r="I818" s="55"/>
      <x:c r="J818" s="55"/>
      <x:c r="K818" s="55"/>
      <x:c r="L818" s="55"/>
      <x:c r="M818" s="55"/>
      <x:c r="N818" s="55"/>
      <x:c r="O818" s="55"/>
      <x:c r="P818" s="55"/>
      <x:c r="Q818" s="55"/>
      <x:c r="R818" s="55"/>
      <x:c r="S818" s="55" t="str">
        <x:f>IF(C818="","",IFERROR(Q818*R818/100,""))</x:f>
      </x:c>
      <x:c r="T818" s="55"/>
      <x:c r="U818" s="55"/>
      <x:c r="V818" s="55" t="str">
        <x:f>IF(U818="","",U818-TODAY())</x:f>
      </x:c>
      <x:c r="W818" s="55" t="str">
        <x:f>IF(AND(U818&lt;&gt;"",U818&lt;TODAY(),O818="Активен"),"ДА","")</x:f>
      </x:c>
      <x:c r="X818" s="55"/>
      <x:c r="Y818" s="55"/>
      <x:c r="Z818" s="55"/>
      <x:c r="AA818" s="55"/>
      <x:c r="AB818" s="55" t="str">
        <x:f>IF(C818="","", "Напиши " &amp; AA818 &amp; " за бизнес: " &amp; C818 &amp; ". Тип: " &amp; D818 &amp; ". Град: " &amp; E818 &amp; ". Проблем: " &amp; L818 &amp; ". Предложение: " &amp; M818 &amp; ". Етап: " &amp; N818 &amp; ". Бележки: " &amp; Y818)</x:f>
      </x:c>
      <x:c r="AC818" s="55"/>
    </x:row>
    <x:row r="819">
      <x:c r="A819" s="55"/>
      <x:c r="B819" s="55"/>
      <x:c r="C819" s="55"/>
      <x:c r="D819" s="55"/>
      <x:c r="E819" s="55"/>
      <x:c r="F819" s="55"/>
      <x:c r="G819" s="55"/>
      <x:c r="H819" s="55"/>
      <x:c r="I819" s="55"/>
      <x:c r="J819" s="55"/>
      <x:c r="K819" s="55"/>
      <x:c r="L819" s="55"/>
      <x:c r="M819" s="55"/>
      <x:c r="N819" s="55"/>
      <x:c r="O819" s="55"/>
      <x:c r="P819" s="55"/>
      <x:c r="Q819" s="55"/>
      <x:c r="R819" s="55"/>
      <x:c r="S819" s="55" t="str">
        <x:f>IF(C819="","",IFERROR(Q819*R819/100,""))</x:f>
      </x:c>
      <x:c r="T819" s="55"/>
      <x:c r="U819" s="55"/>
      <x:c r="V819" s="55" t="str">
        <x:f>IF(U819="","",U819-TODAY())</x:f>
      </x:c>
      <x:c r="W819" s="55" t="str">
        <x:f>IF(AND(U819&lt;&gt;"",U819&lt;TODAY(),O819="Активен"),"ДА","")</x:f>
      </x:c>
      <x:c r="X819" s="55"/>
      <x:c r="Y819" s="55"/>
      <x:c r="Z819" s="55"/>
      <x:c r="AA819" s="55"/>
      <x:c r="AB819" s="55" t="str">
        <x:f>IF(C819="","", "Напиши " &amp; AA819 &amp; " за бизнес: " &amp; C819 &amp; ". Тип: " &amp; D819 &amp; ". Град: " &amp; E819 &amp; ". Проблем: " &amp; L819 &amp; ". Предложение: " &amp; M819 &amp; ". Етап: " &amp; N819 &amp; ". Бележки: " &amp; Y819)</x:f>
      </x:c>
      <x:c r="AC819" s="55"/>
    </x:row>
    <x:row r="820">
      <x:c r="A820" s="55"/>
      <x:c r="B820" s="55"/>
      <x:c r="C820" s="55"/>
      <x:c r="D820" s="55"/>
      <x:c r="E820" s="55"/>
      <x:c r="F820" s="55"/>
      <x:c r="G820" s="55"/>
      <x:c r="H820" s="55"/>
      <x:c r="I820" s="55"/>
      <x:c r="J820" s="55"/>
      <x:c r="K820" s="55"/>
      <x:c r="L820" s="55"/>
      <x:c r="M820" s="55"/>
      <x:c r="N820" s="55"/>
      <x:c r="O820" s="55"/>
      <x:c r="P820" s="55"/>
      <x:c r="Q820" s="55"/>
      <x:c r="R820" s="55"/>
      <x:c r="S820" s="55" t="str">
        <x:f>IF(C820="","",IFERROR(Q820*R820/100,""))</x:f>
      </x:c>
      <x:c r="T820" s="55"/>
      <x:c r="U820" s="55"/>
      <x:c r="V820" s="55" t="str">
        <x:f>IF(U820="","",U820-TODAY())</x:f>
      </x:c>
      <x:c r="W820" s="55" t="str">
        <x:f>IF(AND(U820&lt;&gt;"",U820&lt;TODAY(),O820="Активен"),"ДА","")</x:f>
      </x:c>
      <x:c r="X820" s="55"/>
      <x:c r="Y820" s="55"/>
      <x:c r="Z820" s="55"/>
      <x:c r="AA820" s="55"/>
      <x:c r="AB820" s="55" t="str">
        <x:f>IF(C820="","", "Напиши " &amp; AA820 &amp; " за бизнес: " &amp; C820 &amp; ". Тип: " &amp; D820 &amp; ". Град: " &amp; E820 &amp; ". Проблем: " &amp; L820 &amp; ". Предложение: " &amp; M820 &amp; ". Етап: " &amp; N820 &amp; ". Бележки: " &amp; Y820)</x:f>
      </x:c>
      <x:c r="AC820" s="55"/>
    </x:row>
    <x:row r="821">
      <x:c r="A821" s="55"/>
      <x:c r="B821" s="55"/>
      <x:c r="C821" s="55"/>
      <x:c r="D821" s="55"/>
      <x:c r="E821" s="55"/>
      <x:c r="F821" s="55"/>
      <x:c r="G821" s="55"/>
      <x:c r="H821" s="55"/>
      <x:c r="I821" s="55"/>
      <x:c r="J821" s="55"/>
      <x:c r="K821" s="55"/>
      <x:c r="L821" s="55"/>
      <x:c r="M821" s="55"/>
      <x:c r="N821" s="55"/>
      <x:c r="O821" s="55"/>
      <x:c r="P821" s="55"/>
      <x:c r="Q821" s="55"/>
      <x:c r="R821" s="55"/>
      <x:c r="S821" s="55" t="str">
        <x:f>IF(C821="","",IFERROR(Q821*R821/100,""))</x:f>
      </x:c>
      <x:c r="T821" s="55"/>
      <x:c r="U821" s="55"/>
      <x:c r="V821" s="55" t="str">
        <x:f>IF(U821="","",U821-TODAY())</x:f>
      </x:c>
      <x:c r="W821" s="55" t="str">
        <x:f>IF(AND(U821&lt;&gt;"",U821&lt;TODAY(),O821="Активен"),"ДА","")</x:f>
      </x:c>
      <x:c r="X821" s="55"/>
      <x:c r="Y821" s="55"/>
      <x:c r="Z821" s="55"/>
      <x:c r="AA821" s="55"/>
      <x:c r="AB821" s="55" t="str">
        <x:f>IF(C821="","", "Напиши " &amp; AA821 &amp; " за бизнес: " &amp; C821 &amp; ". Тип: " &amp; D821 &amp; ". Град: " &amp; E821 &amp; ". Проблем: " &amp; L821 &amp; ". Предложение: " &amp; M821 &amp; ". Етап: " &amp; N821 &amp; ". Бележки: " &amp; Y821)</x:f>
      </x:c>
      <x:c r="AC821" s="55"/>
    </x:row>
    <x:row r="822">
      <x:c r="A822" s="55"/>
      <x:c r="B822" s="55"/>
      <x:c r="C822" s="55"/>
      <x:c r="D822" s="55"/>
      <x:c r="E822" s="55"/>
      <x:c r="F822" s="55"/>
      <x:c r="G822" s="55"/>
      <x:c r="H822" s="55"/>
      <x:c r="I822" s="55"/>
      <x:c r="J822" s="55"/>
      <x:c r="K822" s="55"/>
      <x:c r="L822" s="55"/>
      <x:c r="M822" s="55"/>
      <x:c r="N822" s="55"/>
      <x:c r="O822" s="55"/>
      <x:c r="P822" s="55"/>
      <x:c r="Q822" s="55"/>
      <x:c r="R822" s="55"/>
      <x:c r="S822" s="55" t="str">
        <x:f>IF(C822="","",IFERROR(Q822*R822/100,""))</x:f>
      </x:c>
      <x:c r="T822" s="55"/>
      <x:c r="U822" s="55"/>
      <x:c r="V822" s="55" t="str">
        <x:f>IF(U822="","",U822-TODAY())</x:f>
      </x:c>
      <x:c r="W822" s="55" t="str">
        <x:f>IF(AND(U822&lt;&gt;"",U822&lt;TODAY(),O822="Активен"),"ДА","")</x:f>
      </x:c>
      <x:c r="X822" s="55"/>
      <x:c r="Y822" s="55"/>
      <x:c r="Z822" s="55"/>
      <x:c r="AA822" s="55"/>
      <x:c r="AB822" s="55" t="str">
        <x:f>IF(C822="","", "Напиши " &amp; AA822 &amp; " за бизнес: " &amp; C822 &amp; ". Тип: " &amp; D822 &amp; ". Град: " &amp; E822 &amp; ". Проблем: " &amp; L822 &amp; ". Предложение: " &amp; M822 &amp; ". Етап: " &amp; N822 &amp; ". Бележки: " &amp; Y822)</x:f>
      </x:c>
      <x:c r="AC822" s="55"/>
    </x:row>
    <x:row r="823">
      <x:c r="A823" s="55"/>
      <x:c r="B823" s="55"/>
      <x:c r="C823" s="55"/>
      <x:c r="D823" s="55"/>
      <x:c r="E823" s="55"/>
      <x:c r="F823" s="55"/>
      <x:c r="G823" s="55"/>
      <x:c r="H823" s="55"/>
      <x:c r="I823" s="55"/>
      <x:c r="J823" s="55"/>
      <x:c r="K823" s="55"/>
      <x:c r="L823" s="55"/>
      <x:c r="M823" s="55"/>
      <x:c r="N823" s="55"/>
      <x:c r="O823" s="55"/>
      <x:c r="P823" s="55"/>
      <x:c r="Q823" s="55"/>
      <x:c r="R823" s="55"/>
      <x:c r="S823" s="55" t="str">
        <x:f>IF(C823="","",IFERROR(Q823*R823/100,""))</x:f>
      </x:c>
      <x:c r="T823" s="55"/>
      <x:c r="U823" s="55"/>
      <x:c r="V823" s="55" t="str">
        <x:f>IF(U823="","",U823-TODAY())</x:f>
      </x:c>
      <x:c r="W823" s="55" t="str">
        <x:f>IF(AND(U823&lt;&gt;"",U823&lt;TODAY(),O823="Активен"),"ДА","")</x:f>
      </x:c>
      <x:c r="X823" s="55"/>
      <x:c r="Y823" s="55"/>
      <x:c r="Z823" s="55"/>
      <x:c r="AA823" s="55"/>
      <x:c r="AB823" s="55" t="str">
        <x:f>IF(C823="","", "Напиши " &amp; AA823 &amp; " за бизнес: " &amp; C823 &amp; ". Тип: " &amp; D823 &amp; ". Град: " &amp; E823 &amp; ". Проблем: " &amp; L823 &amp; ". Предложение: " &amp; M823 &amp; ". Етап: " &amp; N823 &amp; ". Бележки: " &amp; Y823)</x:f>
      </x:c>
      <x:c r="AC823" s="55"/>
    </x:row>
    <x:row r="824">
      <x:c r="A824" s="55"/>
      <x:c r="B824" s="55"/>
      <x:c r="C824" s="55"/>
      <x:c r="D824" s="55"/>
      <x:c r="E824" s="55"/>
      <x:c r="F824" s="55"/>
      <x:c r="G824" s="55"/>
      <x:c r="H824" s="55"/>
      <x:c r="I824" s="55"/>
      <x:c r="J824" s="55"/>
      <x:c r="K824" s="55"/>
      <x:c r="L824" s="55"/>
      <x:c r="M824" s="55"/>
      <x:c r="N824" s="55"/>
      <x:c r="O824" s="55"/>
      <x:c r="P824" s="55"/>
      <x:c r="Q824" s="55"/>
      <x:c r="R824" s="55"/>
      <x:c r="S824" s="55" t="str">
        <x:f>IF(C824="","",IFERROR(Q824*R824/100,""))</x:f>
      </x:c>
      <x:c r="T824" s="55"/>
      <x:c r="U824" s="55"/>
      <x:c r="V824" s="55" t="str">
        <x:f>IF(U824="","",U824-TODAY())</x:f>
      </x:c>
      <x:c r="W824" s="55" t="str">
        <x:f>IF(AND(U824&lt;&gt;"",U824&lt;TODAY(),O824="Активен"),"ДА","")</x:f>
      </x:c>
      <x:c r="X824" s="55"/>
      <x:c r="Y824" s="55"/>
      <x:c r="Z824" s="55"/>
      <x:c r="AA824" s="55"/>
      <x:c r="AB824" s="55" t="str">
        <x:f>IF(C824="","", "Напиши " &amp; AA824 &amp; " за бизнес: " &amp; C824 &amp; ". Тип: " &amp; D824 &amp; ". Град: " &amp; E824 &amp; ". Проблем: " &amp; L824 &amp; ". Предложение: " &amp; M824 &amp; ". Етап: " &amp; N824 &amp; ". Бележки: " &amp; Y824)</x:f>
      </x:c>
      <x:c r="AC824" s="55"/>
    </x:row>
    <x:row r="825">
      <x:c r="A825" s="55"/>
      <x:c r="B825" s="55"/>
      <x:c r="C825" s="55"/>
      <x:c r="D825" s="55"/>
      <x:c r="E825" s="55"/>
      <x:c r="F825" s="55"/>
      <x:c r="G825" s="55"/>
      <x:c r="H825" s="55"/>
      <x:c r="I825" s="55"/>
      <x:c r="J825" s="55"/>
      <x:c r="K825" s="55"/>
      <x:c r="L825" s="55"/>
      <x:c r="M825" s="55"/>
      <x:c r="N825" s="55"/>
      <x:c r="O825" s="55"/>
      <x:c r="P825" s="55"/>
      <x:c r="Q825" s="55"/>
      <x:c r="R825" s="55"/>
      <x:c r="S825" s="55" t="str">
        <x:f>IF(C825="","",IFERROR(Q825*R825/100,""))</x:f>
      </x:c>
      <x:c r="T825" s="55"/>
      <x:c r="U825" s="55"/>
      <x:c r="V825" s="55" t="str">
        <x:f>IF(U825="","",U825-TODAY())</x:f>
      </x:c>
      <x:c r="W825" s="55" t="str">
        <x:f>IF(AND(U825&lt;&gt;"",U825&lt;TODAY(),O825="Активен"),"ДА","")</x:f>
      </x:c>
      <x:c r="X825" s="55"/>
      <x:c r="Y825" s="55"/>
      <x:c r="Z825" s="55"/>
      <x:c r="AA825" s="55"/>
      <x:c r="AB825" s="55" t="str">
        <x:f>IF(C825="","", "Напиши " &amp; AA825 &amp; " за бизнес: " &amp; C825 &amp; ". Тип: " &amp; D825 &amp; ". Град: " &amp; E825 &amp; ". Проблем: " &amp; L825 &amp; ". Предложение: " &amp; M825 &amp; ". Етап: " &amp; N825 &amp; ". Бележки: " &amp; Y825)</x:f>
      </x:c>
      <x:c r="AC825" s="55"/>
    </x:row>
    <x:row r="826">
      <x:c r="A826" s="55"/>
      <x:c r="B826" s="55"/>
      <x:c r="C826" s="55"/>
      <x:c r="D826" s="55"/>
      <x:c r="E826" s="55"/>
      <x:c r="F826" s="55"/>
      <x:c r="G826" s="55"/>
      <x:c r="H826" s="55"/>
      <x:c r="I826" s="55"/>
      <x:c r="J826" s="55"/>
      <x:c r="K826" s="55"/>
      <x:c r="L826" s="55"/>
      <x:c r="M826" s="55"/>
      <x:c r="N826" s="55"/>
      <x:c r="O826" s="55"/>
      <x:c r="P826" s="55"/>
      <x:c r="Q826" s="55"/>
      <x:c r="R826" s="55"/>
      <x:c r="S826" s="55" t="str">
        <x:f>IF(C826="","",IFERROR(Q826*R826/100,""))</x:f>
      </x:c>
      <x:c r="T826" s="55"/>
      <x:c r="U826" s="55"/>
      <x:c r="V826" s="55" t="str">
        <x:f>IF(U826="","",U826-TODAY())</x:f>
      </x:c>
      <x:c r="W826" s="55" t="str">
        <x:f>IF(AND(U826&lt;&gt;"",U826&lt;TODAY(),O826="Активен"),"ДА","")</x:f>
      </x:c>
      <x:c r="X826" s="55"/>
      <x:c r="Y826" s="55"/>
      <x:c r="Z826" s="55"/>
      <x:c r="AA826" s="55"/>
      <x:c r="AB826" s="55" t="str">
        <x:f>IF(C826="","", "Напиши " &amp; AA826 &amp; " за бизнес: " &amp; C826 &amp; ". Тип: " &amp; D826 &amp; ". Град: " &amp; E826 &amp; ". Проблем: " &amp; L826 &amp; ". Предложение: " &amp; M826 &amp; ". Етап: " &amp; N826 &amp; ". Бележки: " &amp; Y826)</x:f>
      </x:c>
      <x:c r="AC826" s="55"/>
    </x:row>
    <x:row r="827">
      <x:c r="A827" s="55"/>
      <x:c r="B827" s="55"/>
      <x:c r="C827" s="55"/>
      <x:c r="D827" s="55"/>
      <x:c r="E827" s="55"/>
      <x:c r="F827" s="55"/>
      <x:c r="G827" s="55"/>
      <x:c r="H827" s="55"/>
      <x:c r="I827" s="55"/>
      <x:c r="J827" s="55"/>
      <x:c r="K827" s="55"/>
      <x:c r="L827" s="55"/>
      <x:c r="M827" s="55"/>
      <x:c r="N827" s="55"/>
      <x:c r="O827" s="55"/>
      <x:c r="P827" s="55"/>
      <x:c r="Q827" s="55"/>
      <x:c r="R827" s="55"/>
      <x:c r="S827" s="55" t="str">
        <x:f>IF(C827="","",IFERROR(Q827*R827/100,""))</x:f>
      </x:c>
      <x:c r="T827" s="55"/>
      <x:c r="U827" s="55"/>
      <x:c r="V827" s="55" t="str">
        <x:f>IF(U827="","",U827-TODAY())</x:f>
      </x:c>
      <x:c r="W827" s="55" t="str">
        <x:f>IF(AND(U827&lt;&gt;"",U827&lt;TODAY(),O827="Активен"),"ДА","")</x:f>
      </x:c>
      <x:c r="X827" s="55"/>
      <x:c r="Y827" s="55"/>
      <x:c r="Z827" s="55"/>
      <x:c r="AA827" s="55"/>
      <x:c r="AB827" s="55" t="str">
        <x:f>IF(C827="","", "Напиши " &amp; AA827 &amp; " за бизнес: " &amp; C827 &amp; ". Тип: " &amp; D827 &amp; ". Град: " &amp; E827 &amp; ". Проблем: " &amp; L827 &amp; ". Предложение: " &amp; M827 &amp; ". Етап: " &amp; N827 &amp; ". Бележки: " &amp; Y827)</x:f>
      </x:c>
      <x:c r="AC827" s="55"/>
    </x:row>
    <x:row r="828">
      <x:c r="A828" s="55"/>
      <x:c r="B828" s="55"/>
      <x:c r="C828" s="55"/>
      <x:c r="D828" s="55"/>
      <x:c r="E828" s="55"/>
      <x:c r="F828" s="55"/>
      <x:c r="G828" s="55"/>
      <x:c r="H828" s="55"/>
      <x:c r="I828" s="55"/>
      <x:c r="J828" s="55"/>
      <x:c r="K828" s="55"/>
      <x:c r="L828" s="55"/>
      <x:c r="M828" s="55"/>
      <x:c r="N828" s="55"/>
      <x:c r="O828" s="55"/>
      <x:c r="P828" s="55"/>
      <x:c r="Q828" s="55"/>
      <x:c r="R828" s="55"/>
      <x:c r="S828" s="55" t="str">
        <x:f>IF(C828="","",IFERROR(Q828*R828/100,""))</x:f>
      </x:c>
      <x:c r="T828" s="55"/>
      <x:c r="U828" s="55"/>
      <x:c r="V828" s="55" t="str">
        <x:f>IF(U828="","",U828-TODAY())</x:f>
      </x:c>
      <x:c r="W828" s="55" t="str">
        <x:f>IF(AND(U828&lt;&gt;"",U828&lt;TODAY(),O828="Активен"),"ДА","")</x:f>
      </x:c>
      <x:c r="X828" s="55"/>
      <x:c r="Y828" s="55"/>
      <x:c r="Z828" s="55"/>
      <x:c r="AA828" s="55"/>
      <x:c r="AB828" s="55" t="str">
        <x:f>IF(C828="","", "Напиши " &amp; AA828 &amp; " за бизнес: " &amp; C828 &amp; ". Тип: " &amp; D828 &amp; ". Град: " &amp; E828 &amp; ". Проблем: " &amp; L828 &amp; ". Предложение: " &amp; M828 &amp; ". Етап: " &amp; N828 &amp; ". Бележки: " &amp; Y828)</x:f>
      </x:c>
      <x:c r="AC828" s="55"/>
    </x:row>
    <x:row r="829">
      <x:c r="A829" s="55"/>
      <x:c r="B829" s="55"/>
      <x:c r="C829" s="55"/>
      <x:c r="D829" s="55"/>
      <x:c r="E829" s="55"/>
      <x:c r="F829" s="55"/>
      <x:c r="G829" s="55"/>
      <x:c r="H829" s="55"/>
      <x:c r="I829" s="55"/>
      <x:c r="J829" s="55"/>
      <x:c r="K829" s="55"/>
      <x:c r="L829" s="55"/>
      <x:c r="M829" s="55"/>
      <x:c r="N829" s="55"/>
      <x:c r="O829" s="55"/>
      <x:c r="P829" s="55"/>
      <x:c r="Q829" s="55"/>
      <x:c r="R829" s="55"/>
      <x:c r="S829" s="55" t="str">
        <x:f>IF(C829="","",IFERROR(Q829*R829/100,""))</x:f>
      </x:c>
      <x:c r="T829" s="55"/>
      <x:c r="U829" s="55"/>
      <x:c r="V829" s="55" t="str">
        <x:f>IF(U829="","",U829-TODAY())</x:f>
      </x:c>
      <x:c r="W829" s="55" t="str">
        <x:f>IF(AND(U829&lt;&gt;"",U829&lt;TODAY(),O829="Активен"),"ДА","")</x:f>
      </x:c>
      <x:c r="X829" s="55"/>
      <x:c r="Y829" s="55"/>
      <x:c r="Z829" s="55"/>
      <x:c r="AA829" s="55"/>
      <x:c r="AB829" s="55" t="str">
        <x:f>IF(C829="","", "Напиши " &amp; AA829 &amp; " за бизнес: " &amp; C829 &amp; ". Тип: " &amp; D829 &amp; ". Град: " &amp; E829 &amp; ". Проблем: " &amp; L829 &amp; ". Предложение: " &amp; M829 &amp; ". Етап: " &amp; N829 &amp; ". Бележки: " &amp; Y829)</x:f>
      </x:c>
      <x:c r="AC829" s="55"/>
    </x:row>
    <x:row r="830">
      <x:c r="A830" s="55"/>
      <x:c r="B830" s="55"/>
      <x:c r="C830" s="55"/>
      <x:c r="D830" s="55"/>
      <x:c r="E830" s="55"/>
      <x:c r="F830" s="55"/>
      <x:c r="G830" s="55"/>
      <x:c r="H830" s="55"/>
      <x:c r="I830" s="55"/>
      <x:c r="J830" s="55"/>
      <x:c r="K830" s="55"/>
      <x:c r="L830" s="55"/>
      <x:c r="M830" s="55"/>
      <x:c r="N830" s="55"/>
      <x:c r="O830" s="55"/>
      <x:c r="P830" s="55"/>
      <x:c r="Q830" s="55"/>
      <x:c r="R830" s="55"/>
      <x:c r="S830" s="55" t="str">
        <x:f>IF(C830="","",IFERROR(Q830*R830/100,""))</x:f>
      </x:c>
      <x:c r="T830" s="55"/>
      <x:c r="U830" s="55"/>
      <x:c r="V830" s="55" t="str">
        <x:f>IF(U830="","",U830-TODAY())</x:f>
      </x:c>
      <x:c r="W830" s="55" t="str">
        <x:f>IF(AND(U830&lt;&gt;"",U830&lt;TODAY(),O830="Активен"),"ДА","")</x:f>
      </x:c>
      <x:c r="X830" s="55"/>
      <x:c r="Y830" s="55"/>
      <x:c r="Z830" s="55"/>
      <x:c r="AA830" s="55"/>
      <x:c r="AB830" s="55" t="str">
        <x:f>IF(C830="","", "Напиши " &amp; AA830 &amp; " за бизнес: " &amp; C830 &amp; ". Тип: " &amp; D830 &amp; ". Град: " &amp; E830 &amp; ". Проблем: " &amp; L830 &amp; ". Предложение: " &amp; M830 &amp; ". Етап: " &amp; N830 &amp; ". Бележки: " &amp; Y830)</x:f>
      </x:c>
      <x:c r="AC830" s="55"/>
    </x:row>
    <x:row r="831">
      <x:c r="A831" s="55"/>
      <x:c r="B831" s="55"/>
      <x:c r="C831" s="55"/>
      <x:c r="D831" s="55"/>
      <x:c r="E831" s="55"/>
      <x:c r="F831" s="55"/>
      <x:c r="G831" s="55"/>
      <x:c r="H831" s="55"/>
      <x:c r="I831" s="55"/>
      <x:c r="J831" s="55"/>
      <x:c r="K831" s="55"/>
      <x:c r="L831" s="55"/>
      <x:c r="M831" s="55"/>
      <x:c r="N831" s="55"/>
      <x:c r="O831" s="55"/>
      <x:c r="P831" s="55"/>
      <x:c r="Q831" s="55"/>
      <x:c r="R831" s="55"/>
      <x:c r="S831" s="55" t="str">
        <x:f>IF(C831="","",IFERROR(Q831*R831/100,""))</x:f>
      </x:c>
      <x:c r="T831" s="55"/>
      <x:c r="U831" s="55"/>
      <x:c r="V831" s="55" t="str">
        <x:f>IF(U831="","",U831-TODAY())</x:f>
      </x:c>
      <x:c r="W831" s="55" t="str">
        <x:f>IF(AND(U831&lt;&gt;"",U831&lt;TODAY(),O831="Активен"),"ДА","")</x:f>
      </x:c>
      <x:c r="X831" s="55"/>
      <x:c r="Y831" s="55"/>
      <x:c r="Z831" s="55"/>
      <x:c r="AA831" s="55"/>
      <x:c r="AB831" s="55" t="str">
        <x:f>IF(C831="","", "Напиши " &amp; AA831 &amp; " за бизнес: " &amp; C831 &amp; ". Тип: " &amp; D831 &amp; ". Град: " &amp; E831 &amp; ". Проблем: " &amp; L831 &amp; ". Предложение: " &amp; M831 &amp; ". Етап: " &amp; N831 &amp; ". Бележки: " &amp; Y831)</x:f>
      </x:c>
      <x:c r="AC831" s="55"/>
    </x:row>
    <x:row r="832">
      <x:c r="A832" s="55"/>
      <x:c r="B832" s="55"/>
      <x:c r="C832" s="55"/>
      <x:c r="D832" s="55"/>
      <x:c r="E832" s="55"/>
      <x:c r="F832" s="55"/>
      <x:c r="G832" s="55"/>
      <x:c r="H832" s="55"/>
      <x:c r="I832" s="55"/>
      <x:c r="J832" s="55"/>
      <x:c r="K832" s="55"/>
      <x:c r="L832" s="55"/>
      <x:c r="M832" s="55"/>
      <x:c r="N832" s="55"/>
      <x:c r="O832" s="55"/>
      <x:c r="P832" s="55"/>
      <x:c r="Q832" s="55"/>
      <x:c r="R832" s="55"/>
      <x:c r="S832" s="55" t="str">
        <x:f>IF(C832="","",IFERROR(Q832*R832/100,""))</x:f>
      </x:c>
      <x:c r="T832" s="55"/>
      <x:c r="U832" s="55"/>
      <x:c r="V832" s="55" t="str">
        <x:f>IF(U832="","",U832-TODAY())</x:f>
      </x:c>
      <x:c r="W832" s="55" t="str">
        <x:f>IF(AND(U832&lt;&gt;"",U832&lt;TODAY(),O832="Активен"),"ДА","")</x:f>
      </x:c>
      <x:c r="X832" s="55"/>
      <x:c r="Y832" s="55"/>
      <x:c r="Z832" s="55"/>
      <x:c r="AA832" s="55"/>
      <x:c r="AB832" s="55" t="str">
        <x:f>IF(C832="","", "Напиши " &amp; AA832 &amp; " за бизнес: " &amp; C832 &amp; ". Тип: " &amp; D832 &amp; ". Град: " &amp; E832 &amp; ". Проблем: " &amp; L832 &amp; ". Предложение: " &amp; M832 &amp; ". Етап: " &amp; N832 &amp; ". Бележки: " &amp; Y832)</x:f>
      </x:c>
      <x:c r="AC832" s="55"/>
    </x:row>
    <x:row r="833">
      <x:c r="A833" s="55"/>
      <x:c r="B833" s="55"/>
      <x:c r="C833" s="55"/>
      <x:c r="D833" s="55"/>
      <x:c r="E833" s="55"/>
      <x:c r="F833" s="55"/>
      <x:c r="G833" s="55"/>
      <x:c r="H833" s="55"/>
      <x:c r="I833" s="55"/>
      <x:c r="J833" s="55"/>
      <x:c r="K833" s="55"/>
      <x:c r="L833" s="55"/>
      <x:c r="M833" s="55"/>
      <x:c r="N833" s="55"/>
      <x:c r="O833" s="55"/>
      <x:c r="P833" s="55"/>
      <x:c r="Q833" s="55"/>
      <x:c r="R833" s="55"/>
      <x:c r="S833" s="55" t="str">
        <x:f>IF(C833="","",IFERROR(Q833*R833/100,""))</x:f>
      </x:c>
      <x:c r="T833" s="55"/>
      <x:c r="U833" s="55"/>
      <x:c r="V833" s="55" t="str">
        <x:f>IF(U833="","",U833-TODAY())</x:f>
      </x:c>
      <x:c r="W833" s="55" t="str">
        <x:f>IF(AND(U833&lt;&gt;"",U833&lt;TODAY(),O833="Активен"),"ДА","")</x:f>
      </x:c>
      <x:c r="X833" s="55"/>
      <x:c r="Y833" s="55"/>
      <x:c r="Z833" s="55"/>
      <x:c r="AA833" s="55"/>
      <x:c r="AB833" s="55" t="str">
        <x:f>IF(C833="","", "Напиши " &amp; AA833 &amp; " за бизнес: " &amp; C833 &amp; ". Тип: " &amp; D833 &amp; ". Град: " &amp; E833 &amp; ". Проблем: " &amp; L833 &amp; ". Предложение: " &amp; M833 &amp; ". Етап: " &amp; N833 &amp; ". Бележки: " &amp; Y833)</x:f>
      </x:c>
      <x:c r="AC833" s="55"/>
    </x:row>
    <x:row r="834">
      <x:c r="A834" s="55"/>
      <x:c r="B834" s="55"/>
      <x:c r="C834" s="55"/>
      <x:c r="D834" s="55"/>
      <x:c r="E834" s="55"/>
      <x:c r="F834" s="55"/>
      <x:c r="G834" s="55"/>
      <x:c r="H834" s="55"/>
      <x:c r="I834" s="55"/>
      <x:c r="J834" s="55"/>
      <x:c r="K834" s="55"/>
      <x:c r="L834" s="55"/>
      <x:c r="M834" s="55"/>
      <x:c r="N834" s="55"/>
      <x:c r="O834" s="55"/>
      <x:c r="P834" s="55"/>
      <x:c r="Q834" s="55"/>
      <x:c r="R834" s="55"/>
      <x:c r="S834" s="55" t="str">
        <x:f>IF(C834="","",IFERROR(Q834*R834/100,""))</x:f>
      </x:c>
      <x:c r="T834" s="55"/>
      <x:c r="U834" s="55"/>
      <x:c r="V834" s="55" t="str">
        <x:f>IF(U834="","",U834-TODAY())</x:f>
      </x:c>
      <x:c r="W834" s="55" t="str">
        <x:f>IF(AND(U834&lt;&gt;"",U834&lt;TODAY(),O834="Активен"),"ДА","")</x:f>
      </x:c>
      <x:c r="X834" s="55"/>
      <x:c r="Y834" s="55"/>
      <x:c r="Z834" s="55"/>
      <x:c r="AA834" s="55"/>
      <x:c r="AB834" s="55" t="str">
        <x:f>IF(C834="","", "Напиши " &amp; AA834 &amp; " за бизнес: " &amp; C834 &amp; ". Тип: " &amp; D834 &amp; ". Град: " &amp; E834 &amp; ". Проблем: " &amp; L834 &amp; ". Предложение: " &amp; M834 &amp; ". Етап: " &amp; N834 &amp; ". Бележки: " &amp; Y834)</x:f>
      </x:c>
      <x:c r="AC834" s="55"/>
    </x:row>
    <x:row r="835">
      <x:c r="A835" s="55"/>
      <x:c r="B835" s="55"/>
      <x:c r="C835" s="55"/>
      <x:c r="D835" s="55"/>
      <x:c r="E835" s="55"/>
      <x:c r="F835" s="55"/>
      <x:c r="G835" s="55"/>
      <x:c r="H835" s="55"/>
      <x:c r="I835" s="55"/>
      <x:c r="J835" s="55"/>
      <x:c r="K835" s="55"/>
      <x:c r="L835" s="55"/>
      <x:c r="M835" s="55"/>
      <x:c r="N835" s="55"/>
      <x:c r="O835" s="55"/>
      <x:c r="P835" s="55"/>
      <x:c r="Q835" s="55"/>
      <x:c r="R835" s="55"/>
      <x:c r="S835" s="55" t="str">
        <x:f>IF(C835="","",IFERROR(Q835*R835/100,""))</x:f>
      </x:c>
      <x:c r="T835" s="55"/>
      <x:c r="U835" s="55"/>
      <x:c r="V835" s="55" t="str">
        <x:f>IF(U835="","",U835-TODAY())</x:f>
      </x:c>
      <x:c r="W835" s="55" t="str">
        <x:f>IF(AND(U835&lt;&gt;"",U835&lt;TODAY(),O835="Активен"),"ДА","")</x:f>
      </x:c>
      <x:c r="X835" s="55"/>
      <x:c r="Y835" s="55"/>
      <x:c r="Z835" s="55"/>
      <x:c r="AA835" s="55"/>
      <x:c r="AB835" s="55" t="str">
        <x:f>IF(C835="","", "Напиши " &amp; AA835 &amp; " за бизнес: " &amp; C835 &amp; ". Тип: " &amp; D835 &amp; ". Град: " &amp; E835 &amp; ". Проблем: " &amp; L835 &amp; ". Предложение: " &amp; M835 &amp; ". Етап: " &amp; N835 &amp; ". Бележки: " &amp; Y835)</x:f>
      </x:c>
      <x:c r="AC835" s="55"/>
    </x:row>
    <x:row r="836">
      <x:c r="A836" s="55"/>
      <x:c r="B836" s="55"/>
      <x:c r="C836" s="55"/>
      <x:c r="D836" s="55"/>
      <x:c r="E836" s="55"/>
      <x:c r="F836" s="55"/>
      <x:c r="G836" s="55"/>
      <x:c r="H836" s="55"/>
      <x:c r="I836" s="55"/>
      <x:c r="J836" s="55"/>
      <x:c r="K836" s="55"/>
      <x:c r="L836" s="55"/>
      <x:c r="M836" s="55"/>
      <x:c r="N836" s="55"/>
      <x:c r="O836" s="55"/>
      <x:c r="P836" s="55"/>
      <x:c r="Q836" s="55"/>
      <x:c r="R836" s="55"/>
      <x:c r="S836" s="55" t="str">
        <x:f>IF(C836="","",IFERROR(Q836*R836/100,""))</x:f>
      </x:c>
      <x:c r="T836" s="55"/>
      <x:c r="U836" s="55"/>
      <x:c r="V836" s="55" t="str">
        <x:f>IF(U836="","",U836-TODAY())</x:f>
      </x:c>
      <x:c r="W836" s="55" t="str">
        <x:f>IF(AND(U836&lt;&gt;"",U836&lt;TODAY(),O836="Активен"),"ДА","")</x:f>
      </x:c>
      <x:c r="X836" s="55"/>
      <x:c r="Y836" s="55"/>
      <x:c r="Z836" s="55"/>
      <x:c r="AA836" s="55"/>
      <x:c r="AB836" s="55" t="str">
        <x:f>IF(C836="","", "Напиши " &amp; AA836 &amp; " за бизнес: " &amp; C836 &amp; ". Тип: " &amp; D836 &amp; ". Град: " &amp; E836 &amp; ". Проблем: " &amp; L836 &amp; ". Предложение: " &amp; M836 &amp; ". Етап: " &amp; N836 &amp; ". Бележки: " &amp; Y836)</x:f>
      </x:c>
      <x:c r="AC836" s="55"/>
    </x:row>
    <x:row r="837">
      <x:c r="A837" s="55"/>
      <x:c r="B837" s="55"/>
      <x:c r="C837" s="55"/>
      <x:c r="D837" s="55"/>
      <x:c r="E837" s="55"/>
      <x:c r="F837" s="55"/>
      <x:c r="G837" s="55"/>
      <x:c r="H837" s="55"/>
      <x:c r="I837" s="55"/>
      <x:c r="J837" s="55"/>
      <x:c r="K837" s="55"/>
      <x:c r="L837" s="55"/>
      <x:c r="M837" s="55"/>
      <x:c r="N837" s="55"/>
      <x:c r="O837" s="55"/>
      <x:c r="P837" s="55"/>
      <x:c r="Q837" s="55"/>
      <x:c r="R837" s="55"/>
      <x:c r="S837" s="55" t="str">
        <x:f>IF(C837="","",IFERROR(Q837*R837/100,""))</x:f>
      </x:c>
      <x:c r="T837" s="55"/>
      <x:c r="U837" s="55"/>
      <x:c r="V837" s="55" t="str">
        <x:f>IF(U837="","",U837-TODAY())</x:f>
      </x:c>
      <x:c r="W837" s="55" t="str">
        <x:f>IF(AND(U837&lt;&gt;"",U837&lt;TODAY(),O837="Активен"),"ДА","")</x:f>
      </x:c>
      <x:c r="X837" s="55"/>
      <x:c r="Y837" s="55"/>
      <x:c r="Z837" s="55"/>
      <x:c r="AA837" s="55"/>
      <x:c r="AB837" s="55" t="str">
        <x:f>IF(C837="","", "Напиши " &amp; AA837 &amp; " за бизнес: " &amp; C837 &amp; ". Тип: " &amp; D837 &amp; ". Град: " &amp; E837 &amp; ". Проблем: " &amp; L837 &amp; ". Предложение: " &amp; M837 &amp; ". Етап: " &amp; N837 &amp; ". Бележки: " &amp; Y837)</x:f>
      </x:c>
      <x:c r="AC837" s="55"/>
    </x:row>
    <x:row r="838">
      <x:c r="A838" s="55"/>
      <x:c r="B838" s="55"/>
      <x:c r="C838" s="55"/>
      <x:c r="D838" s="55"/>
      <x:c r="E838" s="55"/>
      <x:c r="F838" s="55"/>
      <x:c r="G838" s="55"/>
      <x:c r="H838" s="55"/>
      <x:c r="I838" s="55"/>
      <x:c r="J838" s="55"/>
      <x:c r="K838" s="55"/>
      <x:c r="L838" s="55"/>
      <x:c r="M838" s="55"/>
      <x:c r="N838" s="55"/>
      <x:c r="O838" s="55"/>
      <x:c r="P838" s="55"/>
      <x:c r="Q838" s="55"/>
      <x:c r="R838" s="55"/>
      <x:c r="S838" s="55" t="str">
        <x:f>IF(C838="","",IFERROR(Q838*R838/100,""))</x:f>
      </x:c>
      <x:c r="T838" s="55"/>
      <x:c r="U838" s="55"/>
      <x:c r="V838" s="55" t="str">
        <x:f>IF(U838="","",U838-TODAY())</x:f>
      </x:c>
      <x:c r="W838" s="55" t="str">
        <x:f>IF(AND(U838&lt;&gt;"",U838&lt;TODAY(),O838="Активен"),"ДА","")</x:f>
      </x:c>
      <x:c r="X838" s="55"/>
      <x:c r="Y838" s="55"/>
      <x:c r="Z838" s="55"/>
      <x:c r="AA838" s="55"/>
      <x:c r="AB838" s="55" t="str">
        <x:f>IF(C838="","", "Напиши " &amp; AA838 &amp; " за бизнес: " &amp; C838 &amp; ". Тип: " &amp; D838 &amp; ". Град: " &amp; E838 &amp; ". Проблем: " &amp; L838 &amp; ". Предложение: " &amp; M838 &amp; ". Етап: " &amp; N838 &amp; ". Бележки: " &amp; Y838)</x:f>
      </x:c>
      <x:c r="AC838" s="55"/>
    </x:row>
    <x:row r="839">
      <x:c r="A839" s="55"/>
      <x:c r="B839" s="55"/>
      <x:c r="C839" s="55"/>
      <x:c r="D839" s="55"/>
      <x:c r="E839" s="55"/>
      <x:c r="F839" s="55"/>
      <x:c r="G839" s="55"/>
      <x:c r="H839" s="55"/>
      <x:c r="I839" s="55"/>
      <x:c r="J839" s="55"/>
      <x:c r="K839" s="55"/>
      <x:c r="L839" s="55"/>
      <x:c r="M839" s="55"/>
      <x:c r="N839" s="55"/>
      <x:c r="O839" s="55"/>
      <x:c r="P839" s="55"/>
      <x:c r="Q839" s="55"/>
      <x:c r="R839" s="55"/>
      <x:c r="S839" s="55" t="str">
        <x:f>IF(C839="","",IFERROR(Q839*R839/100,""))</x:f>
      </x:c>
      <x:c r="T839" s="55"/>
      <x:c r="U839" s="55"/>
      <x:c r="V839" s="55" t="str">
        <x:f>IF(U839="","",U839-TODAY())</x:f>
      </x:c>
      <x:c r="W839" s="55" t="str">
        <x:f>IF(AND(U839&lt;&gt;"",U839&lt;TODAY(),O839="Активен"),"ДА","")</x:f>
      </x:c>
      <x:c r="X839" s="55"/>
      <x:c r="Y839" s="55"/>
      <x:c r="Z839" s="55"/>
      <x:c r="AA839" s="55"/>
      <x:c r="AB839" s="55" t="str">
        <x:f>IF(C839="","", "Напиши " &amp; AA839 &amp; " за бизнес: " &amp; C839 &amp; ". Тип: " &amp; D839 &amp; ". Град: " &amp; E839 &amp; ". Проблем: " &amp; L839 &amp; ". Предложение: " &amp; M839 &amp; ". Етап: " &amp; N839 &amp; ". Бележки: " &amp; Y839)</x:f>
      </x:c>
      <x:c r="AC839" s="55"/>
    </x:row>
    <x:row r="840">
      <x:c r="A840" s="55"/>
      <x:c r="B840" s="55"/>
      <x:c r="C840" s="55"/>
      <x:c r="D840" s="55"/>
      <x:c r="E840" s="55"/>
      <x:c r="F840" s="55"/>
      <x:c r="G840" s="55"/>
      <x:c r="H840" s="55"/>
      <x:c r="I840" s="55"/>
      <x:c r="J840" s="55"/>
      <x:c r="K840" s="55"/>
      <x:c r="L840" s="55"/>
      <x:c r="M840" s="55"/>
      <x:c r="N840" s="55"/>
      <x:c r="O840" s="55"/>
      <x:c r="P840" s="55"/>
      <x:c r="Q840" s="55"/>
      <x:c r="R840" s="55"/>
      <x:c r="S840" s="55" t="str">
        <x:f>IF(C840="","",IFERROR(Q840*R840/100,""))</x:f>
      </x:c>
      <x:c r="T840" s="55"/>
      <x:c r="U840" s="55"/>
      <x:c r="V840" s="55" t="str">
        <x:f>IF(U840="","",U840-TODAY())</x:f>
      </x:c>
      <x:c r="W840" s="55" t="str">
        <x:f>IF(AND(U840&lt;&gt;"",U840&lt;TODAY(),O840="Активен"),"ДА","")</x:f>
      </x:c>
      <x:c r="X840" s="55"/>
      <x:c r="Y840" s="55"/>
      <x:c r="Z840" s="55"/>
      <x:c r="AA840" s="55"/>
      <x:c r="AB840" s="55" t="str">
        <x:f>IF(C840="","", "Напиши " &amp; AA840 &amp; " за бизнес: " &amp; C840 &amp; ". Тип: " &amp; D840 &amp; ". Град: " &amp; E840 &amp; ". Проблем: " &amp; L840 &amp; ". Предложение: " &amp; M840 &amp; ". Етап: " &amp; N840 &amp; ". Бележки: " &amp; Y840)</x:f>
      </x:c>
      <x:c r="AC840" s="55"/>
    </x:row>
    <x:row r="841">
      <x:c r="A841" s="55"/>
      <x:c r="B841" s="55"/>
      <x:c r="C841" s="55"/>
      <x:c r="D841" s="55"/>
      <x:c r="E841" s="55"/>
      <x:c r="F841" s="55"/>
      <x:c r="G841" s="55"/>
      <x:c r="H841" s="55"/>
      <x:c r="I841" s="55"/>
      <x:c r="J841" s="55"/>
      <x:c r="K841" s="55"/>
      <x:c r="L841" s="55"/>
      <x:c r="M841" s="55"/>
      <x:c r="N841" s="55"/>
      <x:c r="O841" s="55"/>
      <x:c r="P841" s="55"/>
      <x:c r="Q841" s="55"/>
      <x:c r="R841" s="55"/>
      <x:c r="S841" s="55" t="str">
        <x:f>IF(C841="","",IFERROR(Q841*R841/100,""))</x:f>
      </x:c>
      <x:c r="T841" s="55"/>
      <x:c r="U841" s="55"/>
      <x:c r="V841" s="55" t="str">
        <x:f>IF(U841="","",U841-TODAY())</x:f>
      </x:c>
      <x:c r="W841" s="55" t="str">
        <x:f>IF(AND(U841&lt;&gt;"",U841&lt;TODAY(),O841="Активен"),"ДА","")</x:f>
      </x:c>
      <x:c r="X841" s="55"/>
      <x:c r="Y841" s="55"/>
      <x:c r="Z841" s="55"/>
      <x:c r="AA841" s="55"/>
      <x:c r="AB841" s="55" t="str">
        <x:f>IF(C841="","", "Напиши " &amp; AA841 &amp; " за бизнес: " &amp; C841 &amp; ". Тип: " &amp; D841 &amp; ". Град: " &amp; E841 &amp; ". Проблем: " &amp; L841 &amp; ". Предложение: " &amp; M841 &amp; ". Етап: " &amp; N841 &amp; ". Бележки: " &amp; Y841)</x:f>
      </x:c>
      <x:c r="AC841" s="55"/>
    </x:row>
    <x:row r="842">
      <x:c r="A842" s="55"/>
      <x:c r="B842" s="55"/>
      <x:c r="C842" s="55"/>
      <x:c r="D842" s="55"/>
      <x:c r="E842" s="55"/>
      <x:c r="F842" s="55"/>
      <x:c r="G842" s="55"/>
      <x:c r="H842" s="55"/>
      <x:c r="I842" s="55"/>
      <x:c r="J842" s="55"/>
      <x:c r="K842" s="55"/>
      <x:c r="L842" s="55"/>
      <x:c r="M842" s="55"/>
      <x:c r="N842" s="55"/>
      <x:c r="O842" s="55"/>
      <x:c r="P842" s="55"/>
      <x:c r="Q842" s="55"/>
      <x:c r="R842" s="55"/>
      <x:c r="S842" s="55" t="str">
        <x:f>IF(C842="","",IFERROR(Q842*R842/100,""))</x:f>
      </x:c>
      <x:c r="T842" s="55"/>
      <x:c r="U842" s="55"/>
      <x:c r="V842" s="55" t="str">
        <x:f>IF(U842="","",U842-TODAY())</x:f>
      </x:c>
      <x:c r="W842" s="55" t="str">
        <x:f>IF(AND(U842&lt;&gt;"",U842&lt;TODAY(),O842="Активен"),"ДА","")</x:f>
      </x:c>
      <x:c r="X842" s="55"/>
      <x:c r="Y842" s="55"/>
      <x:c r="Z842" s="55"/>
      <x:c r="AA842" s="55"/>
      <x:c r="AB842" s="55" t="str">
        <x:f>IF(C842="","", "Напиши " &amp; AA842 &amp; " за бизнес: " &amp; C842 &amp; ". Тип: " &amp; D842 &amp; ". Град: " &amp; E842 &amp; ". Проблем: " &amp; L842 &amp; ". Предложение: " &amp; M842 &amp; ". Етап: " &amp; N842 &amp; ". Бележки: " &amp; Y842)</x:f>
      </x:c>
      <x:c r="AC842" s="55"/>
    </x:row>
    <x:row r="843">
      <x:c r="A843" s="55"/>
      <x:c r="B843" s="55"/>
      <x:c r="C843" s="55"/>
      <x:c r="D843" s="55"/>
      <x:c r="E843" s="55"/>
      <x:c r="F843" s="55"/>
      <x:c r="G843" s="55"/>
      <x:c r="H843" s="55"/>
      <x:c r="I843" s="55"/>
      <x:c r="J843" s="55"/>
      <x:c r="K843" s="55"/>
      <x:c r="L843" s="55"/>
      <x:c r="M843" s="55"/>
      <x:c r="N843" s="55"/>
      <x:c r="O843" s="55"/>
      <x:c r="P843" s="55"/>
      <x:c r="Q843" s="55"/>
      <x:c r="R843" s="55"/>
      <x:c r="S843" s="55" t="str">
        <x:f>IF(C843="","",IFERROR(Q843*R843/100,""))</x:f>
      </x:c>
      <x:c r="T843" s="55"/>
      <x:c r="U843" s="55"/>
      <x:c r="V843" s="55" t="str">
        <x:f>IF(U843="","",U843-TODAY())</x:f>
      </x:c>
      <x:c r="W843" s="55" t="str">
        <x:f>IF(AND(U843&lt;&gt;"",U843&lt;TODAY(),O843="Активен"),"ДА","")</x:f>
      </x:c>
      <x:c r="X843" s="55"/>
      <x:c r="Y843" s="55"/>
      <x:c r="Z843" s="55"/>
      <x:c r="AA843" s="55"/>
      <x:c r="AB843" s="55" t="str">
        <x:f>IF(C843="","", "Напиши " &amp; AA843 &amp; " за бизнес: " &amp; C843 &amp; ". Тип: " &amp; D843 &amp; ". Град: " &amp; E843 &amp; ". Проблем: " &amp; L843 &amp; ". Предложение: " &amp; M843 &amp; ". Етап: " &amp; N843 &amp; ". Бележки: " &amp; Y843)</x:f>
      </x:c>
      <x:c r="AC843" s="55"/>
    </x:row>
    <x:row r="844">
      <x:c r="A844" s="55"/>
      <x:c r="B844" s="55"/>
      <x:c r="C844" s="55"/>
      <x:c r="D844" s="55"/>
      <x:c r="E844" s="55"/>
      <x:c r="F844" s="55"/>
      <x:c r="G844" s="55"/>
      <x:c r="H844" s="55"/>
      <x:c r="I844" s="55"/>
      <x:c r="J844" s="55"/>
      <x:c r="K844" s="55"/>
      <x:c r="L844" s="55"/>
      <x:c r="M844" s="55"/>
      <x:c r="N844" s="55"/>
      <x:c r="O844" s="55"/>
      <x:c r="P844" s="55"/>
      <x:c r="Q844" s="55"/>
      <x:c r="R844" s="55"/>
      <x:c r="S844" s="55" t="str">
        <x:f>IF(C844="","",IFERROR(Q844*R844/100,""))</x:f>
      </x:c>
      <x:c r="T844" s="55"/>
      <x:c r="U844" s="55"/>
      <x:c r="V844" s="55" t="str">
        <x:f>IF(U844="","",U844-TODAY())</x:f>
      </x:c>
      <x:c r="W844" s="55" t="str">
        <x:f>IF(AND(U844&lt;&gt;"",U844&lt;TODAY(),O844="Активен"),"ДА","")</x:f>
      </x:c>
      <x:c r="X844" s="55"/>
      <x:c r="Y844" s="55"/>
      <x:c r="Z844" s="55"/>
      <x:c r="AA844" s="55"/>
      <x:c r="AB844" s="55" t="str">
        <x:f>IF(C844="","", "Напиши " &amp; AA844 &amp; " за бизнес: " &amp; C844 &amp; ". Тип: " &amp; D844 &amp; ". Град: " &amp; E844 &amp; ". Проблем: " &amp; L844 &amp; ". Предложение: " &amp; M844 &amp; ". Етап: " &amp; N844 &amp; ". Бележки: " &amp; Y844)</x:f>
      </x:c>
      <x:c r="AC844" s="55"/>
    </x:row>
    <x:row r="845">
      <x:c r="A845" s="55"/>
      <x:c r="B845" s="55"/>
      <x:c r="C845" s="55"/>
      <x:c r="D845" s="55"/>
      <x:c r="E845" s="55"/>
      <x:c r="F845" s="55"/>
      <x:c r="G845" s="55"/>
      <x:c r="H845" s="55"/>
      <x:c r="I845" s="55"/>
      <x:c r="J845" s="55"/>
      <x:c r="K845" s="55"/>
      <x:c r="L845" s="55"/>
      <x:c r="M845" s="55"/>
      <x:c r="N845" s="55"/>
      <x:c r="O845" s="55"/>
      <x:c r="P845" s="55"/>
      <x:c r="Q845" s="55"/>
      <x:c r="R845" s="55"/>
      <x:c r="S845" s="55" t="str">
        <x:f>IF(C845="","",IFERROR(Q845*R845/100,""))</x:f>
      </x:c>
      <x:c r="T845" s="55"/>
      <x:c r="U845" s="55"/>
      <x:c r="V845" s="55" t="str">
        <x:f>IF(U845="","",U845-TODAY())</x:f>
      </x:c>
      <x:c r="W845" s="55" t="str">
        <x:f>IF(AND(U845&lt;&gt;"",U845&lt;TODAY(),O845="Активен"),"ДА","")</x:f>
      </x:c>
      <x:c r="X845" s="55"/>
      <x:c r="Y845" s="55"/>
      <x:c r="Z845" s="55"/>
      <x:c r="AA845" s="55"/>
      <x:c r="AB845" s="55" t="str">
        <x:f>IF(C845="","", "Напиши " &amp; AA845 &amp; " за бизнес: " &amp; C845 &amp; ". Тип: " &amp; D845 &amp; ". Град: " &amp; E845 &amp; ". Проблем: " &amp; L845 &amp; ". Предложение: " &amp; M845 &amp; ". Етап: " &amp; N845 &amp; ". Бележки: " &amp; Y845)</x:f>
      </x:c>
      <x:c r="AC845" s="55"/>
    </x:row>
    <x:row r="846">
      <x:c r="A846" s="55"/>
      <x:c r="B846" s="55"/>
      <x:c r="C846" s="55"/>
      <x:c r="D846" s="55"/>
      <x:c r="E846" s="55"/>
      <x:c r="F846" s="55"/>
      <x:c r="G846" s="55"/>
      <x:c r="H846" s="55"/>
      <x:c r="I846" s="55"/>
      <x:c r="J846" s="55"/>
      <x:c r="K846" s="55"/>
      <x:c r="L846" s="55"/>
      <x:c r="M846" s="55"/>
      <x:c r="N846" s="55"/>
      <x:c r="O846" s="55"/>
      <x:c r="P846" s="55"/>
      <x:c r="Q846" s="55"/>
      <x:c r="R846" s="55"/>
      <x:c r="S846" s="55" t="str">
        <x:f>IF(C846="","",IFERROR(Q846*R846/100,""))</x:f>
      </x:c>
      <x:c r="T846" s="55"/>
      <x:c r="U846" s="55"/>
      <x:c r="V846" s="55" t="str">
        <x:f>IF(U846="","",U846-TODAY())</x:f>
      </x:c>
      <x:c r="W846" s="55" t="str">
        <x:f>IF(AND(U846&lt;&gt;"",U846&lt;TODAY(),O846="Активен"),"ДА","")</x:f>
      </x:c>
      <x:c r="X846" s="55"/>
      <x:c r="Y846" s="55"/>
      <x:c r="Z846" s="55"/>
      <x:c r="AA846" s="55"/>
      <x:c r="AB846" s="55" t="str">
        <x:f>IF(C846="","", "Напиши " &amp; AA846 &amp; " за бизнес: " &amp; C846 &amp; ". Тип: " &amp; D846 &amp; ". Град: " &amp; E846 &amp; ". Проблем: " &amp; L846 &amp; ". Предложение: " &amp; M846 &amp; ". Етап: " &amp; N846 &amp; ". Бележки: " &amp; Y846)</x:f>
      </x:c>
      <x:c r="AC846" s="55"/>
    </x:row>
    <x:row r="847">
      <x:c r="A847" s="55"/>
      <x:c r="B847" s="55"/>
      <x:c r="C847" s="55"/>
      <x:c r="D847" s="55"/>
      <x:c r="E847" s="55"/>
      <x:c r="F847" s="55"/>
      <x:c r="G847" s="55"/>
      <x:c r="H847" s="55"/>
      <x:c r="I847" s="55"/>
      <x:c r="J847" s="55"/>
      <x:c r="K847" s="55"/>
      <x:c r="L847" s="55"/>
      <x:c r="M847" s="55"/>
      <x:c r="N847" s="55"/>
      <x:c r="O847" s="55"/>
      <x:c r="P847" s="55"/>
      <x:c r="Q847" s="55"/>
      <x:c r="R847" s="55"/>
      <x:c r="S847" s="55" t="str">
        <x:f>IF(C847="","",IFERROR(Q847*R847/100,""))</x:f>
      </x:c>
      <x:c r="T847" s="55"/>
      <x:c r="U847" s="55"/>
      <x:c r="V847" s="55" t="str">
        <x:f>IF(U847="","",U847-TODAY())</x:f>
      </x:c>
      <x:c r="W847" s="55" t="str">
        <x:f>IF(AND(U847&lt;&gt;"",U847&lt;TODAY(),O847="Активен"),"ДА","")</x:f>
      </x:c>
      <x:c r="X847" s="55"/>
      <x:c r="Y847" s="55"/>
      <x:c r="Z847" s="55"/>
      <x:c r="AA847" s="55"/>
      <x:c r="AB847" s="55" t="str">
        <x:f>IF(C847="","", "Напиши " &amp; AA847 &amp; " за бизнес: " &amp; C847 &amp; ". Тип: " &amp; D847 &amp; ". Град: " &amp; E847 &amp; ". Проблем: " &amp; L847 &amp; ". Предложение: " &amp; M847 &amp; ". Етап: " &amp; N847 &amp; ". Бележки: " &amp; Y847)</x:f>
      </x:c>
      <x:c r="AC847" s="55"/>
    </x:row>
    <x:row r="848">
      <x:c r="A848" s="55"/>
      <x:c r="B848" s="55"/>
      <x:c r="C848" s="55"/>
      <x:c r="D848" s="55"/>
      <x:c r="E848" s="55"/>
      <x:c r="F848" s="55"/>
      <x:c r="G848" s="55"/>
      <x:c r="H848" s="55"/>
      <x:c r="I848" s="55"/>
      <x:c r="J848" s="55"/>
      <x:c r="K848" s="55"/>
      <x:c r="L848" s="55"/>
      <x:c r="M848" s="55"/>
      <x:c r="N848" s="55"/>
      <x:c r="O848" s="55"/>
      <x:c r="P848" s="55"/>
      <x:c r="Q848" s="55"/>
      <x:c r="R848" s="55"/>
      <x:c r="S848" s="55" t="str">
        <x:f>IF(C848="","",IFERROR(Q848*R848/100,""))</x:f>
      </x:c>
      <x:c r="T848" s="55"/>
      <x:c r="U848" s="55"/>
      <x:c r="V848" s="55" t="str">
        <x:f>IF(U848="","",U848-TODAY())</x:f>
      </x:c>
      <x:c r="W848" s="55" t="str">
        <x:f>IF(AND(U848&lt;&gt;"",U848&lt;TODAY(),O848="Активен"),"ДА","")</x:f>
      </x:c>
      <x:c r="X848" s="55"/>
      <x:c r="Y848" s="55"/>
      <x:c r="Z848" s="55"/>
      <x:c r="AA848" s="55"/>
      <x:c r="AB848" s="55" t="str">
        <x:f>IF(C848="","", "Напиши " &amp; AA848 &amp; " за бизнес: " &amp; C848 &amp; ". Тип: " &amp; D848 &amp; ". Град: " &amp; E848 &amp; ". Проблем: " &amp; L848 &amp; ". Предложение: " &amp; M848 &amp; ". Етап: " &amp; N848 &amp; ". Бележки: " &amp; Y848)</x:f>
      </x:c>
      <x:c r="AC848" s="55"/>
    </x:row>
    <x:row r="849">
      <x:c r="A849" s="55"/>
      <x:c r="B849" s="55"/>
      <x:c r="C849" s="55"/>
      <x:c r="D849" s="55"/>
      <x:c r="E849" s="55"/>
      <x:c r="F849" s="55"/>
      <x:c r="G849" s="55"/>
      <x:c r="H849" s="55"/>
      <x:c r="I849" s="55"/>
      <x:c r="J849" s="55"/>
      <x:c r="K849" s="55"/>
      <x:c r="L849" s="55"/>
      <x:c r="M849" s="55"/>
      <x:c r="N849" s="55"/>
      <x:c r="O849" s="55"/>
      <x:c r="P849" s="55"/>
      <x:c r="Q849" s="55"/>
      <x:c r="R849" s="55"/>
      <x:c r="S849" s="55" t="str">
        <x:f>IF(C849="","",IFERROR(Q849*R849/100,""))</x:f>
      </x:c>
      <x:c r="T849" s="55"/>
      <x:c r="U849" s="55"/>
      <x:c r="V849" s="55" t="str">
        <x:f>IF(U849="","",U849-TODAY())</x:f>
      </x:c>
      <x:c r="W849" s="55" t="str">
        <x:f>IF(AND(U849&lt;&gt;"",U849&lt;TODAY(),O849="Активен"),"ДА","")</x:f>
      </x:c>
      <x:c r="X849" s="55"/>
      <x:c r="Y849" s="55"/>
      <x:c r="Z849" s="55"/>
      <x:c r="AA849" s="55"/>
      <x:c r="AB849" s="55" t="str">
        <x:f>IF(C849="","", "Напиши " &amp; AA849 &amp; " за бизнес: " &amp; C849 &amp; ". Тип: " &amp; D849 &amp; ". Град: " &amp; E849 &amp; ". Проблем: " &amp; L849 &amp; ". Предложение: " &amp; M849 &amp; ". Етап: " &amp; N849 &amp; ". Бележки: " &amp; Y849)</x:f>
      </x:c>
      <x:c r="AC849" s="55"/>
    </x:row>
    <x:row r="850">
      <x:c r="A850" s="55"/>
      <x:c r="B850" s="55"/>
      <x:c r="C850" s="55"/>
      <x:c r="D850" s="55"/>
      <x:c r="E850" s="55"/>
      <x:c r="F850" s="55"/>
      <x:c r="G850" s="55"/>
      <x:c r="H850" s="55"/>
      <x:c r="I850" s="55"/>
      <x:c r="J850" s="55"/>
      <x:c r="K850" s="55"/>
      <x:c r="L850" s="55"/>
      <x:c r="M850" s="55"/>
      <x:c r="N850" s="55"/>
      <x:c r="O850" s="55"/>
      <x:c r="P850" s="55"/>
      <x:c r="Q850" s="55"/>
      <x:c r="R850" s="55"/>
      <x:c r="S850" s="55" t="str">
        <x:f>IF(C850="","",IFERROR(Q850*R850/100,""))</x:f>
      </x:c>
      <x:c r="T850" s="55"/>
      <x:c r="U850" s="55"/>
      <x:c r="V850" s="55" t="str">
        <x:f>IF(U850="","",U850-TODAY())</x:f>
      </x:c>
      <x:c r="W850" s="55" t="str">
        <x:f>IF(AND(U850&lt;&gt;"",U850&lt;TODAY(),O850="Активен"),"ДА","")</x:f>
      </x:c>
      <x:c r="X850" s="55"/>
      <x:c r="Y850" s="55"/>
      <x:c r="Z850" s="55"/>
      <x:c r="AA850" s="55"/>
      <x:c r="AB850" s="55" t="str">
        <x:f>IF(C850="","", "Напиши " &amp; AA850 &amp; " за бизнес: " &amp; C850 &amp; ". Тип: " &amp; D850 &amp; ". Град: " &amp; E850 &amp; ". Проблем: " &amp; L850 &amp; ". Предложение: " &amp; M850 &amp; ". Етап: " &amp; N850 &amp; ". Бележки: " &amp; Y850)</x:f>
      </x:c>
      <x:c r="AC850" s="55"/>
    </x:row>
    <x:row r="851">
      <x:c r="A851" s="55"/>
      <x:c r="B851" s="55"/>
      <x:c r="C851" s="55"/>
      <x:c r="D851" s="55"/>
      <x:c r="E851" s="55"/>
      <x:c r="F851" s="55"/>
      <x:c r="G851" s="55"/>
      <x:c r="H851" s="55"/>
      <x:c r="I851" s="55"/>
      <x:c r="J851" s="55"/>
      <x:c r="K851" s="55"/>
      <x:c r="L851" s="55"/>
      <x:c r="M851" s="55"/>
      <x:c r="N851" s="55"/>
      <x:c r="O851" s="55"/>
      <x:c r="P851" s="55"/>
      <x:c r="Q851" s="55"/>
      <x:c r="R851" s="55"/>
      <x:c r="S851" s="55" t="str">
        <x:f>IF(C851="","",IFERROR(Q851*R851/100,""))</x:f>
      </x:c>
      <x:c r="T851" s="55"/>
      <x:c r="U851" s="55"/>
      <x:c r="V851" s="55" t="str">
        <x:f>IF(U851="","",U851-TODAY())</x:f>
      </x:c>
      <x:c r="W851" s="55" t="str">
        <x:f>IF(AND(U851&lt;&gt;"",U851&lt;TODAY(),O851="Активен"),"ДА","")</x:f>
      </x:c>
      <x:c r="X851" s="55"/>
      <x:c r="Y851" s="55"/>
      <x:c r="Z851" s="55"/>
      <x:c r="AA851" s="55"/>
      <x:c r="AB851" s="55" t="str">
        <x:f>IF(C851="","", "Напиши " &amp; AA851 &amp; " за бизнес: " &amp; C851 &amp; ". Тип: " &amp; D851 &amp; ". Град: " &amp; E851 &amp; ". Проблем: " &amp; L851 &amp; ". Предложение: " &amp; M851 &amp; ". Етап: " &amp; N851 &amp; ". Бележки: " &amp; Y851)</x:f>
      </x:c>
      <x:c r="AC851" s="55"/>
    </x:row>
    <x:row r="852">
      <x:c r="A852" s="55"/>
      <x:c r="B852" s="55"/>
      <x:c r="C852" s="55"/>
      <x:c r="D852" s="55"/>
      <x:c r="E852" s="55"/>
      <x:c r="F852" s="55"/>
      <x:c r="G852" s="55"/>
      <x:c r="H852" s="55"/>
      <x:c r="I852" s="55"/>
      <x:c r="J852" s="55"/>
      <x:c r="K852" s="55"/>
      <x:c r="L852" s="55"/>
      <x:c r="M852" s="55"/>
      <x:c r="N852" s="55"/>
      <x:c r="O852" s="55"/>
      <x:c r="P852" s="55"/>
      <x:c r="Q852" s="55"/>
      <x:c r="R852" s="55"/>
      <x:c r="S852" s="55" t="str">
        <x:f>IF(C852="","",IFERROR(Q852*R852/100,""))</x:f>
      </x:c>
      <x:c r="T852" s="55"/>
      <x:c r="U852" s="55"/>
      <x:c r="V852" s="55" t="str">
        <x:f>IF(U852="","",U852-TODAY())</x:f>
      </x:c>
      <x:c r="W852" s="55" t="str">
        <x:f>IF(AND(U852&lt;&gt;"",U852&lt;TODAY(),O852="Активен"),"ДА","")</x:f>
      </x:c>
      <x:c r="X852" s="55"/>
      <x:c r="Y852" s="55"/>
      <x:c r="Z852" s="55"/>
      <x:c r="AA852" s="55"/>
      <x:c r="AB852" s="55" t="str">
        <x:f>IF(C852="","", "Напиши " &amp; AA852 &amp; " за бизнес: " &amp; C852 &amp; ". Тип: " &amp; D852 &amp; ". Град: " &amp; E852 &amp; ". Проблем: " &amp; L852 &amp; ". Предложение: " &amp; M852 &amp; ". Етап: " &amp; N852 &amp; ". Бележки: " &amp; Y852)</x:f>
      </x:c>
      <x:c r="AC852" s="55"/>
    </x:row>
    <x:row r="853">
      <x:c r="A853" s="55"/>
      <x:c r="B853" s="55"/>
      <x:c r="C853" s="55"/>
      <x:c r="D853" s="55"/>
      <x:c r="E853" s="55"/>
      <x:c r="F853" s="55"/>
      <x:c r="G853" s="55"/>
      <x:c r="H853" s="55"/>
      <x:c r="I853" s="55"/>
      <x:c r="J853" s="55"/>
      <x:c r="K853" s="55"/>
      <x:c r="L853" s="55"/>
      <x:c r="M853" s="55"/>
      <x:c r="N853" s="55"/>
      <x:c r="O853" s="55"/>
      <x:c r="P853" s="55"/>
      <x:c r="Q853" s="55"/>
      <x:c r="R853" s="55"/>
      <x:c r="S853" s="55" t="str">
        <x:f>IF(C853="","",IFERROR(Q853*R853/100,""))</x:f>
      </x:c>
      <x:c r="T853" s="55"/>
      <x:c r="U853" s="55"/>
      <x:c r="V853" s="55" t="str">
        <x:f>IF(U853="","",U853-TODAY())</x:f>
      </x:c>
      <x:c r="W853" s="55" t="str">
        <x:f>IF(AND(U853&lt;&gt;"",U853&lt;TODAY(),O853="Активен"),"ДА","")</x:f>
      </x:c>
      <x:c r="X853" s="55"/>
      <x:c r="Y853" s="55"/>
      <x:c r="Z853" s="55"/>
      <x:c r="AA853" s="55"/>
      <x:c r="AB853" s="55" t="str">
        <x:f>IF(C853="","", "Напиши " &amp; AA853 &amp; " за бизнес: " &amp; C853 &amp; ". Тип: " &amp; D853 &amp; ". Град: " &amp; E853 &amp; ". Проблем: " &amp; L853 &amp; ". Предложение: " &amp; M853 &amp; ". Етап: " &amp; N853 &amp; ". Бележки: " &amp; Y853)</x:f>
      </x:c>
      <x:c r="AC853" s="55"/>
    </x:row>
    <x:row r="854">
      <x:c r="A854" s="55"/>
      <x:c r="B854" s="55"/>
      <x:c r="C854" s="55"/>
      <x:c r="D854" s="55"/>
      <x:c r="E854" s="55"/>
      <x:c r="F854" s="55"/>
      <x:c r="G854" s="55"/>
      <x:c r="H854" s="55"/>
      <x:c r="I854" s="55"/>
      <x:c r="J854" s="55"/>
      <x:c r="K854" s="55"/>
      <x:c r="L854" s="55"/>
      <x:c r="M854" s="55"/>
      <x:c r="N854" s="55"/>
      <x:c r="O854" s="55"/>
      <x:c r="P854" s="55"/>
      <x:c r="Q854" s="55"/>
      <x:c r="R854" s="55"/>
      <x:c r="S854" s="55" t="str">
        <x:f>IF(C854="","",IFERROR(Q854*R854/100,""))</x:f>
      </x:c>
      <x:c r="T854" s="55"/>
      <x:c r="U854" s="55"/>
      <x:c r="V854" s="55" t="str">
        <x:f>IF(U854="","",U854-TODAY())</x:f>
      </x:c>
      <x:c r="W854" s="55" t="str">
        <x:f>IF(AND(U854&lt;&gt;"",U854&lt;TODAY(),O854="Активен"),"ДА","")</x:f>
      </x:c>
      <x:c r="X854" s="55"/>
      <x:c r="Y854" s="55"/>
      <x:c r="Z854" s="55"/>
      <x:c r="AA854" s="55"/>
      <x:c r="AB854" s="55" t="str">
        <x:f>IF(C854="","", "Напиши " &amp; AA854 &amp; " за бизнес: " &amp; C854 &amp; ". Тип: " &amp; D854 &amp; ". Град: " &amp; E854 &amp; ". Проблем: " &amp; L854 &amp; ". Предложение: " &amp; M854 &amp; ". Етап: " &amp; N854 &amp; ". Бележки: " &amp; Y854)</x:f>
      </x:c>
      <x:c r="AC854" s="55"/>
    </x:row>
    <x:row r="855">
      <x:c r="A855" s="55"/>
      <x:c r="B855" s="55"/>
      <x:c r="C855" s="55"/>
      <x:c r="D855" s="55"/>
      <x:c r="E855" s="55"/>
      <x:c r="F855" s="55"/>
      <x:c r="G855" s="55"/>
      <x:c r="H855" s="55"/>
      <x:c r="I855" s="55"/>
      <x:c r="J855" s="55"/>
      <x:c r="K855" s="55"/>
      <x:c r="L855" s="55"/>
      <x:c r="M855" s="55"/>
      <x:c r="N855" s="55"/>
      <x:c r="O855" s="55"/>
      <x:c r="P855" s="55"/>
      <x:c r="Q855" s="55"/>
      <x:c r="R855" s="55"/>
      <x:c r="S855" s="55" t="str">
        <x:f>IF(C855="","",IFERROR(Q855*R855/100,""))</x:f>
      </x:c>
      <x:c r="T855" s="55"/>
      <x:c r="U855" s="55"/>
      <x:c r="V855" s="55" t="str">
        <x:f>IF(U855="","",U855-TODAY())</x:f>
      </x:c>
      <x:c r="W855" s="55" t="str">
        <x:f>IF(AND(U855&lt;&gt;"",U855&lt;TODAY(),O855="Активен"),"ДА","")</x:f>
      </x:c>
      <x:c r="X855" s="55"/>
      <x:c r="Y855" s="55"/>
      <x:c r="Z855" s="55"/>
      <x:c r="AA855" s="55"/>
      <x:c r="AB855" s="55" t="str">
        <x:f>IF(C855="","", "Напиши " &amp; AA855 &amp; " за бизнес: " &amp; C855 &amp; ". Тип: " &amp; D855 &amp; ". Град: " &amp; E855 &amp; ". Проблем: " &amp; L855 &amp; ". Предложение: " &amp; M855 &amp; ". Етап: " &amp; N855 &amp; ". Бележки: " &amp; Y855)</x:f>
      </x:c>
      <x:c r="AC855" s="55"/>
    </x:row>
    <x:row r="856">
      <x:c r="A856" s="55"/>
      <x:c r="B856" s="55"/>
      <x:c r="C856" s="55"/>
      <x:c r="D856" s="55"/>
      <x:c r="E856" s="55"/>
      <x:c r="F856" s="55"/>
      <x:c r="G856" s="55"/>
      <x:c r="H856" s="55"/>
      <x:c r="I856" s="55"/>
      <x:c r="J856" s="55"/>
      <x:c r="K856" s="55"/>
      <x:c r="L856" s="55"/>
      <x:c r="M856" s="55"/>
      <x:c r="N856" s="55"/>
      <x:c r="O856" s="55"/>
      <x:c r="P856" s="55"/>
      <x:c r="Q856" s="55"/>
      <x:c r="R856" s="55"/>
      <x:c r="S856" s="55" t="str">
        <x:f>IF(C856="","",IFERROR(Q856*R856/100,""))</x:f>
      </x:c>
      <x:c r="T856" s="55"/>
      <x:c r="U856" s="55"/>
      <x:c r="V856" s="55" t="str">
        <x:f>IF(U856="","",U856-TODAY())</x:f>
      </x:c>
      <x:c r="W856" s="55" t="str">
        <x:f>IF(AND(U856&lt;&gt;"",U856&lt;TODAY(),O856="Активен"),"ДА","")</x:f>
      </x:c>
      <x:c r="X856" s="55"/>
      <x:c r="Y856" s="55"/>
      <x:c r="Z856" s="55"/>
      <x:c r="AA856" s="55"/>
      <x:c r="AB856" s="55" t="str">
        <x:f>IF(C856="","", "Напиши " &amp; AA856 &amp; " за бизнес: " &amp; C856 &amp; ". Тип: " &amp; D856 &amp; ". Град: " &amp; E856 &amp; ". Проблем: " &amp; L856 &amp; ". Предложение: " &amp; M856 &amp; ". Етап: " &amp; N856 &amp; ". Бележки: " &amp; Y856)</x:f>
      </x:c>
      <x:c r="AC856" s="55"/>
    </x:row>
    <x:row r="857">
      <x:c r="A857" s="55"/>
      <x:c r="B857" s="55"/>
      <x:c r="C857" s="55"/>
      <x:c r="D857" s="55"/>
      <x:c r="E857" s="55"/>
      <x:c r="F857" s="55"/>
      <x:c r="G857" s="55"/>
      <x:c r="H857" s="55"/>
      <x:c r="I857" s="55"/>
      <x:c r="J857" s="55"/>
      <x:c r="K857" s="55"/>
      <x:c r="L857" s="55"/>
      <x:c r="M857" s="55"/>
      <x:c r="N857" s="55"/>
      <x:c r="O857" s="55"/>
      <x:c r="P857" s="55"/>
      <x:c r="Q857" s="55"/>
      <x:c r="R857" s="55"/>
      <x:c r="S857" s="55" t="str">
        <x:f>IF(C857="","",IFERROR(Q857*R857/100,""))</x:f>
      </x:c>
      <x:c r="T857" s="55"/>
      <x:c r="U857" s="55"/>
      <x:c r="V857" s="55" t="str">
        <x:f>IF(U857="","",U857-TODAY())</x:f>
      </x:c>
      <x:c r="W857" s="55" t="str">
        <x:f>IF(AND(U857&lt;&gt;"",U857&lt;TODAY(),O857="Активен"),"ДА","")</x:f>
      </x:c>
      <x:c r="X857" s="55"/>
      <x:c r="Y857" s="55"/>
      <x:c r="Z857" s="55"/>
      <x:c r="AA857" s="55"/>
      <x:c r="AB857" s="55" t="str">
        <x:f>IF(C857="","", "Напиши " &amp; AA857 &amp; " за бизнес: " &amp; C857 &amp; ". Тип: " &amp; D857 &amp; ". Град: " &amp; E857 &amp; ". Проблем: " &amp; L857 &amp; ". Предложение: " &amp; M857 &amp; ". Етап: " &amp; N857 &amp; ". Бележки: " &amp; Y857)</x:f>
      </x:c>
      <x:c r="AC857" s="55"/>
    </x:row>
    <x:row r="858">
      <x:c r="A858" s="55"/>
      <x:c r="B858" s="55"/>
      <x:c r="C858" s="55"/>
      <x:c r="D858" s="55"/>
      <x:c r="E858" s="55"/>
      <x:c r="F858" s="55"/>
      <x:c r="G858" s="55"/>
      <x:c r="H858" s="55"/>
      <x:c r="I858" s="55"/>
      <x:c r="J858" s="55"/>
      <x:c r="K858" s="55"/>
      <x:c r="L858" s="55"/>
      <x:c r="M858" s="55"/>
      <x:c r="N858" s="55"/>
      <x:c r="O858" s="55"/>
      <x:c r="P858" s="55"/>
      <x:c r="Q858" s="55"/>
      <x:c r="R858" s="55"/>
      <x:c r="S858" s="55" t="str">
        <x:f>IF(C858="","",IFERROR(Q858*R858/100,""))</x:f>
      </x:c>
      <x:c r="T858" s="55"/>
      <x:c r="U858" s="55"/>
      <x:c r="V858" s="55" t="str">
        <x:f>IF(U858="","",U858-TODAY())</x:f>
      </x:c>
      <x:c r="W858" s="55" t="str">
        <x:f>IF(AND(U858&lt;&gt;"",U858&lt;TODAY(),O858="Активен"),"ДА","")</x:f>
      </x:c>
      <x:c r="X858" s="55"/>
      <x:c r="Y858" s="55"/>
      <x:c r="Z858" s="55"/>
      <x:c r="AA858" s="55"/>
      <x:c r="AB858" s="55" t="str">
        <x:f>IF(C858="","", "Напиши " &amp; AA858 &amp; " за бизнес: " &amp; C858 &amp; ". Тип: " &amp; D858 &amp; ". Град: " &amp; E858 &amp; ". Проблем: " &amp; L858 &amp; ". Предложение: " &amp; M858 &amp; ". Етап: " &amp; N858 &amp; ". Бележки: " &amp; Y858)</x:f>
      </x:c>
      <x:c r="AC858" s="55"/>
    </x:row>
    <x:row r="859">
      <x:c r="A859" s="55"/>
      <x:c r="B859" s="55"/>
      <x:c r="C859" s="55"/>
      <x:c r="D859" s="55"/>
      <x:c r="E859" s="55"/>
      <x:c r="F859" s="55"/>
      <x:c r="G859" s="55"/>
      <x:c r="H859" s="55"/>
      <x:c r="I859" s="55"/>
      <x:c r="J859" s="55"/>
      <x:c r="K859" s="55"/>
      <x:c r="L859" s="55"/>
      <x:c r="M859" s="55"/>
      <x:c r="N859" s="55"/>
      <x:c r="O859" s="55"/>
      <x:c r="P859" s="55"/>
      <x:c r="Q859" s="55"/>
      <x:c r="R859" s="55"/>
      <x:c r="S859" s="55" t="str">
        <x:f>IF(C859="","",IFERROR(Q859*R859/100,""))</x:f>
      </x:c>
      <x:c r="T859" s="55"/>
      <x:c r="U859" s="55"/>
      <x:c r="V859" s="55" t="str">
        <x:f>IF(U859="","",U859-TODAY())</x:f>
      </x:c>
      <x:c r="W859" s="55" t="str">
        <x:f>IF(AND(U859&lt;&gt;"",U859&lt;TODAY(),O859="Активен"),"ДА","")</x:f>
      </x:c>
      <x:c r="X859" s="55"/>
      <x:c r="Y859" s="55"/>
      <x:c r="Z859" s="55"/>
      <x:c r="AA859" s="55"/>
      <x:c r="AB859" s="55" t="str">
        <x:f>IF(C859="","", "Напиши " &amp; AA859 &amp; " за бизнес: " &amp; C859 &amp; ". Тип: " &amp; D859 &amp; ". Град: " &amp; E859 &amp; ". Проблем: " &amp; L859 &amp; ". Предложение: " &amp; M859 &amp; ". Етап: " &amp; N859 &amp; ". Бележки: " &amp; Y859)</x:f>
      </x:c>
      <x:c r="AC859" s="55"/>
    </x:row>
    <x:row r="860">
      <x:c r="A860" s="55"/>
      <x:c r="B860" s="55"/>
      <x:c r="C860" s="55"/>
      <x:c r="D860" s="55"/>
      <x:c r="E860" s="55"/>
      <x:c r="F860" s="55"/>
      <x:c r="G860" s="55"/>
      <x:c r="H860" s="55"/>
      <x:c r="I860" s="55"/>
      <x:c r="J860" s="55"/>
      <x:c r="K860" s="55"/>
      <x:c r="L860" s="55"/>
      <x:c r="M860" s="55"/>
      <x:c r="N860" s="55"/>
      <x:c r="O860" s="55"/>
      <x:c r="P860" s="55"/>
      <x:c r="Q860" s="55"/>
      <x:c r="R860" s="55"/>
      <x:c r="S860" s="55" t="str">
        <x:f>IF(C860="","",IFERROR(Q860*R860/100,""))</x:f>
      </x:c>
      <x:c r="T860" s="55"/>
      <x:c r="U860" s="55"/>
      <x:c r="V860" s="55" t="str">
        <x:f>IF(U860="","",U860-TODAY())</x:f>
      </x:c>
      <x:c r="W860" s="55" t="str">
        <x:f>IF(AND(U860&lt;&gt;"",U860&lt;TODAY(),O860="Активен"),"ДА","")</x:f>
      </x:c>
      <x:c r="X860" s="55"/>
      <x:c r="Y860" s="55"/>
      <x:c r="Z860" s="55"/>
      <x:c r="AA860" s="55"/>
      <x:c r="AB860" s="55" t="str">
        <x:f>IF(C860="","", "Напиши " &amp; AA860 &amp; " за бизнес: " &amp; C860 &amp; ". Тип: " &amp; D860 &amp; ". Град: " &amp; E860 &amp; ". Проблем: " &amp; L860 &amp; ". Предложение: " &amp; M860 &amp; ". Етап: " &amp; N860 &amp; ". Бележки: " &amp; Y860)</x:f>
      </x:c>
      <x:c r="AC860" s="55"/>
    </x:row>
    <x:row r="861">
      <x:c r="A861" s="55"/>
      <x:c r="B861" s="55"/>
      <x:c r="C861" s="55"/>
      <x:c r="D861" s="55"/>
      <x:c r="E861" s="55"/>
      <x:c r="F861" s="55"/>
      <x:c r="G861" s="55"/>
      <x:c r="H861" s="55"/>
      <x:c r="I861" s="55"/>
      <x:c r="J861" s="55"/>
      <x:c r="K861" s="55"/>
      <x:c r="L861" s="55"/>
      <x:c r="M861" s="55"/>
      <x:c r="N861" s="55"/>
      <x:c r="O861" s="55"/>
      <x:c r="P861" s="55"/>
      <x:c r="Q861" s="55"/>
      <x:c r="R861" s="55"/>
      <x:c r="S861" s="55" t="str">
        <x:f>IF(C861="","",IFERROR(Q861*R861/100,""))</x:f>
      </x:c>
      <x:c r="T861" s="55"/>
      <x:c r="U861" s="55"/>
      <x:c r="V861" s="55" t="str">
        <x:f>IF(U861="","",U861-TODAY())</x:f>
      </x:c>
      <x:c r="W861" s="55" t="str">
        <x:f>IF(AND(U861&lt;&gt;"",U861&lt;TODAY(),O861="Активен"),"ДА","")</x:f>
      </x:c>
      <x:c r="X861" s="55"/>
      <x:c r="Y861" s="55"/>
      <x:c r="Z861" s="55"/>
      <x:c r="AA861" s="55"/>
      <x:c r="AB861" s="55" t="str">
        <x:f>IF(C861="","", "Напиши " &amp; AA861 &amp; " за бизнес: " &amp; C861 &amp; ". Тип: " &amp; D861 &amp; ". Град: " &amp; E861 &amp; ". Проблем: " &amp; L861 &amp; ". Предложение: " &amp; M861 &amp; ". Етап: " &amp; N861 &amp; ". Бележки: " &amp; Y861)</x:f>
      </x:c>
      <x:c r="AC861" s="55"/>
    </x:row>
    <x:row r="862">
      <x:c r="A862" s="55"/>
      <x:c r="B862" s="55"/>
      <x:c r="C862" s="55"/>
      <x:c r="D862" s="55"/>
      <x:c r="E862" s="55"/>
      <x:c r="F862" s="55"/>
      <x:c r="G862" s="55"/>
      <x:c r="H862" s="55"/>
      <x:c r="I862" s="55"/>
      <x:c r="J862" s="55"/>
      <x:c r="K862" s="55"/>
      <x:c r="L862" s="55"/>
      <x:c r="M862" s="55"/>
      <x:c r="N862" s="55"/>
      <x:c r="O862" s="55"/>
      <x:c r="P862" s="55"/>
      <x:c r="Q862" s="55"/>
      <x:c r="R862" s="55"/>
      <x:c r="S862" s="55" t="str">
        <x:f>IF(C862="","",IFERROR(Q862*R862/100,""))</x:f>
      </x:c>
      <x:c r="T862" s="55"/>
      <x:c r="U862" s="55"/>
      <x:c r="V862" s="55" t="str">
        <x:f>IF(U862="","",U862-TODAY())</x:f>
      </x:c>
      <x:c r="W862" s="55" t="str">
        <x:f>IF(AND(U862&lt;&gt;"",U862&lt;TODAY(),O862="Активен"),"ДА","")</x:f>
      </x:c>
      <x:c r="X862" s="55"/>
      <x:c r="Y862" s="55"/>
      <x:c r="Z862" s="55"/>
      <x:c r="AA862" s="55"/>
      <x:c r="AB862" s="55" t="str">
        <x:f>IF(C862="","", "Напиши " &amp; AA862 &amp; " за бизнес: " &amp; C862 &amp; ". Тип: " &amp; D862 &amp; ". Град: " &amp; E862 &amp; ". Проблем: " &amp; L862 &amp; ". Предложение: " &amp; M862 &amp; ". Етап: " &amp; N862 &amp; ". Бележки: " &amp; Y862)</x:f>
      </x:c>
      <x:c r="AC862" s="55"/>
    </x:row>
    <x:row r="863">
      <x:c r="A863" s="55"/>
      <x:c r="B863" s="55"/>
      <x:c r="C863" s="55"/>
      <x:c r="D863" s="55"/>
      <x:c r="E863" s="55"/>
      <x:c r="F863" s="55"/>
      <x:c r="G863" s="55"/>
      <x:c r="H863" s="55"/>
      <x:c r="I863" s="55"/>
      <x:c r="J863" s="55"/>
      <x:c r="K863" s="55"/>
      <x:c r="L863" s="55"/>
      <x:c r="M863" s="55"/>
      <x:c r="N863" s="55"/>
      <x:c r="O863" s="55"/>
      <x:c r="P863" s="55"/>
      <x:c r="Q863" s="55"/>
      <x:c r="R863" s="55"/>
      <x:c r="S863" s="55" t="str">
        <x:f>IF(C863="","",IFERROR(Q863*R863/100,""))</x:f>
      </x:c>
      <x:c r="T863" s="55"/>
      <x:c r="U863" s="55"/>
      <x:c r="V863" s="55" t="str">
        <x:f>IF(U863="","",U863-TODAY())</x:f>
      </x:c>
      <x:c r="W863" s="55" t="str">
        <x:f>IF(AND(U863&lt;&gt;"",U863&lt;TODAY(),O863="Активен"),"ДА","")</x:f>
      </x:c>
      <x:c r="X863" s="55"/>
      <x:c r="Y863" s="55"/>
      <x:c r="Z863" s="55"/>
      <x:c r="AA863" s="55"/>
      <x:c r="AB863" s="55" t="str">
        <x:f>IF(C863="","", "Напиши " &amp; AA863 &amp; " за бизнес: " &amp; C863 &amp; ". Тип: " &amp; D863 &amp; ". Град: " &amp; E863 &amp; ". Проблем: " &amp; L863 &amp; ". Предложение: " &amp; M863 &amp; ". Етап: " &amp; N863 &amp; ". Бележки: " &amp; Y863)</x:f>
      </x:c>
      <x:c r="AC863" s="55"/>
    </x:row>
    <x:row r="864">
      <x:c r="A864" s="55"/>
      <x:c r="B864" s="55"/>
      <x:c r="C864" s="55"/>
      <x:c r="D864" s="55"/>
      <x:c r="E864" s="55"/>
      <x:c r="F864" s="55"/>
      <x:c r="G864" s="55"/>
      <x:c r="H864" s="55"/>
      <x:c r="I864" s="55"/>
      <x:c r="J864" s="55"/>
      <x:c r="K864" s="55"/>
      <x:c r="L864" s="55"/>
      <x:c r="M864" s="55"/>
      <x:c r="N864" s="55"/>
      <x:c r="O864" s="55"/>
      <x:c r="P864" s="55"/>
      <x:c r="Q864" s="55"/>
      <x:c r="R864" s="55"/>
      <x:c r="S864" s="55" t="str">
        <x:f>IF(C864="","",IFERROR(Q864*R864/100,""))</x:f>
      </x:c>
      <x:c r="T864" s="55"/>
      <x:c r="U864" s="55"/>
      <x:c r="V864" s="55" t="str">
        <x:f>IF(U864="","",U864-TODAY())</x:f>
      </x:c>
      <x:c r="W864" s="55" t="str">
        <x:f>IF(AND(U864&lt;&gt;"",U864&lt;TODAY(),O864="Активен"),"ДА","")</x:f>
      </x:c>
      <x:c r="X864" s="55"/>
      <x:c r="Y864" s="55"/>
      <x:c r="Z864" s="55"/>
      <x:c r="AA864" s="55"/>
      <x:c r="AB864" s="55" t="str">
        <x:f>IF(C864="","", "Напиши " &amp; AA864 &amp; " за бизнес: " &amp; C864 &amp; ". Тип: " &amp; D864 &amp; ". Град: " &amp; E864 &amp; ". Проблем: " &amp; L864 &amp; ". Предложение: " &amp; M864 &amp; ". Етап: " &amp; N864 &amp; ". Бележки: " &amp; Y864)</x:f>
      </x:c>
      <x:c r="AC864" s="55"/>
    </x:row>
    <x:row r="865">
      <x:c r="A865" s="55"/>
      <x:c r="B865" s="55"/>
      <x:c r="C865" s="55"/>
      <x:c r="D865" s="55"/>
      <x:c r="E865" s="55"/>
      <x:c r="F865" s="55"/>
      <x:c r="G865" s="55"/>
      <x:c r="H865" s="55"/>
      <x:c r="I865" s="55"/>
      <x:c r="J865" s="55"/>
      <x:c r="K865" s="55"/>
      <x:c r="L865" s="55"/>
      <x:c r="M865" s="55"/>
      <x:c r="N865" s="55"/>
      <x:c r="O865" s="55"/>
      <x:c r="P865" s="55"/>
      <x:c r="Q865" s="55"/>
      <x:c r="R865" s="55"/>
      <x:c r="S865" s="55" t="str">
        <x:f>IF(C865="","",IFERROR(Q865*R865/100,""))</x:f>
      </x:c>
      <x:c r="T865" s="55"/>
      <x:c r="U865" s="55"/>
      <x:c r="V865" s="55" t="str">
        <x:f>IF(U865="","",U865-TODAY())</x:f>
      </x:c>
      <x:c r="W865" s="55" t="str">
        <x:f>IF(AND(U865&lt;&gt;"",U865&lt;TODAY(),O865="Активен"),"ДА","")</x:f>
      </x:c>
      <x:c r="X865" s="55"/>
      <x:c r="Y865" s="55"/>
      <x:c r="Z865" s="55"/>
      <x:c r="AA865" s="55"/>
      <x:c r="AB865" s="55" t="str">
        <x:f>IF(C865="","", "Напиши " &amp; AA865 &amp; " за бизнес: " &amp; C865 &amp; ". Тип: " &amp; D865 &amp; ". Град: " &amp; E865 &amp; ". Проблем: " &amp; L865 &amp; ". Предложение: " &amp; M865 &amp; ". Етап: " &amp; N865 &amp; ". Бележки: " &amp; Y865)</x:f>
      </x:c>
      <x:c r="AC865" s="55"/>
    </x:row>
    <x:row r="866">
      <x:c r="A866" s="55"/>
      <x:c r="B866" s="55"/>
      <x:c r="C866" s="55"/>
      <x:c r="D866" s="55"/>
      <x:c r="E866" s="55"/>
      <x:c r="F866" s="55"/>
      <x:c r="G866" s="55"/>
      <x:c r="H866" s="55"/>
      <x:c r="I866" s="55"/>
      <x:c r="J866" s="55"/>
      <x:c r="K866" s="55"/>
      <x:c r="L866" s="55"/>
      <x:c r="M866" s="55"/>
      <x:c r="N866" s="55"/>
      <x:c r="O866" s="55"/>
      <x:c r="P866" s="55"/>
      <x:c r="Q866" s="55"/>
      <x:c r="R866" s="55"/>
      <x:c r="S866" s="55" t="str">
        <x:f>IF(C866="","",IFERROR(Q866*R866/100,""))</x:f>
      </x:c>
      <x:c r="T866" s="55"/>
      <x:c r="U866" s="55"/>
      <x:c r="V866" s="55" t="str">
        <x:f>IF(U866="","",U866-TODAY())</x:f>
      </x:c>
      <x:c r="W866" s="55" t="str">
        <x:f>IF(AND(U866&lt;&gt;"",U866&lt;TODAY(),O866="Активен"),"ДА","")</x:f>
      </x:c>
      <x:c r="X866" s="55"/>
      <x:c r="Y866" s="55"/>
      <x:c r="Z866" s="55"/>
      <x:c r="AA866" s="55"/>
      <x:c r="AB866" s="55" t="str">
        <x:f>IF(C866="","", "Напиши " &amp; AA866 &amp; " за бизнес: " &amp; C866 &amp; ". Тип: " &amp; D866 &amp; ". Град: " &amp; E866 &amp; ". Проблем: " &amp; L866 &amp; ". Предложение: " &amp; M866 &amp; ". Етап: " &amp; N866 &amp; ". Бележки: " &amp; Y866)</x:f>
      </x:c>
      <x:c r="AC866" s="55"/>
    </x:row>
    <x:row r="867">
      <x:c r="A867" s="55"/>
      <x:c r="B867" s="55"/>
      <x:c r="C867" s="55"/>
      <x:c r="D867" s="55"/>
      <x:c r="E867" s="55"/>
      <x:c r="F867" s="55"/>
      <x:c r="G867" s="55"/>
      <x:c r="H867" s="55"/>
      <x:c r="I867" s="55"/>
      <x:c r="J867" s="55"/>
      <x:c r="K867" s="55"/>
      <x:c r="L867" s="55"/>
      <x:c r="M867" s="55"/>
      <x:c r="N867" s="55"/>
      <x:c r="O867" s="55"/>
      <x:c r="P867" s="55"/>
      <x:c r="Q867" s="55"/>
      <x:c r="R867" s="55"/>
      <x:c r="S867" s="55" t="str">
        <x:f>IF(C867="","",IFERROR(Q867*R867/100,""))</x:f>
      </x:c>
      <x:c r="T867" s="55"/>
      <x:c r="U867" s="55"/>
      <x:c r="V867" s="55" t="str">
        <x:f>IF(U867="","",U867-TODAY())</x:f>
      </x:c>
      <x:c r="W867" s="55" t="str">
        <x:f>IF(AND(U867&lt;&gt;"",U867&lt;TODAY(),O867="Активен"),"ДА","")</x:f>
      </x:c>
      <x:c r="X867" s="55"/>
      <x:c r="Y867" s="55"/>
      <x:c r="Z867" s="55"/>
      <x:c r="AA867" s="55"/>
      <x:c r="AB867" s="55" t="str">
        <x:f>IF(C867="","", "Напиши " &amp; AA867 &amp; " за бизнес: " &amp; C867 &amp; ". Тип: " &amp; D867 &amp; ". Град: " &amp; E867 &amp; ". Проблем: " &amp; L867 &amp; ". Предложение: " &amp; M867 &amp; ". Етап: " &amp; N867 &amp; ". Бележки: " &amp; Y867)</x:f>
      </x:c>
      <x:c r="AC867" s="55"/>
    </x:row>
    <x:row r="868">
      <x:c r="A868" s="55"/>
      <x:c r="B868" s="55"/>
      <x:c r="C868" s="55"/>
      <x:c r="D868" s="55"/>
      <x:c r="E868" s="55"/>
      <x:c r="F868" s="55"/>
      <x:c r="G868" s="55"/>
      <x:c r="H868" s="55"/>
      <x:c r="I868" s="55"/>
      <x:c r="J868" s="55"/>
      <x:c r="K868" s="55"/>
      <x:c r="L868" s="55"/>
      <x:c r="M868" s="55"/>
      <x:c r="N868" s="55"/>
      <x:c r="O868" s="55"/>
      <x:c r="P868" s="55"/>
      <x:c r="Q868" s="55"/>
      <x:c r="R868" s="55"/>
      <x:c r="S868" s="55" t="str">
        <x:f>IF(C868="","",IFERROR(Q868*R868/100,""))</x:f>
      </x:c>
      <x:c r="T868" s="55"/>
      <x:c r="U868" s="55"/>
      <x:c r="V868" s="55" t="str">
        <x:f>IF(U868="","",U868-TODAY())</x:f>
      </x:c>
      <x:c r="W868" s="55" t="str">
        <x:f>IF(AND(U868&lt;&gt;"",U868&lt;TODAY(),O868="Активен"),"ДА","")</x:f>
      </x:c>
      <x:c r="X868" s="55"/>
      <x:c r="Y868" s="55"/>
      <x:c r="Z868" s="55"/>
      <x:c r="AA868" s="55"/>
      <x:c r="AB868" s="55" t="str">
        <x:f>IF(C868="","", "Напиши " &amp; AA868 &amp; " за бизнес: " &amp; C868 &amp; ". Тип: " &amp; D868 &amp; ". Град: " &amp; E868 &amp; ". Проблем: " &amp; L868 &amp; ". Предложение: " &amp; M868 &amp; ". Етап: " &amp; N868 &amp; ". Бележки: " &amp; Y868)</x:f>
      </x:c>
      <x:c r="AC868" s="55"/>
    </x:row>
    <x:row r="869">
      <x:c r="A869" s="55"/>
      <x:c r="B869" s="55"/>
      <x:c r="C869" s="55"/>
      <x:c r="D869" s="55"/>
      <x:c r="E869" s="55"/>
      <x:c r="F869" s="55"/>
      <x:c r="G869" s="55"/>
      <x:c r="H869" s="55"/>
      <x:c r="I869" s="55"/>
      <x:c r="J869" s="55"/>
      <x:c r="K869" s="55"/>
      <x:c r="L869" s="55"/>
      <x:c r="M869" s="55"/>
      <x:c r="N869" s="55"/>
      <x:c r="O869" s="55"/>
      <x:c r="P869" s="55"/>
      <x:c r="Q869" s="55"/>
      <x:c r="R869" s="55"/>
      <x:c r="S869" s="55" t="str">
        <x:f>IF(C869="","",IFERROR(Q869*R869/100,""))</x:f>
      </x:c>
      <x:c r="T869" s="55"/>
      <x:c r="U869" s="55"/>
      <x:c r="V869" s="55" t="str">
        <x:f>IF(U869="","",U869-TODAY())</x:f>
      </x:c>
      <x:c r="W869" s="55" t="str">
        <x:f>IF(AND(U869&lt;&gt;"",U869&lt;TODAY(),O869="Активен"),"ДА","")</x:f>
      </x:c>
      <x:c r="X869" s="55"/>
      <x:c r="Y869" s="55"/>
      <x:c r="Z869" s="55"/>
      <x:c r="AA869" s="55"/>
      <x:c r="AB869" s="55" t="str">
        <x:f>IF(C869="","", "Напиши " &amp; AA869 &amp; " за бизнес: " &amp; C869 &amp; ". Тип: " &amp; D869 &amp; ". Град: " &amp; E869 &amp; ". Проблем: " &amp; L869 &amp; ". Предложение: " &amp; M869 &amp; ". Етап: " &amp; N869 &amp; ". Бележки: " &amp; Y869)</x:f>
      </x:c>
      <x:c r="AC869" s="55"/>
    </x:row>
    <x:row r="870">
      <x:c r="A870" s="55"/>
      <x:c r="B870" s="55"/>
      <x:c r="C870" s="55"/>
      <x:c r="D870" s="55"/>
      <x:c r="E870" s="55"/>
      <x:c r="F870" s="55"/>
      <x:c r="G870" s="55"/>
      <x:c r="H870" s="55"/>
      <x:c r="I870" s="55"/>
      <x:c r="J870" s="55"/>
      <x:c r="K870" s="55"/>
      <x:c r="L870" s="55"/>
      <x:c r="M870" s="55"/>
      <x:c r="N870" s="55"/>
      <x:c r="O870" s="55"/>
      <x:c r="P870" s="55"/>
      <x:c r="Q870" s="55"/>
      <x:c r="R870" s="55"/>
      <x:c r="S870" s="55" t="str">
        <x:f>IF(C870="","",IFERROR(Q870*R870/100,""))</x:f>
      </x:c>
      <x:c r="T870" s="55"/>
      <x:c r="U870" s="55"/>
      <x:c r="V870" s="55" t="str">
        <x:f>IF(U870="","",U870-TODAY())</x:f>
      </x:c>
      <x:c r="W870" s="55" t="str">
        <x:f>IF(AND(U870&lt;&gt;"",U870&lt;TODAY(),O870="Активен"),"ДА","")</x:f>
      </x:c>
      <x:c r="X870" s="55"/>
      <x:c r="Y870" s="55"/>
      <x:c r="Z870" s="55"/>
      <x:c r="AA870" s="55"/>
      <x:c r="AB870" s="55" t="str">
        <x:f>IF(C870="","", "Напиши " &amp; AA870 &amp; " за бизнес: " &amp; C870 &amp; ". Тип: " &amp; D870 &amp; ". Град: " &amp; E870 &amp; ". Проблем: " &amp; L870 &amp; ". Предложение: " &amp; M870 &amp; ". Етап: " &amp; N870 &amp; ". Бележки: " &amp; Y870)</x:f>
      </x:c>
      <x:c r="AC870" s="55"/>
    </x:row>
    <x:row r="871">
      <x:c r="A871" s="55"/>
      <x:c r="B871" s="55"/>
      <x:c r="C871" s="55"/>
      <x:c r="D871" s="55"/>
      <x:c r="E871" s="55"/>
      <x:c r="F871" s="55"/>
      <x:c r="G871" s="55"/>
      <x:c r="H871" s="55"/>
      <x:c r="I871" s="55"/>
      <x:c r="J871" s="55"/>
      <x:c r="K871" s="55"/>
      <x:c r="L871" s="55"/>
      <x:c r="M871" s="55"/>
      <x:c r="N871" s="55"/>
      <x:c r="O871" s="55"/>
      <x:c r="P871" s="55"/>
      <x:c r="Q871" s="55"/>
      <x:c r="R871" s="55"/>
      <x:c r="S871" s="55" t="str">
        <x:f>IF(C871="","",IFERROR(Q871*R871/100,""))</x:f>
      </x:c>
      <x:c r="T871" s="55"/>
      <x:c r="U871" s="55"/>
      <x:c r="V871" s="55" t="str">
        <x:f>IF(U871="","",U871-TODAY())</x:f>
      </x:c>
      <x:c r="W871" s="55" t="str">
        <x:f>IF(AND(U871&lt;&gt;"",U871&lt;TODAY(),O871="Активен"),"ДА","")</x:f>
      </x:c>
      <x:c r="X871" s="55"/>
      <x:c r="Y871" s="55"/>
      <x:c r="Z871" s="55"/>
      <x:c r="AA871" s="55"/>
      <x:c r="AB871" s="55" t="str">
        <x:f>IF(C871="","", "Напиши " &amp; AA871 &amp; " за бизнес: " &amp; C871 &amp; ". Тип: " &amp; D871 &amp; ". Град: " &amp; E871 &amp; ". Проблем: " &amp; L871 &amp; ". Предложение: " &amp; M871 &amp; ". Етап: " &amp; N871 &amp; ". Бележки: " &amp; Y871)</x:f>
      </x:c>
      <x:c r="AC871" s="55"/>
    </x:row>
    <x:row r="872">
      <x:c r="A872" s="55"/>
      <x:c r="B872" s="55"/>
      <x:c r="C872" s="55"/>
      <x:c r="D872" s="55"/>
      <x:c r="E872" s="55"/>
      <x:c r="F872" s="55"/>
      <x:c r="G872" s="55"/>
      <x:c r="H872" s="55"/>
      <x:c r="I872" s="55"/>
      <x:c r="J872" s="55"/>
      <x:c r="K872" s="55"/>
      <x:c r="L872" s="55"/>
      <x:c r="M872" s="55"/>
      <x:c r="N872" s="55"/>
      <x:c r="O872" s="55"/>
      <x:c r="P872" s="55"/>
      <x:c r="Q872" s="55"/>
      <x:c r="R872" s="55"/>
      <x:c r="S872" s="55" t="str">
        <x:f>IF(C872="","",IFERROR(Q872*R872/100,""))</x:f>
      </x:c>
      <x:c r="T872" s="55"/>
      <x:c r="U872" s="55"/>
      <x:c r="V872" s="55" t="str">
        <x:f>IF(U872="","",U872-TODAY())</x:f>
      </x:c>
      <x:c r="W872" s="55" t="str">
        <x:f>IF(AND(U872&lt;&gt;"",U872&lt;TODAY(),O872="Активен"),"ДА","")</x:f>
      </x:c>
      <x:c r="X872" s="55"/>
      <x:c r="Y872" s="55"/>
      <x:c r="Z872" s="55"/>
      <x:c r="AA872" s="55"/>
      <x:c r="AB872" s="55" t="str">
        <x:f>IF(C872="","", "Напиши " &amp; AA872 &amp; " за бизнес: " &amp; C872 &amp; ". Тип: " &amp; D872 &amp; ". Град: " &amp; E872 &amp; ". Проблем: " &amp; L872 &amp; ". Предложение: " &amp; M872 &amp; ". Етап: " &amp; N872 &amp; ". Бележки: " &amp; Y872)</x:f>
      </x:c>
      <x:c r="AC872" s="55"/>
    </x:row>
    <x:row r="873">
      <x:c r="A873" s="55"/>
      <x:c r="B873" s="55"/>
      <x:c r="C873" s="55"/>
      <x:c r="D873" s="55"/>
      <x:c r="E873" s="55"/>
      <x:c r="F873" s="55"/>
      <x:c r="G873" s="55"/>
      <x:c r="H873" s="55"/>
      <x:c r="I873" s="55"/>
      <x:c r="J873" s="55"/>
      <x:c r="K873" s="55"/>
      <x:c r="L873" s="55"/>
      <x:c r="M873" s="55"/>
      <x:c r="N873" s="55"/>
      <x:c r="O873" s="55"/>
      <x:c r="P873" s="55"/>
      <x:c r="Q873" s="55"/>
      <x:c r="R873" s="55"/>
      <x:c r="S873" s="55" t="str">
        <x:f>IF(C873="","",IFERROR(Q873*R873/100,""))</x:f>
      </x:c>
      <x:c r="T873" s="55"/>
      <x:c r="U873" s="55"/>
      <x:c r="V873" s="55" t="str">
        <x:f>IF(U873="","",U873-TODAY())</x:f>
      </x:c>
      <x:c r="W873" s="55" t="str">
        <x:f>IF(AND(U873&lt;&gt;"",U873&lt;TODAY(),O873="Активен"),"ДА","")</x:f>
      </x:c>
      <x:c r="X873" s="55"/>
      <x:c r="Y873" s="55"/>
      <x:c r="Z873" s="55"/>
      <x:c r="AA873" s="55"/>
      <x:c r="AB873" s="55" t="str">
        <x:f>IF(C873="","", "Напиши " &amp; AA873 &amp; " за бизнес: " &amp; C873 &amp; ". Тип: " &amp; D873 &amp; ". Град: " &amp; E873 &amp; ". Проблем: " &amp; L873 &amp; ". Предложение: " &amp; M873 &amp; ". Етап: " &amp; N873 &amp; ". Бележки: " &amp; Y873)</x:f>
      </x:c>
      <x:c r="AC873" s="55"/>
    </x:row>
    <x:row r="874">
      <x:c r="A874" s="55"/>
      <x:c r="B874" s="55"/>
      <x:c r="C874" s="55"/>
      <x:c r="D874" s="55"/>
      <x:c r="E874" s="55"/>
      <x:c r="F874" s="55"/>
      <x:c r="G874" s="55"/>
      <x:c r="H874" s="55"/>
      <x:c r="I874" s="55"/>
      <x:c r="J874" s="55"/>
      <x:c r="K874" s="55"/>
      <x:c r="L874" s="55"/>
      <x:c r="M874" s="55"/>
      <x:c r="N874" s="55"/>
      <x:c r="O874" s="55"/>
      <x:c r="P874" s="55"/>
      <x:c r="Q874" s="55"/>
      <x:c r="R874" s="55"/>
      <x:c r="S874" s="55" t="str">
        <x:f>IF(C874="","",IFERROR(Q874*R874/100,""))</x:f>
      </x:c>
      <x:c r="T874" s="55"/>
      <x:c r="U874" s="55"/>
      <x:c r="V874" s="55" t="str">
        <x:f>IF(U874="","",U874-TODAY())</x:f>
      </x:c>
      <x:c r="W874" s="55" t="str">
        <x:f>IF(AND(U874&lt;&gt;"",U874&lt;TODAY(),O874="Активен"),"ДА","")</x:f>
      </x:c>
      <x:c r="X874" s="55"/>
      <x:c r="Y874" s="55"/>
      <x:c r="Z874" s="55"/>
      <x:c r="AA874" s="55"/>
      <x:c r="AB874" s="55" t="str">
        <x:f>IF(C874="","", "Напиши " &amp; AA874 &amp; " за бизнес: " &amp; C874 &amp; ". Тип: " &amp; D874 &amp; ". Град: " &amp; E874 &amp; ". Проблем: " &amp; L874 &amp; ". Предложение: " &amp; M874 &amp; ". Етап: " &amp; N874 &amp; ". Бележки: " &amp; Y874)</x:f>
      </x:c>
      <x:c r="AC874" s="55"/>
    </x:row>
    <x:row r="875">
      <x:c r="A875" s="55"/>
      <x:c r="B875" s="55"/>
      <x:c r="C875" s="55"/>
      <x:c r="D875" s="55"/>
      <x:c r="E875" s="55"/>
      <x:c r="F875" s="55"/>
      <x:c r="G875" s="55"/>
      <x:c r="H875" s="55"/>
      <x:c r="I875" s="55"/>
      <x:c r="J875" s="55"/>
      <x:c r="K875" s="55"/>
      <x:c r="L875" s="55"/>
      <x:c r="M875" s="55"/>
      <x:c r="N875" s="55"/>
      <x:c r="O875" s="55"/>
      <x:c r="P875" s="55"/>
      <x:c r="Q875" s="55"/>
      <x:c r="R875" s="55"/>
      <x:c r="S875" s="55" t="str">
        <x:f>IF(C875="","",IFERROR(Q875*R875/100,""))</x:f>
      </x:c>
      <x:c r="T875" s="55"/>
      <x:c r="U875" s="55"/>
      <x:c r="V875" s="55" t="str">
        <x:f>IF(U875="","",U875-TODAY())</x:f>
      </x:c>
      <x:c r="W875" s="55" t="str">
        <x:f>IF(AND(U875&lt;&gt;"",U875&lt;TODAY(),O875="Активен"),"ДА","")</x:f>
      </x:c>
      <x:c r="X875" s="55"/>
      <x:c r="Y875" s="55"/>
      <x:c r="Z875" s="55"/>
      <x:c r="AA875" s="55"/>
      <x:c r="AB875" s="55" t="str">
        <x:f>IF(C875="","", "Напиши " &amp; AA875 &amp; " за бизнес: " &amp; C875 &amp; ". Тип: " &amp; D875 &amp; ". Град: " &amp; E875 &amp; ". Проблем: " &amp; L875 &amp; ". Предложение: " &amp; M875 &amp; ". Етап: " &amp; N875 &amp; ". Бележки: " &amp; Y875)</x:f>
      </x:c>
      <x:c r="AC875" s="55"/>
    </x:row>
    <x:row r="876">
      <x:c r="A876" s="55"/>
      <x:c r="B876" s="55"/>
      <x:c r="C876" s="55"/>
      <x:c r="D876" s="55"/>
      <x:c r="E876" s="55"/>
      <x:c r="F876" s="55"/>
      <x:c r="G876" s="55"/>
      <x:c r="H876" s="55"/>
      <x:c r="I876" s="55"/>
      <x:c r="J876" s="55"/>
      <x:c r="K876" s="55"/>
      <x:c r="L876" s="55"/>
      <x:c r="M876" s="55"/>
      <x:c r="N876" s="55"/>
      <x:c r="O876" s="55"/>
      <x:c r="P876" s="55"/>
      <x:c r="Q876" s="55"/>
      <x:c r="R876" s="55"/>
      <x:c r="S876" s="55" t="str">
        <x:f>IF(C876="","",IFERROR(Q876*R876/100,""))</x:f>
      </x:c>
      <x:c r="T876" s="55"/>
      <x:c r="U876" s="55"/>
      <x:c r="V876" s="55" t="str">
        <x:f>IF(U876="","",U876-TODAY())</x:f>
      </x:c>
      <x:c r="W876" s="55" t="str">
        <x:f>IF(AND(U876&lt;&gt;"",U876&lt;TODAY(),O876="Активен"),"ДА","")</x:f>
      </x:c>
      <x:c r="X876" s="55"/>
      <x:c r="Y876" s="55"/>
      <x:c r="Z876" s="55"/>
      <x:c r="AA876" s="55"/>
      <x:c r="AB876" s="55" t="str">
        <x:f>IF(C876="","", "Напиши " &amp; AA876 &amp; " за бизнес: " &amp; C876 &amp; ". Тип: " &amp; D876 &amp; ". Град: " &amp; E876 &amp; ". Проблем: " &amp; L876 &amp; ". Предложение: " &amp; M876 &amp; ". Етап: " &amp; N876 &amp; ". Бележки: " &amp; Y876)</x:f>
      </x:c>
      <x:c r="AC876" s="55"/>
    </x:row>
    <x:row r="877">
      <x:c r="A877" s="55"/>
      <x:c r="B877" s="55"/>
      <x:c r="C877" s="55"/>
      <x:c r="D877" s="55"/>
      <x:c r="E877" s="55"/>
      <x:c r="F877" s="55"/>
      <x:c r="G877" s="55"/>
      <x:c r="H877" s="55"/>
      <x:c r="I877" s="55"/>
      <x:c r="J877" s="55"/>
      <x:c r="K877" s="55"/>
      <x:c r="L877" s="55"/>
      <x:c r="M877" s="55"/>
      <x:c r="N877" s="55"/>
      <x:c r="O877" s="55"/>
      <x:c r="P877" s="55"/>
      <x:c r="Q877" s="55"/>
      <x:c r="R877" s="55"/>
      <x:c r="S877" s="55" t="str">
        <x:f>IF(C877="","",IFERROR(Q877*R877/100,""))</x:f>
      </x:c>
      <x:c r="T877" s="55"/>
      <x:c r="U877" s="55"/>
      <x:c r="V877" s="55" t="str">
        <x:f>IF(U877="","",U877-TODAY())</x:f>
      </x:c>
      <x:c r="W877" s="55" t="str">
        <x:f>IF(AND(U877&lt;&gt;"",U877&lt;TODAY(),O877="Активен"),"ДА","")</x:f>
      </x:c>
      <x:c r="X877" s="55"/>
      <x:c r="Y877" s="55"/>
      <x:c r="Z877" s="55"/>
      <x:c r="AA877" s="55"/>
      <x:c r="AB877" s="55" t="str">
        <x:f>IF(C877="","", "Напиши " &amp; AA877 &amp; " за бизнес: " &amp; C877 &amp; ". Тип: " &amp; D877 &amp; ". Град: " &amp; E877 &amp; ". Проблем: " &amp; L877 &amp; ". Предложение: " &amp; M877 &amp; ". Етап: " &amp; N877 &amp; ". Бележки: " &amp; Y877)</x:f>
      </x:c>
      <x:c r="AC877" s="55"/>
    </x:row>
    <x:row r="878">
      <x:c r="A878" s="55"/>
      <x:c r="B878" s="55"/>
      <x:c r="C878" s="55"/>
      <x:c r="D878" s="55"/>
      <x:c r="E878" s="55"/>
      <x:c r="F878" s="55"/>
      <x:c r="G878" s="55"/>
      <x:c r="H878" s="55"/>
      <x:c r="I878" s="55"/>
      <x:c r="J878" s="55"/>
      <x:c r="K878" s="55"/>
      <x:c r="L878" s="55"/>
      <x:c r="M878" s="55"/>
      <x:c r="N878" s="55"/>
      <x:c r="O878" s="55"/>
      <x:c r="P878" s="55"/>
      <x:c r="Q878" s="55"/>
      <x:c r="R878" s="55"/>
      <x:c r="S878" s="55" t="str">
        <x:f>IF(C878="","",IFERROR(Q878*R878/100,""))</x:f>
      </x:c>
      <x:c r="T878" s="55"/>
      <x:c r="U878" s="55"/>
      <x:c r="V878" s="55" t="str">
        <x:f>IF(U878="","",U878-TODAY())</x:f>
      </x:c>
      <x:c r="W878" s="55" t="str">
        <x:f>IF(AND(U878&lt;&gt;"",U878&lt;TODAY(),O878="Активен"),"ДА","")</x:f>
      </x:c>
      <x:c r="X878" s="55"/>
      <x:c r="Y878" s="55"/>
      <x:c r="Z878" s="55"/>
      <x:c r="AA878" s="55"/>
      <x:c r="AB878" s="55" t="str">
        <x:f>IF(C878="","", "Напиши " &amp; AA878 &amp; " за бизнес: " &amp; C878 &amp; ". Тип: " &amp; D878 &amp; ". Град: " &amp; E878 &amp; ". Проблем: " &amp; L878 &amp; ". Предложение: " &amp; M878 &amp; ". Етап: " &amp; N878 &amp; ". Бележки: " &amp; Y878)</x:f>
      </x:c>
      <x:c r="AC878" s="55"/>
    </x:row>
    <x:row r="879">
      <x:c r="A879" s="55"/>
      <x:c r="B879" s="55"/>
      <x:c r="C879" s="55"/>
      <x:c r="D879" s="55"/>
      <x:c r="E879" s="55"/>
      <x:c r="F879" s="55"/>
      <x:c r="G879" s="55"/>
      <x:c r="H879" s="55"/>
      <x:c r="I879" s="55"/>
      <x:c r="J879" s="55"/>
      <x:c r="K879" s="55"/>
      <x:c r="L879" s="55"/>
      <x:c r="M879" s="55"/>
      <x:c r="N879" s="55"/>
      <x:c r="O879" s="55"/>
      <x:c r="P879" s="55"/>
      <x:c r="Q879" s="55"/>
      <x:c r="R879" s="55"/>
      <x:c r="S879" s="55" t="str">
        <x:f>IF(C879="","",IFERROR(Q879*R879/100,""))</x:f>
      </x:c>
      <x:c r="T879" s="55"/>
      <x:c r="U879" s="55"/>
      <x:c r="V879" s="55" t="str">
        <x:f>IF(U879="","",U879-TODAY())</x:f>
      </x:c>
      <x:c r="W879" s="55" t="str">
        <x:f>IF(AND(U879&lt;&gt;"",U879&lt;TODAY(),O879="Активен"),"ДА","")</x:f>
      </x:c>
      <x:c r="X879" s="55"/>
      <x:c r="Y879" s="55"/>
      <x:c r="Z879" s="55"/>
      <x:c r="AA879" s="55"/>
      <x:c r="AB879" s="55" t="str">
        <x:f>IF(C879="","", "Напиши " &amp; AA879 &amp; " за бизнес: " &amp; C879 &amp; ". Тип: " &amp; D879 &amp; ". Град: " &amp; E879 &amp; ". Проблем: " &amp; L879 &amp; ". Предложение: " &amp; M879 &amp; ". Етап: " &amp; N879 &amp; ". Бележки: " &amp; Y879)</x:f>
      </x:c>
      <x:c r="AC879" s="55"/>
    </x:row>
    <x:row r="880">
      <x:c r="A880" s="55"/>
      <x:c r="B880" s="55"/>
      <x:c r="C880" s="55"/>
      <x:c r="D880" s="55"/>
      <x:c r="E880" s="55"/>
      <x:c r="F880" s="55"/>
      <x:c r="G880" s="55"/>
      <x:c r="H880" s="55"/>
      <x:c r="I880" s="55"/>
      <x:c r="J880" s="55"/>
      <x:c r="K880" s="55"/>
      <x:c r="L880" s="55"/>
      <x:c r="M880" s="55"/>
      <x:c r="N880" s="55"/>
      <x:c r="O880" s="55"/>
      <x:c r="P880" s="55"/>
      <x:c r="Q880" s="55"/>
      <x:c r="R880" s="55"/>
      <x:c r="S880" s="55" t="str">
        <x:f>IF(C880="","",IFERROR(Q880*R880/100,""))</x:f>
      </x:c>
      <x:c r="T880" s="55"/>
      <x:c r="U880" s="55"/>
      <x:c r="V880" s="55" t="str">
        <x:f>IF(U880="","",U880-TODAY())</x:f>
      </x:c>
      <x:c r="W880" s="55" t="str">
        <x:f>IF(AND(U880&lt;&gt;"",U880&lt;TODAY(),O880="Активен"),"ДА","")</x:f>
      </x:c>
      <x:c r="X880" s="55"/>
      <x:c r="Y880" s="55"/>
      <x:c r="Z880" s="55"/>
      <x:c r="AA880" s="55"/>
      <x:c r="AB880" s="55" t="str">
        <x:f>IF(C880="","", "Напиши " &amp; AA880 &amp; " за бизнес: " &amp; C880 &amp; ". Тип: " &amp; D880 &amp; ". Град: " &amp; E880 &amp; ". Проблем: " &amp; L880 &amp; ". Предложение: " &amp; M880 &amp; ". Етап: " &amp; N880 &amp; ". Бележки: " &amp; Y880)</x:f>
      </x:c>
      <x:c r="AC880" s="55"/>
    </x:row>
    <x:row r="881">
      <x:c r="A881" s="55"/>
      <x:c r="B881" s="55"/>
      <x:c r="C881" s="55"/>
      <x:c r="D881" s="55"/>
      <x:c r="E881" s="55"/>
      <x:c r="F881" s="55"/>
      <x:c r="G881" s="55"/>
      <x:c r="H881" s="55"/>
      <x:c r="I881" s="55"/>
      <x:c r="J881" s="55"/>
      <x:c r="K881" s="55"/>
      <x:c r="L881" s="55"/>
      <x:c r="M881" s="55"/>
      <x:c r="N881" s="55"/>
      <x:c r="O881" s="55"/>
      <x:c r="P881" s="55"/>
      <x:c r="Q881" s="55"/>
      <x:c r="R881" s="55"/>
      <x:c r="S881" s="55" t="str">
        <x:f>IF(C881="","",IFERROR(Q881*R881/100,""))</x:f>
      </x:c>
      <x:c r="T881" s="55"/>
      <x:c r="U881" s="55"/>
      <x:c r="V881" s="55" t="str">
        <x:f>IF(U881="","",U881-TODAY())</x:f>
      </x:c>
      <x:c r="W881" s="55" t="str">
        <x:f>IF(AND(U881&lt;&gt;"",U881&lt;TODAY(),O881="Активен"),"ДА","")</x:f>
      </x:c>
      <x:c r="X881" s="55"/>
      <x:c r="Y881" s="55"/>
      <x:c r="Z881" s="55"/>
      <x:c r="AA881" s="55"/>
      <x:c r="AB881" s="55" t="str">
        <x:f>IF(C881="","", "Напиши " &amp; AA881 &amp; " за бизнес: " &amp; C881 &amp; ". Тип: " &amp; D881 &amp; ". Град: " &amp; E881 &amp; ". Проблем: " &amp; L881 &amp; ". Предложение: " &amp; M881 &amp; ". Етап: " &amp; N881 &amp; ". Бележки: " &amp; Y881)</x:f>
      </x:c>
      <x:c r="AC881" s="55"/>
    </x:row>
    <x:row r="882">
      <x:c r="A882" s="55"/>
      <x:c r="B882" s="55"/>
      <x:c r="C882" s="55"/>
      <x:c r="D882" s="55"/>
      <x:c r="E882" s="55"/>
      <x:c r="F882" s="55"/>
      <x:c r="G882" s="55"/>
      <x:c r="H882" s="55"/>
      <x:c r="I882" s="55"/>
      <x:c r="J882" s="55"/>
      <x:c r="K882" s="55"/>
      <x:c r="L882" s="55"/>
      <x:c r="M882" s="55"/>
      <x:c r="N882" s="55"/>
      <x:c r="O882" s="55"/>
      <x:c r="P882" s="55"/>
      <x:c r="Q882" s="55"/>
      <x:c r="R882" s="55"/>
      <x:c r="S882" s="55" t="str">
        <x:f>IF(C882="","",IFERROR(Q882*R882/100,""))</x:f>
      </x:c>
      <x:c r="T882" s="55"/>
      <x:c r="U882" s="55"/>
      <x:c r="V882" s="55" t="str">
        <x:f>IF(U882="","",U882-TODAY())</x:f>
      </x:c>
      <x:c r="W882" s="55" t="str">
        <x:f>IF(AND(U882&lt;&gt;"",U882&lt;TODAY(),O882="Активен"),"ДА","")</x:f>
      </x:c>
      <x:c r="X882" s="55"/>
      <x:c r="Y882" s="55"/>
      <x:c r="Z882" s="55"/>
      <x:c r="AA882" s="55"/>
      <x:c r="AB882" s="55" t="str">
        <x:f>IF(C882="","", "Напиши " &amp; AA882 &amp; " за бизнес: " &amp; C882 &amp; ". Тип: " &amp; D882 &amp; ". Град: " &amp; E882 &amp; ". Проблем: " &amp; L882 &amp; ". Предложение: " &amp; M882 &amp; ". Етап: " &amp; N882 &amp; ". Бележки: " &amp; Y882)</x:f>
      </x:c>
      <x:c r="AC882" s="55"/>
    </x:row>
    <x:row r="883">
      <x:c r="A883" s="55"/>
      <x:c r="B883" s="55"/>
      <x:c r="C883" s="55"/>
      <x:c r="D883" s="55"/>
      <x:c r="E883" s="55"/>
      <x:c r="F883" s="55"/>
      <x:c r="G883" s="55"/>
      <x:c r="H883" s="55"/>
      <x:c r="I883" s="55"/>
      <x:c r="J883" s="55"/>
      <x:c r="K883" s="55"/>
      <x:c r="L883" s="55"/>
      <x:c r="M883" s="55"/>
      <x:c r="N883" s="55"/>
      <x:c r="O883" s="55"/>
      <x:c r="P883" s="55"/>
      <x:c r="Q883" s="55"/>
      <x:c r="R883" s="55"/>
      <x:c r="S883" s="55" t="str">
        <x:f>IF(C883="","",IFERROR(Q883*R883/100,""))</x:f>
      </x:c>
      <x:c r="T883" s="55"/>
      <x:c r="U883" s="55"/>
      <x:c r="V883" s="55" t="str">
        <x:f>IF(U883="","",U883-TODAY())</x:f>
      </x:c>
      <x:c r="W883" s="55" t="str">
        <x:f>IF(AND(U883&lt;&gt;"",U883&lt;TODAY(),O883="Активен"),"ДА","")</x:f>
      </x:c>
      <x:c r="X883" s="55"/>
      <x:c r="Y883" s="55"/>
      <x:c r="Z883" s="55"/>
      <x:c r="AA883" s="55"/>
      <x:c r="AB883" s="55" t="str">
        <x:f>IF(C883="","", "Напиши " &amp; AA883 &amp; " за бизнес: " &amp; C883 &amp; ". Тип: " &amp; D883 &amp; ". Град: " &amp; E883 &amp; ". Проблем: " &amp; L883 &amp; ". Предложение: " &amp; M883 &amp; ". Етап: " &amp; N883 &amp; ". Бележки: " &amp; Y883)</x:f>
      </x:c>
      <x:c r="AC883" s="55"/>
    </x:row>
    <x:row r="884">
      <x:c r="A884" s="55"/>
      <x:c r="B884" s="55"/>
      <x:c r="C884" s="55"/>
      <x:c r="D884" s="55"/>
      <x:c r="E884" s="55"/>
      <x:c r="F884" s="55"/>
      <x:c r="G884" s="55"/>
      <x:c r="H884" s="55"/>
      <x:c r="I884" s="55"/>
      <x:c r="J884" s="55"/>
      <x:c r="K884" s="55"/>
      <x:c r="L884" s="55"/>
      <x:c r="M884" s="55"/>
      <x:c r="N884" s="55"/>
      <x:c r="O884" s="55"/>
      <x:c r="P884" s="55"/>
      <x:c r="Q884" s="55"/>
      <x:c r="R884" s="55"/>
      <x:c r="S884" s="55" t="str">
        <x:f>IF(C884="","",IFERROR(Q884*R884/100,""))</x:f>
      </x:c>
      <x:c r="T884" s="55"/>
      <x:c r="U884" s="55"/>
      <x:c r="V884" s="55" t="str">
        <x:f>IF(U884="","",U884-TODAY())</x:f>
      </x:c>
      <x:c r="W884" s="55" t="str">
        <x:f>IF(AND(U884&lt;&gt;"",U884&lt;TODAY(),O884="Активен"),"ДА","")</x:f>
      </x:c>
      <x:c r="X884" s="55"/>
      <x:c r="Y884" s="55"/>
      <x:c r="Z884" s="55"/>
      <x:c r="AA884" s="55"/>
      <x:c r="AB884" s="55" t="str">
        <x:f>IF(C884="","", "Напиши " &amp; AA884 &amp; " за бизнес: " &amp; C884 &amp; ". Тип: " &amp; D884 &amp; ". Град: " &amp; E884 &amp; ". Проблем: " &amp; L884 &amp; ". Предложение: " &amp; M884 &amp; ". Етап: " &amp; N884 &amp; ". Бележки: " &amp; Y884)</x:f>
      </x:c>
      <x:c r="AC884" s="55"/>
    </x:row>
    <x:row r="885">
      <x:c r="A885" s="55"/>
      <x:c r="B885" s="55"/>
      <x:c r="C885" s="55"/>
      <x:c r="D885" s="55"/>
      <x:c r="E885" s="55"/>
      <x:c r="F885" s="55"/>
      <x:c r="G885" s="55"/>
      <x:c r="H885" s="55"/>
      <x:c r="I885" s="55"/>
      <x:c r="J885" s="55"/>
      <x:c r="K885" s="55"/>
      <x:c r="L885" s="55"/>
      <x:c r="M885" s="55"/>
      <x:c r="N885" s="55"/>
      <x:c r="O885" s="55"/>
      <x:c r="P885" s="55"/>
      <x:c r="Q885" s="55"/>
      <x:c r="R885" s="55"/>
      <x:c r="S885" s="55" t="str">
        <x:f>IF(C885="","",IFERROR(Q885*R885/100,""))</x:f>
      </x:c>
      <x:c r="T885" s="55"/>
      <x:c r="U885" s="55"/>
      <x:c r="V885" s="55" t="str">
        <x:f>IF(U885="","",U885-TODAY())</x:f>
      </x:c>
      <x:c r="W885" s="55" t="str">
        <x:f>IF(AND(U885&lt;&gt;"",U885&lt;TODAY(),O885="Активен"),"ДА","")</x:f>
      </x:c>
      <x:c r="X885" s="55"/>
      <x:c r="Y885" s="55"/>
      <x:c r="Z885" s="55"/>
      <x:c r="AA885" s="55"/>
      <x:c r="AB885" s="55" t="str">
        <x:f>IF(C885="","", "Напиши " &amp; AA885 &amp; " за бизнес: " &amp; C885 &amp; ". Тип: " &amp; D885 &amp; ". Град: " &amp; E885 &amp; ". Проблем: " &amp; L885 &amp; ". Предложение: " &amp; M885 &amp; ". Етап: " &amp; N885 &amp; ". Бележки: " &amp; Y885)</x:f>
      </x:c>
      <x:c r="AC885" s="55"/>
    </x:row>
    <x:row r="886">
      <x:c r="A886" s="55"/>
      <x:c r="B886" s="55"/>
      <x:c r="C886" s="55"/>
      <x:c r="D886" s="55"/>
      <x:c r="E886" s="55"/>
      <x:c r="F886" s="55"/>
      <x:c r="G886" s="55"/>
      <x:c r="H886" s="55"/>
      <x:c r="I886" s="55"/>
      <x:c r="J886" s="55"/>
      <x:c r="K886" s="55"/>
      <x:c r="L886" s="55"/>
      <x:c r="M886" s="55"/>
      <x:c r="N886" s="55"/>
      <x:c r="O886" s="55"/>
      <x:c r="P886" s="55"/>
      <x:c r="Q886" s="55"/>
      <x:c r="R886" s="55"/>
      <x:c r="S886" s="55" t="str">
        <x:f>IF(C886="","",IFERROR(Q886*R886/100,""))</x:f>
      </x:c>
      <x:c r="T886" s="55"/>
      <x:c r="U886" s="55"/>
      <x:c r="V886" s="55" t="str">
        <x:f>IF(U886="","",U886-TODAY())</x:f>
      </x:c>
      <x:c r="W886" s="55" t="str">
        <x:f>IF(AND(U886&lt;&gt;"",U886&lt;TODAY(),O886="Активен"),"ДА","")</x:f>
      </x:c>
      <x:c r="X886" s="55"/>
      <x:c r="Y886" s="55"/>
      <x:c r="Z886" s="55"/>
      <x:c r="AA886" s="55"/>
      <x:c r="AB886" s="55" t="str">
        <x:f>IF(C886="","", "Напиши " &amp; AA886 &amp; " за бизнес: " &amp; C886 &amp; ". Тип: " &amp; D886 &amp; ". Град: " &amp; E886 &amp; ". Проблем: " &amp; L886 &amp; ". Предложение: " &amp; M886 &amp; ". Етап: " &amp; N886 &amp; ". Бележки: " &amp; Y886)</x:f>
      </x:c>
      <x:c r="AC886" s="55"/>
    </x:row>
    <x:row r="887">
      <x:c r="A887" s="55"/>
      <x:c r="B887" s="55"/>
      <x:c r="C887" s="55"/>
      <x:c r="D887" s="55"/>
      <x:c r="E887" s="55"/>
      <x:c r="F887" s="55"/>
      <x:c r="G887" s="55"/>
      <x:c r="H887" s="55"/>
      <x:c r="I887" s="55"/>
      <x:c r="J887" s="55"/>
      <x:c r="K887" s="55"/>
      <x:c r="L887" s="55"/>
      <x:c r="M887" s="55"/>
      <x:c r="N887" s="55"/>
      <x:c r="O887" s="55"/>
      <x:c r="P887" s="55"/>
      <x:c r="Q887" s="55"/>
      <x:c r="R887" s="55"/>
      <x:c r="S887" s="55" t="str">
        <x:f>IF(C887="","",IFERROR(Q887*R887/100,""))</x:f>
      </x:c>
      <x:c r="T887" s="55"/>
      <x:c r="U887" s="55"/>
      <x:c r="V887" s="55" t="str">
        <x:f>IF(U887="","",U887-TODAY())</x:f>
      </x:c>
      <x:c r="W887" s="55" t="str">
        <x:f>IF(AND(U887&lt;&gt;"",U887&lt;TODAY(),O887="Активен"),"ДА","")</x:f>
      </x:c>
      <x:c r="X887" s="55"/>
      <x:c r="Y887" s="55"/>
      <x:c r="Z887" s="55"/>
      <x:c r="AA887" s="55"/>
      <x:c r="AB887" s="55" t="str">
        <x:f>IF(C887="","", "Напиши " &amp; AA887 &amp; " за бизнес: " &amp; C887 &amp; ". Тип: " &amp; D887 &amp; ". Град: " &amp; E887 &amp; ". Проблем: " &amp; L887 &amp; ". Предложение: " &amp; M887 &amp; ". Етап: " &amp; N887 &amp; ". Бележки: " &amp; Y887)</x:f>
      </x:c>
      <x:c r="AC887" s="55"/>
    </x:row>
    <x:row r="888">
      <x:c r="A888" s="55"/>
      <x:c r="B888" s="55"/>
      <x:c r="C888" s="55"/>
      <x:c r="D888" s="55"/>
      <x:c r="E888" s="55"/>
      <x:c r="F888" s="55"/>
      <x:c r="G888" s="55"/>
      <x:c r="H888" s="55"/>
      <x:c r="I888" s="55"/>
      <x:c r="J888" s="55"/>
      <x:c r="K888" s="55"/>
      <x:c r="L888" s="55"/>
      <x:c r="M888" s="55"/>
      <x:c r="N888" s="55"/>
      <x:c r="O888" s="55"/>
      <x:c r="P888" s="55"/>
      <x:c r="Q888" s="55"/>
      <x:c r="R888" s="55"/>
      <x:c r="S888" s="55" t="str">
        <x:f>IF(C888="","",IFERROR(Q888*R888/100,""))</x:f>
      </x:c>
      <x:c r="T888" s="55"/>
      <x:c r="U888" s="55"/>
      <x:c r="V888" s="55" t="str">
        <x:f>IF(U888="","",U888-TODAY())</x:f>
      </x:c>
      <x:c r="W888" s="55" t="str">
        <x:f>IF(AND(U888&lt;&gt;"",U888&lt;TODAY(),O888="Активен"),"ДА","")</x:f>
      </x:c>
      <x:c r="X888" s="55"/>
      <x:c r="Y888" s="55"/>
      <x:c r="Z888" s="55"/>
      <x:c r="AA888" s="55"/>
      <x:c r="AB888" s="55" t="str">
        <x:f>IF(C888="","", "Напиши " &amp; AA888 &amp; " за бизнес: " &amp; C888 &amp; ". Тип: " &amp; D888 &amp; ". Град: " &amp; E888 &amp; ". Проблем: " &amp; L888 &amp; ". Предложение: " &amp; M888 &amp; ". Етап: " &amp; N888 &amp; ". Бележки: " &amp; Y888)</x:f>
      </x:c>
      <x:c r="AC888" s="55"/>
    </x:row>
    <x:row r="889">
      <x:c r="A889" s="55"/>
      <x:c r="B889" s="55"/>
      <x:c r="C889" s="55"/>
      <x:c r="D889" s="55"/>
      <x:c r="E889" s="55"/>
      <x:c r="F889" s="55"/>
      <x:c r="G889" s="55"/>
      <x:c r="H889" s="55"/>
      <x:c r="I889" s="55"/>
      <x:c r="J889" s="55"/>
      <x:c r="K889" s="55"/>
      <x:c r="L889" s="55"/>
      <x:c r="M889" s="55"/>
      <x:c r="N889" s="55"/>
      <x:c r="O889" s="55"/>
      <x:c r="P889" s="55"/>
      <x:c r="Q889" s="55"/>
      <x:c r="R889" s="55"/>
      <x:c r="S889" s="55" t="str">
        <x:f>IF(C889="","",IFERROR(Q889*R889/100,""))</x:f>
      </x:c>
      <x:c r="T889" s="55"/>
      <x:c r="U889" s="55"/>
      <x:c r="V889" s="55" t="str">
        <x:f>IF(U889="","",U889-TODAY())</x:f>
      </x:c>
      <x:c r="W889" s="55" t="str">
        <x:f>IF(AND(U889&lt;&gt;"",U889&lt;TODAY(),O889="Активен"),"ДА","")</x:f>
      </x:c>
      <x:c r="X889" s="55"/>
      <x:c r="Y889" s="55"/>
      <x:c r="Z889" s="55"/>
      <x:c r="AA889" s="55"/>
      <x:c r="AB889" s="55" t="str">
        <x:f>IF(C889="","", "Напиши " &amp; AA889 &amp; " за бизнес: " &amp; C889 &amp; ". Тип: " &amp; D889 &amp; ". Град: " &amp; E889 &amp; ". Проблем: " &amp; L889 &amp; ". Предложение: " &amp; M889 &amp; ". Етап: " &amp; N889 &amp; ". Бележки: " &amp; Y889)</x:f>
      </x:c>
      <x:c r="AC889" s="55"/>
    </x:row>
    <x:row r="890">
      <x:c r="A890" s="55"/>
      <x:c r="B890" s="55"/>
      <x:c r="C890" s="55"/>
      <x:c r="D890" s="55"/>
      <x:c r="E890" s="55"/>
      <x:c r="F890" s="55"/>
      <x:c r="G890" s="55"/>
      <x:c r="H890" s="55"/>
      <x:c r="I890" s="55"/>
      <x:c r="J890" s="55"/>
      <x:c r="K890" s="55"/>
      <x:c r="L890" s="55"/>
      <x:c r="M890" s="55"/>
      <x:c r="N890" s="55"/>
      <x:c r="O890" s="55"/>
      <x:c r="P890" s="55"/>
      <x:c r="Q890" s="55"/>
      <x:c r="R890" s="55"/>
      <x:c r="S890" s="55" t="str">
        <x:f>IF(C890="","",IFERROR(Q890*R890/100,""))</x:f>
      </x:c>
      <x:c r="T890" s="55"/>
      <x:c r="U890" s="55"/>
      <x:c r="V890" s="55" t="str">
        <x:f>IF(U890="","",U890-TODAY())</x:f>
      </x:c>
      <x:c r="W890" s="55" t="str">
        <x:f>IF(AND(U890&lt;&gt;"",U890&lt;TODAY(),O890="Активен"),"ДА","")</x:f>
      </x:c>
      <x:c r="X890" s="55"/>
      <x:c r="Y890" s="55"/>
      <x:c r="Z890" s="55"/>
      <x:c r="AA890" s="55"/>
      <x:c r="AB890" s="55" t="str">
        <x:f>IF(C890="","", "Напиши " &amp; AA890 &amp; " за бизнес: " &amp; C890 &amp; ". Тип: " &amp; D890 &amp; ". Град: " &amp; E890 &amp; ". Проблем: " &amp; L890 &amp; ". Предложение: " &amp; M890 &amp; ". Етап: " &amp; N890 &amp; ". Бележки: " &amp; Y890)</x:f>
      </x:c>
      <x:c r="AC890" s="55"/>
    </x:row>
    <x:row r="891">
      <x:c r="A891" s="55"/>
      <x:c r="B891" s="55"/>
      <x:c r="C891" s="55"/>
      <x:c r="D891" s="55"/>
      <x:c r="E891" s="55"/>
      <x:c r="F891" s="55"/>
      <x:c r="G891" s="55"/>
      <x:c r="H891" s="55"/>
      <x:c r="I891" s="55"/>
      <x:c r="J891" s="55"/>
      <x:c r="K891" s="55"/>
      <x:c r="L891" s="55"/>
      <x:c r="M891" s="55"/>
      <x:c r="N891" s="55"/>
      <x:c r="O891" s="55"/>
      <x:c r="P891" s="55"/>
      <x:c r="Q891" s="55"/>
      <x:c r="R891" s="55"/>
      <x:c r="S891" s="55" t="str">
        <x:f>IF(C891="","",IFERROR(Q891*R891/100,""))</x:f>
      </x:c>
      <x:c r="T891" s="55"/>
      <x:c r="U891" s="55"/>
      <x:c r="V891" s="55" t="str">
        <x:f>IF(U891="","",U891-TODAY())</x:f>
      </x:c>
      <x:c r="W891" s="55" t="str">
        <x:f>IF(AND(U891&lt;&gt;"",U891&lt;TODAY(),O891="Активен"),"ДА","")</x:f>
      </x:c>
      <x:c r="X891" s="55"/>
      <x:c r="Y891" s="55"/>
      <x:c r="Z891" s="55"/>
      <x:c r="AA891" s="55"/>
      <x:c r="AB891" s="55" t="str">
        <x:f>IF(C891="","", "Напиши " &amp; AA891 &amp; " за бизнес: " &amp; C891 &amp; ". Тип: " &amp; D891 &amp; ". Град: " &amp; E891 &amp; ". Проблем: " &amp; L891 &amp; ". Предложение: " &amp; M891 &amp; ". Етап: " &amp; N891 &amp; ". Бележки: " &amp; Y891)</x:f>
      </x:c>
      <x:c r="AC891" s="55"/>
    </x:row>
    <x:row r="892">
      <x:c r="A892" s="55"/>
      <x:c r="B892" s="55"/>
      <x:c r="C892" s="55"/>
      <x:c r="D892" s="55"/>
      <x:c r="E892" s="55"/>
      <x:c r="F892" s="55"/>
      <x:c r="G892" s="55"/>
      <x:c r="H892" s="55"/>
      <x:c r="I892" s="55"/>
      <x:c r="J892" s="55"/>
      <x:c r="K892" s="55"/>
      <x:c r="L892" s="55"/>
      <x:c r="M892" s="55"/>
      <x:c r="N892" s="55"/>
      <x:c r="O892" s="55"/>
      <x:c r="P892" s="55"/>
      <x:c r="Q892" s="55"/>
      <x:c r="R892" s="55"/>
      <x:c r="S892" s="55" t="str">
        <x:f>IF(C892="","",IFERROR(Q892*R892/100,""))</x:f>
      </x:c>
      <x:c r="T892" s="55"/>
      <x:c r="U892" s="55"/>
      <x:c r="V892" s="55" t="str">
        <x:f>IF(U892="","",U892-TODAY())</x:f>
      </x:c>
      <x:c r="W892" s="55" t="str">
        <x:f>IF(AND(U892&lt;&gt;"",U892&lt;TODAY(),O892="Активен"),"ДА","")</x:f>
      </x:c>
      <x:c r="X892" s="55"/>
      <x:c r="Y892" s="55"/>
      <x:c r="Z892" s="55"/>
      <x:c r="AA892" s="55"/>
      <x:c r="AB892" s="55" t="str">
        <x:f>IF(C892="","", "Напиши " &amp; AA892 &amp; " за бизнес: " &amp; C892 &amp; ". Тип: " &amp; D892 &amp; ". Град: " &amp; E892 &amp; ". Проблем: " &amp; L892 &amp; ". Предложение: " &amp; M892 &amp; ". Етап: " &amp; N892 &amp; ". Бележки: " &amp; Y892)</x:f>
      </x:c>
      <x:c r="AC892" s="55"/>
    </x:row>
    <x:row r="893">
      <x:c r="A893" s="55"/>
      <x:c r="B893" s="55"/>
      <x:c r="C893" s="55"/>
      <x:c r="D893" s="55"/>
      <x:c r="E893" s="55"/>
      <x:c r="F893" s="55"/>
      <x:c r="G893" s="55"/>
      <x:c r="H893" s="55"/>
      <x:c r="I893" s="55"/>
      <x:c r="J893" s="55"/>
      <x:c r="K893" s="55"/>
      <x:c r="L893" s="55"/>
      <x:c r="M893" s="55"/>
      <x:c r="N893" s="55"/>
      <x:c r="O893" s="55"/>
      <x:c r="P893" s="55"/>
      <x:c r="Q893" s="55"/>
      <x:c r="R893" s="55"/>
      <x:c r="S893" s="55" t="str">
        <x:f>IF(C893="","",IFERROR(Q893*R893/100,""))</x:f>
      </x:c>
      <x:c r="T893" s="55"/>
      <x:c r="U893" s="55"/>
      <x:c r="V893" s="55" t="str">
        <x:f>IF(U893="","",U893-TODAY())</x:f>
      </x:c>
      <x:c r="W893" s="55" t="str">
        <x:f>IF(AND(U893&lt;&gt;"",U893&lt;TODAY(),O893="Активен"),"ДА","")</x:f>
      </x:c>
      <x:c r="X893" s="55"/>
      <x:c r="Y893" s="55"/>
      <x:c r="Z893" s="55"/>
      <x:c r="AA893" s="55"/>
      <x:c r="AB893" s="55" t="str">
        <x:f>IF(C893="","", "Напиши " &amp; AA893 &amp; " за бизнес: " &amp; C893 &amp; ". Тип: " &amp; D893 &amp; ". Град: " &amp; E893 &amp; ". Проблем: " &amp; L893 &amp; ". Предложение: " &amp; M893 &amp; ". Етап: " &amp; N893 &amp; ". Бележки: " &amp; Y893)</x:f>
      </x:c>
      <x:c r="AC893" s="55"/>
    </x:row>
    <x:row r="894">
      <x:c r="A894" s="55"/>
      <x:c r="B894" s="55"/>
      <x:c r="C894" s="55"/>
      <x:c r="D894" s="55"/>
      <x:c r="E894" s="55"/>
      <x:c r="F894" s="55"/>
      <x:c r="G894" s="55"/>
      <x:c r="H894" s="55"/>
      <x:c r="I894" s="55"/>
      <x:c r="J894" s="55"/>
      <x:c r="K894" s="55"/>
      <x:c r="L894" s="55"/>
      <x:c r="M894" s="55"/>
      <x:c r="N894" s="55"/>
      <x:c r="O894" s="55"/>
      <x:c r="P894" s="55"/>
      <x:c r="Q894" s="55"/>
      <x:c r="R894" s="55"/>
      <x:c r="S894" s="55" t="str">
        <x:f>IF(C894="","",IFERROR(Q894*R894/100,""))</x:f>
      </x:c>
      <x:c r="T894" s="55"/>
      <x:c r="U894" s="55"/>
      <x:c r="V894" s="55" t="str">
        <x:f>IF(U894="","",U894-TODAY())</x:f>
      </x:c>
      <x:c r="W894" s="55" t="str">
        <x:f>IF(AND(U894&lt;&gt;"",U894&lt;TODAY(),O894="Активен"),"ДА","")</x:f>
      </x:c>
      <x:c r="X894" s="55"/>
      <x:c r="Y894" s="55"/>
      <x:c r="Z894" s="55"/>
      <x:c r="AA894" s="55"/>
      <x:c r="AB894" s="55" t="str">
        <x:f>IF(C894="","", "Напиши " &amp; AA894 &amp; " за бизнес: " &amp; C894 &amp; ". Тип: " &amp; D894 &amp; ". Град: " &amp; E894 &amp; ". Проблем: " &amp; L894 &amp; ". Предложение: " &amp; M894 &amp; ". Етап: " &amp; N894 &amp; ". Бележки: " &amp; Y894)</x:f>
      </x:c>
      <x:c r="AC894" s="55"/>
    </x:row>
    <x:row r="895">
      <x:c r="A895" s="55"/>
      <x:c r="B895" s="55"/>
      <x:c r="C895" s="55"/>
      <x:c r="D895" s="55"/>
      <x:c r="E895" s="55"/>
      <x:c r="F895" s="55"/>
      <x:c r="G895" s="55"/>
      <x:c r="H895" s="55"/>
      <x:c r="I895" s="55"/>
      <x:c r="J895" s="55"/>
      <x:c r="K895" s="55"/>
      <x:c r="L895" s="55"/>
      <x:c r="M895" s="55"/>
      <x:c r="N895" s="55"/>
      <x:c r="O895" s="55"/>
      <x:c r="P895" s="55"/>
      <x:c r="Q895" s="55"/>
      <x:c r="R895" s="55"/>
      <x:c r="S895" s="55" t="str">
        <x:f>IF(C895="","",IFERROR(Q895*R895/100,""))</x:f>
      </x:c>
      <x:c r="T895" s="55"/>
      <x:c r="U895" s="55"/>
      <x:c r="V895" s="55" t="str">
        <x:f>IF(U895="","",U895-TODAY())</x:f>
      </x:c>
      <x:c r="W895" s="55" t="str">
        <x:f>IF(AND(U895&lt;&gt;"",U895&lt;TODAY(),O895="Активен"),"ДА","")</x:f>
      </x:c>
      <x:c r="X895" s="55"/>
      <x:c r="Y895" s="55"/>
      <x:c r="Z895" s="55"/>
      <x:c r="AA895" s="55"/>
      <x:c r="AB895" s="55" t="str">
        <x:f>IF(C895="","", "Напиши " &amp; AA895 &amp; " за бизнес: " &amp; C895 &amp; ". Тип: " &amp; D895 &amp; ". Град: " &amp; E895 &amp; ". Проблем: " &amp; L895 &amp; ". Предложение: " &amp; M895 &amp; ". Етап: " &amp; N895 &amp; ". Бележки: " &amp; Y895)</x:f>
      </x:c>
      <x:c r="AC895" s="55"/>
    </x:row>
    <x:row r="896">
      <x:c r="A896" s="55"/>
      <x:c r="B896" s="55"/>
      <x:c r="C896" s="55"/>
      <x:c r="D896" s="55"/>
      <x:c r="E896" s="55"/>
      <x:c r="F896" s="55"/>
      <x:c r="G896" s="55"/>
      <x:c r="H896" s="55"/>
      <x:c r="I896" s="55"/>
      <x:c r="J896" s="55"/>
      <x:c r="K896" s="55"/>
      <x:c r="L896" s="55"/>
      <x:c r="M896" s="55"/>
      <x:c r="N896" s="55"/>
      <x:c r="O896" s="55"/>
      <x:c r="P896" s="55"/>
      <x:c r="Q896" s="55"/>
      <x:c r="R896" s="55"/>
      <x:c r="S896" s="55" t="str">
        <x:f>IF(C896="","",IFERROR(Q896*R896/100,""))</x:f>
      </x:c>
      <x:c r="T896" s="55"/>
      <x:c r="U896" s="55"/>
      <x:c r="V896" s="55" t="str">
        <x:f>IF(U896="","",U896-TODAY())</x:f>
      </x:c>
      <x:c r="W896" s="55" t="str">
        <x:f>IF(AND(U896&lt;&gt;"",U896&lt;TODAY(),O896="Активен"),"ДА","")</x:f>
      </x:c>
      <x:c r="X896" s="55"/>
      <x:c r="Y896" s="55"/>
      <x:c r="Z896" s="55"/>
      <x:c r="AA896" s="55"/>
      <x:c r="AB896" s="55" t="str">
        <x:f>IF(C896="","", "Напиши " &amp; AA896 &amp; " за бизнес: " &amp; C896 &amp; ". Тип: " &amp; D896 &amp; ". Град: " &amp; E896 &amp; ". Проблем: " &amp; L896 &amp; ". Предложение: " &amp; M896 &amp; ". Етап: " &amp; N896 &amp; ". Бележки: " &amp; Y896)</x:f>
      </x:c>
      <x:c r="AC896" s="55"/>
    </x:row>
    <x:row r="897">
      <x:c r="A897" s="55"/>
      <x:c r="B897" s="55"/>
      <x:c r="C897" s="55"/>
      <x:c r="D897" s="55"/>
      <x:c r="E897" s="55"/>
      <x:c r="F897" s="55"/>
      <x:c r="G897" s="55"/>
      <x:c r="H897" s="55"/>
      <x:c r="I897" s="55"/>
      <x:c r="J897" s="55"/>
      <x:c r="K897" s="55"/>
      <x:c r="L897" s="55"/>
      <x:c r="M897" s="55"/>
      <x:c r="N897" s="55"/>
      <x:c r="O897" s="55"/>
      <x:c r="P897" s="55"/>
      <x:c r="Q897" s="55"/>
      <x:c r="R897" s="55"/>
      <x:c r="S897" s="55" t="str">
        <x:f>IF(C897="","",IFERROR(Q897*R897/100,""))</x:f>
      </x:c>
      <x:c r="T897" s="55"/>
      <x:c r="U897" s="55"/>
      <x:c r="V897" s="55" t="str">
        <x:f>IF(U897="","",U897-TODAY())</x:f>
      </x:c>
      <x:c r="W897" s="55" t="str">
        <x:f>IF(AND(U897&lt;&gt;"",U897&lt;TODAY(),O897="Активен"),"ДА","")</x:f>
      </x:c>
      <x:c r="X897" s="55"/>
      <x:c r="Y897" s="55"/>
      <x:c r="Z897" s="55"/>
      <x:c r="AA897" s="55"/>
      <x:c r="AB897" s="55" t="str">
        <x:f>IF(C897="","", "Напиши " &amp; AA897 &amp; " за бизнес: " &amp; C897 &amp; ". Тип: " &amp; D897 &amp; ". Град: " &amp; E897 &amp; ". Проблем: " &amp; L897 &amp; ". Предложение: " &amp; M897 &amp; ". Етап: " &amp; N897 &amp; ". Бележки: " &amp; Y897)</x:f>
      </x:c>
      <x:c r="AC897" s="55"/>
    </x:row>
    <x:row r="898">
      <x:c r="A898" s="55"/>
      <x:c r="B898" s="55"/>
      <x:c r="C898" s="55"/>
      <x:c r="D898" s="55"/>
      <x:c r="E898" s="55"/>
      <x:c r="F898" s="55"/>
      <x:c r="G898" s="55"/>
      <x:c r="H898" s="55"/>
      <x:c r="I898" s="55"/>
      <x:c r="J898" s="55"/>
      <x:c r="K898" s="55"/>
      <x:c r="L898" s="55"/>
      <x:c r="M898" s="55"/>
      <x:c r="N898" s="55"/>
      <x:c r="O898" s="55"/>
      <x:c r="P898" s="55"/>
      <x:c r="Q898" s="55"/>
      <x:c r="R898" s="55"/>
      <x:c r="S898" s="55" t="str">
        <x:f>IF(C898="","",IFERROR(Q898*R898/100,""))</x:f>
      </x:c>
      <x:c r="T898" s="55"/>
      <x:c r="U898" s="55"/>
      <x:c r="V898" s="55" t="str">
        <x:f>IF(U898="","",U898-TODAY())</x:f>
      </x:c>
      <x:c r="W898" s="55" t="str">
        <x:f>IF(AND(U898&lt;&gt;"",U898&lt;TODAY(),O898="Активен"),"ДА","")</x:f>
      </x:c>
      <x:c r="X898" s="55"/>
      <x:c r="Y898" s="55"/>
      <x:c r="Z898" s="55"/>
      <x:c r="AA898" s="55"/>
      <x:c r="AB898" s="55" t="str">
        <x:f>IF(C898="","", "Напиши " &amp; AA898 &amp; " за бизнес: " &amp; C898 &amp; ". Тип: " &amp; D898 &amp; ". Град: " &amp; E898 &amp; ". Проблем: " &amp; L898 &amp; ". Предложение: " &amp; M898 &amp; ". Етап: " &amp; N898 &amp; ". Бележки: " &amp; Y898)</x:f>
      </x:c>
      <x:c r="AC898" s="55"/>
    </x:row>
    <x:row r="899">
      <x:c r="A899" s="55"/>
      <x:c r="B899" s="55"/>
      <x:c r="C899" s="55"/>
      <x:c r="D899" s="55"/>
      <x:c r="E899" s="55"/>
      <x:c r="F899" s="55"/>
      <x:c r="G899" s="55"/>
      <x:c r="H899" s="55"/>
      <x:c r="I899" s="55"/>
      <x:c r="J899" s="55"/>
      <x:c r="K899" s="55"/>
      <x:c r="L899" s="55"/>
      <x:c r="M899" s="55"/>
      <x:c r="N899" s="55"/>
      <x:c r="O899" s="55"/>
      <x:c r="P899" s="55"/>
      <x:c r="Q899" s="55"/>
      <x:c r="R899" s="55"/>
      <x:c r="S899" s="55" t="str">
        <x:f>IF(C899="","",IFERROR(Q899*R899/100,""))</x:f>
      </x:c>
      <x:c r="T899" s="55"/>
      <x:c r="U899" s="55"/>
      <x:c r="V899" s="55" t="str">
        <x:f>IF(U899="","",U899-TODAY())</x:f>
      </x:c>
      <x:c r="W899" s="55" t="str">
        <x:f>IF(AND(U899&lt;&gt;"",U899&lt;TODAY(),O899="Активен"),"ДА","")</x:f>
      </x:c>
      <x:c r="X899" s="55"/>
      <x:c r="Y899" s="55"/>
      <x:c r="Z899" s="55"/>
      <x:c r="AA899" s="55"/>
      <x:c r="AB899" s="55" t="str">
        <x:f>IF(C899="","", "Напиши " &amp; AA899 &amp; " за бизнес: " &amp; C899 &amp; ". Тип: " &amp; D899 &amp; ". Град: " &amp; E899 &amp; ". Проблем: " &amp; L899 &amp; ". Предложение: " &amp; M899 &amp; ". Етап: " &amp; N899 &amp; ". Бележки: " &amp; Y899)</x:f>
      </x:c>
      <x:c r="AC899" s="55"/>
    </x:row>
    <x:row r="900">
      <x:c r="A900" s="55"/>
      <x:c r="B900" s="55"/>
      <x:c r="C900" s="55"/>
      <x:c r="D900" s="55"/>
      <x:c r="E900" s="55"/>
      <x:c r="F900" s="55"/>
      <x:c r="G900" s="55"/>
      <x:c r="H900" s="55"/>
      <x:c r="I900" s="55"/>
      <x:c r="J900" s="55"/>
      <x:c r="K900" s="55"/>
      <x:c r="L900" s="55"/>
      <x:c r="M900" s="55"/>
      <x:c r="N900" s="55"/>
      <x:c r="O900" s="55"/>
      <x:c r="P900" s="55"/>
      <x:c r="Q900" s="55"/>
      <x:c r="R900" s="55"/>
      <x:c r="S900" s="55" t="str">
        <x:f>IF(C900="","",IFERROR(Q900*R900/100,""))</x:f>
      </x:c>
      <x:c r="T900" s="55"/>
      <x:c r="U900" s="55"/>
      <x:c r="V900" s="55" t="str">
        <x:f>IF(U900="","",U900-TODAY())</x:f>
      </x:c>
      <x:c r="W900" s="55" t="str">
        <x:f>IF(AND(U900&lt;&gt;"",U900&lt;TODAY(),O900="Активен"),"ДА","")</x:f>
      </x:c>
      <x:c r="X900" s="55"/>
      <x:c r="Y900" s="55"/>
      <x:c r="Z900" s="55"/>
      <x:c r="AA900" s="55"/>
      <x:c r="AB900" s="55" t="str">
        <x:f>IF(C900="","", "Напиши " &amp; AA900 &amp; " за бизнес: " &amp; C900 &amp; ". Тип: " &amp; D900 &amp; ". Град: " &amp; E900 &amp; ". Проблем: " &amp; L900 &amp; ". Предложение: " &amp; M900 &amp; ". Етап: " &amp; N900 &amp; ". Бележки: " &amp; Y900)</x:f>
      </x:c>
      <x:c r="AC900" s="55"/>
    </x:row>
    <x:row r="901">
      <x:c r="A901" s="55"/>
      <x:c r="B901" s="55"/>
      <x:c r="C901" s="55"/>
      <x:c r="D901" s="55"/>
      <x:c r="E901" s="55"/>
      <x:c r="F901" s="55"/>
      <x:c r="G901" s="55"/>
      <x:c r="H901" s="55"/>
      <x:c r="I901" s="55"/>
      <x:c r="J901" s="55"/>
      <x:c r="K901" s="55"/>
      <x:c r="L901" s="55"/>
      <x:c r="M901" s="55"/>
      <x:c r="N901" s="55"/>
      <x:c r="O901" s="55"/>
      <x:c r="P901" s="55"/>
      <x:c r="Q901" s="55"/>
      <x:c r="R901" s="55"/>
      <x:c r="S901" s="55" t="str">
        <x:f>IF(C901="","",IFERROR(Q901*R901/100,""))</x:f>
      </x:c>
      <x:c r="T901" s="55"/>
      <x:c r="U901" s="55"/>
      <x:c r="V901" s="55" t="str">
        <x:f>IF(U901="","",U901-TODAY())</x:f>
      </x:c>
      <x:c r="W901" s="55" t="str">
        <x:f>IF(AND(U901&lt;&gt;"",U901&lt;TODAY(),O901="Активен"),"ДА","")</x:f>
      </x:c>
      <x:c r="X901" s="55"/>
      <x:c r="Y901" s="55"/>
      <x:c r="Z901" s="55"/>
      <x:c r="AA901" s="55"/>
      <x:c r="AB901" s="55" t="str">
        <x:f>IF(C901="","", "Напиши " &amp; AA901 &amp; " за бизнес: " &amp; C901 &amp; ". Тип: " &amp; D901 &amp; ". Град: " &amp; E901 &amp; ". Проблем: " &amp; L901 &amp; ". Предложение: " &amp; M901 &amp; ". Етап: " &amp; N901 &amp; ". Бележки: " &amp; Y901)</x:f>
      </x:c>
      <x:c r="AC901" s="55"/>
    </x:row>
    <x:row r="902">
      <x:c r="A902" s="55"/>
      <x:c r="B902" s="55"/>
      <x:c r="C902" s="55"/>
      <x:c r="D902" s="55"/>
      <x:c r="E902" s="55"/>
      <x:c r="F902" s="55"/>
      <x:c r="G902" s="55"/>
      <x:c r="H902" s="55"/>
      <x:c r="I902" s="55"/>
      <x:c r="J902" s="55"/>
      <x:c r="K902" s="55"/>
      <x:c r="L902" s="55"/>
      <x:c r="M902" s="55"/>
      <x:c r="N902" s="55"/>
      <x:c r="O902" s="55"/>
      <x:c r="P902" s="55"/>
      <x:c r="Q902" s="55"/>
      <x:c r="R902" s="55"/>
      <x:c r="S902" s="55" t="str">
        <x:f>IF(C902="","",IFERROR(Q902*R902/100,""))</x:f>
      </x:c>
      <x:c r="T902" s="55"/>
      <x:c r="U902" s="55"/>
      <x:c r="V902" s="55" t="str">
        <x:f>IF(U902="","",U902-TODAY())</x:f>
      </x:c>
      <x:c r="W902" s="55" t="str">
        <x:f>IF(AND(U902&lt;&gt;"",U902&lt;TODAY(),O902="Активен"),"ДА","")</x:f>
      </x:c>
      <x:c r="X902" s="55"/>
      <x:c r="Y902" s="55"/>
      <x:c r="Z902" s="55"/>
      <x:c r="AA902" s="55"/>
      <x:c r="AB902" s="55" t="str">
        <x:f>IF(C902="","", "Напиши " &amp; AA902 &amp; " за бизнес: " &amp; C902 &amp; ". Тип: " &amp; D902 &amp; ". Град: " &amp; E902 &amp; ". Проблем: " &amp; L902 &amp; ". Предложение: " &amp; M902 &amp; ". Етап: " &amp; N902 &amp; ". Бележки: " &amp; Y902)</x:f>
      </x:c>
      <x:c r="AC902" s="55"/>
    </x:row>
    <x:row r="903">
      <x:c r="A903" s="55"/>
      <x:c r="B903" s="55"/>
      <x:c r="C903" s="55"/>
      <x:c r="D903" s="55"/>
      <x:c r="E903" s="55"/>
      <x:c r="F903" s="55"/>
      <x:c r="G903" s="55"/>
      <x:c r="H903" s="55"/>
      <x:c r="I903" s="55"/>
      <x:c r="J903" s="55"/>
      <x:c r="K903" s="55"/>
      <x:c r="L903" s="55"/>
      <x:c r="M903" s="55"/>
      <x:c r="N903" s="55"/>
      <x:c r="O903" s="55"/>
      <x:c r="P903" s="55"/>
      <x:c r="Q903" s="55"/>
      <x:c r="R903" s="55"/>
      <x:c r="S903" s="55" t="str">
        <x:f>IF(C903="","",IFERROR(Q903*R903/100,""))</x:f>
      </x:c>
      <x:c r="T903" s="55"/>
      <x:c r="U903" s="55"/>
      <x:c r="V903" s="55" t="str">
        <x:f>IF(U903="","",U903-TODAY())</x:f>
      </x:c>
      <x:c r="W903" s="55" t="str">
        <x:f>IF(AND(U903&lt;&gt;"",U903&lt;TODAY(),O903="Активен"),"ДА","")</x:f>
      </x:c>
      <x:c r="X903" s="55"/>
      <x:c r="Y903" s="55"/>
      <x:c r="Z903" s="55"/>
      <x:c r="AA903" s="55"/>
      <x:c r="AB903" s="55" t="str">
        <x:f>IF(C903="","", "Напиши " &amp; AA903 &amp; " за бизнес: " &amp; C903 &amp; ". Тип: " &amp; D903 &amp; ". Град: " &amp; E903 &amp; ". Проблем: " &amp; L903 &amp; ". Предложение: " &amp; M903 &amp; ". Етап: " &amp; N903 &amp; ". Бележки: " &amp; Y903)</x:f>
      </x:c>
      <x:c r="AC903" s="55"/>
    </x:row>
    <x:row r="904">
      <x:c r="A904" s="55"/>
      <x:c r="B904" s="55"/>
      <x:c r="C904" s="55"/>
      <x:c r="D904" s="55"/>
      <x:c r="E904" s="55"/>
      <x:c r="F904" s="55"/>
      <x:c r="G904" s="55"/>
      <x:c r="H904" s="55"/>
      <x:c r="I904" s="55"/>
      <x:c r="J904" s="55"/>
      <x:c r="K904" s="55"/>
      <x:c r="L904" s="55"/>
      <x:c r="M904" s="55"/>
      <x:c r="N904" s="55"/>
      <x:c r="O904" s="55"/>
      <x:c r="P904" s="55"/>
      <x:c r="Q904" s="55"/>
      <x:c r="R904" s="55"/>
      <x:c r="S904" s="55" t="str">
        <x:f>IF(C904="","",IFERROR(Q904*R904/100,""))</x:f>
      </x:c>
      <x:c r="T904" s="55"/>
      <x:c r="U904" s="55"/>
      <x:c r="V904" s="55" t="str">
        <x:f>IF(U904="","",U904-TODAY())</x:f>
      </x:c>
      <x:c r="W904" s="55" t="str">
        <x:f>IF(AND(U904&lt;&gt;"",U904&lt;TODAY(),O904="Активен"),"ДА","")</x:f>
      </x:c>
      <x:c r="X904" s="55"/>
      <x:c r="Y904" s="55"/>
      <x:c r="Z904" s="55"/>
      <x:c r="AA904" s="55"/>
      <x:c r="AB904" s="55" t="str">
        <x:f>IF(C904="","", "Напиши " &amp; AA904 &amp; " за бизнес: " &amp; C904 &amp; ". Тип: " &amp; D904 &amp; ". Град: " &amp; E904 &amp; ". Проблем: " &amp; L904 &amp; ". Предложение: " &amp; M904 &amp; ". Етап: " &amp; N904 &amp; ". Бележки: " &amp; Y904)</x:f>
      </x:c>
      <x:c r="AC904" s="55"/>
    </x:row>
    <x:row r="905">
      <x:c r="A905" s="55"/>
      <x:c r="B905" s="55"/>
      <x:c r="C905" s="55"/>
      <x:c r="D905" s="55"/>
      <x:c r="E905" s="55"/>
      <x:c r="F905" s="55"/>
      <x:c r="G905" s="55"/>
      <x:c r="H905" s="55"/>
      <x:c r="I905" s="55"/>
      <x:c r="J905" s="55"/>
      <x:c r="K905" s="55"/>
      <x:c r="L905" s="55"/>
      <x:c r="M905" s="55"/>
      <x:c r="N905" s="55"/>
      <x:c r="O905" s="55"/>
      <x:c r="P905" s="55"/>
      <x:c r="Q905" s="55"/>
      <x:c r="R905" s="55"/>
      <x:c r="S905" s="55" t="str">
        <x:f>IF(C905="","",IFERROR(Q905*R905/100,""))</x:f>
      </x:c>
      <x:c r="T905" s="55"/>
      <x:c r="U905" s="55"/>
      <x:c r="V905" s="55" t="str">
        <x:f>IF(U905="","",U905-TODAY())</x:f>
      </x:c>
      <x:c r="W905" s="55" t="str">
        <x:f>IF(AND(U905&lt;&gt;"",U905&lt;TODAY(),O905="Активен"),"ДА","")</x:f>
      </x:c>
      <x:c r="X905" s="55"/>
      <x:c r="Y905" s="55"/>
      <x:c r="Z905" s="55"/>
      <x:c r="AA905" s="55"/>
      <x:c r="AB905" s="55" t="str">
        <x:f>IF(C905="","", "Напиши " &amp; AA905 &amp; " за бизнес: " &amp; C905 &amp; ". Тип: " &amp; D905 &amp; ". Град: " &amp; E905 &amp; ". Проблем: " &amp; L905 &amp; ". Предложение: " &amp; M905 &amp; ". Етап: " &amp; N905 &amp; ". Бележки: " &amp; Y905)</x:f>
      </x:c>
      <x:c r="AC905" s="55"/>
    </x:row>
    <x:row r="906">
      <x:c r="A906" s="55"/>
      <x:c r="B906" s="55"/>
      <x:c r="C906" s="55"/>
      <x:c r="D906" s="55"/>
      <x:c r="E906" s="55"/>
      <x:c r="F906" s="55"/>
      <x:c r="G906" s="55"/>
      <x:c r="H906" s="55"/>
      <x:c r="I906" s="55"/>
      <x:c r="J906" s="55"/>
      <x:c r="K906" s="55"/>
      <x:c r="L906" s="55"/>
      <x:c r="M906" s="55"/>
      <x:c r="N906" s="55"/>
      <x:c r="O906" s="55"/>
      <x:c r="P906" s="55"/>
      <x:c r="Q906" s="55"/>
      <x:c r="R906" s="55"/>
      <x:c r="S906" s="55" t="str">
        <x:f>IF(C906="","",IFERROR(Q906*R906/100,""))</x:f>
      </x:c>
      <x:c r="T906" s="55"/>
      <x:c r="U906" s="55"/>
      <x:c r="V906" s="55" t="str">
        <x:f>IF(U906="","",U906-TODAY())</x:f>
      </x:c>
      <x:c r="W906" s="55" t="str">
        <x:f>IF(AND(U906&lt;&gt;"",U906&lt;TODAY(),O906="Активен"),"ДА","")</x:f>
      </x:c>
      <x:c r="X906" s="55"/>
      <x:c r="Y906" s="55"/>
      <x:c r="Z906" s="55"/>
      <x:c r="AA906" s="55"/>
      <x:c r="AB906" s="55" t="str">
        <x:f>IF(C906="","", "Напиши " &amp; AA906 &amp; " за бизнес: " &amp; C906 &amp; ". Тип: " &amp; D906 &amp; ". Град: " &amp; E906 &amp; ". Проблем: " &amp; L906 &amp; ". Предложение: " &amp; M906 &amp; ". Етап: " &amp; N906 &amp; ". Бележки: " &amp; Y906)</x:f>
      </x:c>
      <x:c r="AC906" s="55"/>
    </x:row>
    <x:row r="907">
      <x:c r="A907" s="55"/>
      <x:c r="B907" s="55"/>
      <x:c r="C907" s="55"/>
      <x:c r="D907" s="55"/>
      <x:c r="E907" s="55"/>
      <x:c r="F907" s="55"/>
      <x:c r="G907" s="55"/>
      <x:c r="H907" s="55"/>
      <x:c r="I907" s="55"/>
      <x:c r="J907" s="55"/>
      <x:c r="K907" s="55"/>
      <x:c r="L907" s="55"/>
      <x:c r="M907" s="55"/>
      <x:c r="N907" s="55"/>
      <x:c r="O907" s="55"/>
      <x:c r="P907" s="55"/>
      <x:c r="Q907" s="55"/>
      <x:c r="R907" s="55"/>
      <x:c r="S907" s="55" t="str">
        <x:f>IF(C907="","",IFERROR(Q907*R907/100,""))</x:f>
      </x:c>
      <x:c r="T907" s="55"/>
      <x:c r="U907" s="55"/>
      <x:c r="V907" s="55" t="str">
        <x:f>IF(U907="","",U907-TODAY())</x:f>
      </x:c>
      <x:c r="W907" s="55" t="str">
        <x:f>IF(AND(U907&lt;&gt;"",U907&lt;TODAY(),O907="Активен"),"ДА","")</x:f>
      </x:c>
      <x:c r="X907" s="55"/>
      <x:c r="Y907" s="55"/>
      <x:c r="Z907" s="55"/>
      <x:c r="AA907" s="55"/>
      <x:c r="AB907" s="55" t="str">
        <x:f>IF(C907="","", "Напиши " &amp; AA907 &amp; " за бизнес: " &amp; C907 &amp; ". Тип: " &amp; D907 &amp; ". Град: " &amp; E907 &amp; ". Проблем: " &amp; L907 &amp; ". Предложение: " &amp; M907 &amp; ". Етап: " &amp; N907 &amp; ". Бележки: " &amp; Y907)</x:f>
      </x:c>
      <x:c r="AC907" s="55"/>
    </x:row>
    <x:row r="908">
      <x:c r="A908" s="55"/>
      <x:c r="B908" s="55"/>
      <x:c r="C908" s="55"/>
      <x:c r="D908" s="55"/>
      <x:c r="E908" s="55"/>
      <x:c r="F908" s="55"/>
      <x:c r="G908" s="55"/>
      <x:c r="H908" s="55"/>
      <x:c r="I908" s="55"/>
      <x:c r="J908" s="55"/>
      <x:c r="K908" s="55"/>
      <x:c r="L908" s="55"/>
      <x:c r="M908" s="55"/>
      <x:c r="N908" s="55"/>
      <x:c r="O908" s="55"/>
      <x:c r="P908" s="55"/>
      <x:c r="Q908" s="55"/>
      <x:c r="R908" s="55"/>
      <x:c r="S908" s="55" t="str">
        <x:f>IF(C908="","",IFERROR(Q908*R908/100,""))</x:f>
      </x:c>
      <x:c r="T908" s="55"/>
      <x:c r="U908" s="55"/>
      <x:c r="V908" s="55" t="str">
        <x:f>IF(U908="","",U908-TODAY())</x:f>
      </x:c>
      <x:c r="W908" s="55" t="str">
        <x:f>IF(AND(U908&lt;&gt;"",U908&lt;TODAY(),O908="Активен"),"ДА","")</x:f>
      </x:c>
      <x:c r="X908" s="55"/>
      <x:c r="Y908" s="55"/>
      <x:c r="Z908" s="55"/>
      <x:c r="AA908" s="55"/>
      <x:c r="AB908" s="55" t="str">
        <x:f>IF(C908="","", "Напиши " &amp; AA908 &amp; " за бизнес: " &amp; C908 &amp; ". Тип: " &amp; D908 &amp; ". Град: " &amp; E908 &amp; ". Проблем: " &amp; L908 &amp; ". Предложение: " &amp; M908 &amp; ". Етап: " &amp; N908 &amp; ". Бележки: " &amp; Y908)</x:f>
      </x:c>
      <x:c r="AC908" s="55"/>
    </x:row>
    <x:row r="909">
      <x:c r="A909" s="55"/>
      <x:c r="B909" s="55"/>
      <x:c r="C909" s="55"/>
      <x:c r="D909" s="55"/>
      <x:c r="E909" s="55"/>
      <x:c r="F909" s="55"/>
      <x:c r="G909" s="55"/>
      <x:c r="H909" s="55"/>
      <x:c r="I909" s="55"/>
      <x:c r="J909" s="55"/>
      <x:c r="K909" s="55"/>
      <x:c r="L909" s="55"/>
      <x:c r="M909" s="55"/>
      <x:c r="N909" s="55"/>
      <x:c r="O909" s="55"/>
      <x:c r="P909" s="55"/>
      <x:c r="Q909" s="55"/>
      <x:c r="R909" s="55"/>
      <x:c r="S909" s="55" t="str">
        <x:f>IF(C909="","",IFERROR(Q909*R909/100,""))</x:f>
      </x:c>
      <x:c r="T909" s="55"/>
      <x:c r="U909" s="55"/>
      <x:c r="V909" s="55" t="str">
        <x:f>IF(U909="","",U909-TODAY())</x:f>
      </x:c>
      <x:c r="W909" s="55" t="str">
        <x:f>IF(AND(U909&lt;&gt;"",U909&lt;TODAY(),O909="Активен"),"ДА","")</x:f>
      </x:c>
      <x:c r="X909" s="55"/>
      <x:c r="Y909" s="55"/>
      <x:c r="Z909" s="55"/>
      <x:c r="AA909" s="55"/>
      <x:c r="AB909" s="55" t="str">
        <x:f>IF(C909="","", "Напиши " &amp; AA909 &amp; " за бизнес: " &amp; C909 &amp; ". Тип: " &amp; D909 &amp; ". Град: " &amp; E909 &amp; ". Проблем: " &amp; L909 &amp; ". Предложение: " &amp; M909 &amp; ". Етап: " &amp; N909 &amp; ". Бележки: " &amp; Y909)</x:f>
      </x:c>
      <x:c r="AC909" s="55"/>
    </x:row>
    <x:row r="910">
      <x:c r="A910" s="55"/>
      <x:c r="B910" s="55"/>
      <x:c r="C910" s="55"/>
      <x:c r="D910" s="55"/>
      <x:c r="E910" s="55"/>
      <x:c r="F910" s="55"/>
      <x:c r="G910" s="55"/>
      <x:c r="H910" s="55"/>
      <x:c r="I910" s="55"/>
      <x:c r="J910" s="55"/>
      <x:c r="K910" s="55"/>
      <x:c r="L910" s="55"/>
      <x:c r="M910" s="55"/>
      <x:c r="N910" s="55"/>
      <x:c r="O910" s="55"/>
      <x:c r="P910" s="55"/>
      <x:c r="Q910" s="55"/>
      <x:c r="R910" s="55"/>
      <x:c r="S910" s="55" t="str">
        <x:f>IF(C910="","",IFERROR(Q910*R910/100,""))</x:f>
      </x:c>
      <x:c r="T910" s="55"/>
      <x:c r="U910" s="55"/>
      <x:c r="V910" s="55" t="str">
        <x:f>IF(U910="","",U910-TODAY())</x:f>
      </x:c>
      <x:c r="W910" s="55" t="str">
        <x:f>IF(AND(U910&lt;&gt;"",U910&lt;TODAY(),O910="Активен"),"ДА","")</x:f>
      </x:c>
      <x:c r="X910" s="55"/>
      <x:c r="Y910" s="55"/>
      <x:c r="Z910" s="55"/>
      <x:c r="AA910" s="55"/>
      <x:c r="AB910" s="55" t="str">
        <x:f>IF(C910="","", "Напиши " &amp; AA910 &amp; " за бизнес: " &amp; C910 &amp; ". Тип: " &amp; D910 &amp; ". Град: " &amp; E910 &amp; ". Проблем: " &amp; L910 &amp; ". Предложение: " &amp; M910 &amp; ". Етап: " &amp; N910 &amp; ". Бележки: " &amp; Y910)</x:f>
      </x:c>
      <x:c r="AC910" s="55"/>
    </x:row>
    <x:row r="911">
      <x:c r="A911" s="55"/>
      <x:c r="B911" s="55"/>
      <x:c r="C911" s="55"/>
      <x:c r="D911" s="55"/>
      <x:c r="E911" s="55"/>
      <x:c r="F911" s="55"/>
      <x:c r="G911" s="55"/>
      <x:c r="H911" s="55"/>
      <x:c r="I911" s="55"/>
      <x:c r="J911" s="55"/>
      <x:c r="K911" s="55"/>
      <x:c r="L911" s="55"/>
      <x:c r="M911" s="55"/>
      <x:c r="N911" s="55"/>
      <x:c r="O911" s="55"/>
      <x:c r="P911" s="55"/>
      <x:c r="Q911" s="55"/>
      <x:c r="R911" s="55"/>
      <x:c r="S911" s="55" t="str">
        <x:f>IF(C911="","",IFERROR(Q911*R911/100,""))</x:f>
      </x:c>
      <x:c r="T911" s="55"/>
      <x:c r="U911" s="55"/>
      <x:c r="V911" s="55" t="str">
        <x:f>IF(U911="","",U911-TODAY())</x:f>
      </x:c>
      <x:c r="W911" s="55" t="str">
        <x:f>IF(AND(U911&lt;&gt;"",U911&lt;TODAY(),O911="Активен"),"ДА","")</x:f>
      </x:c>
      <x:c r="X911" s="55"/>
      <x:c r="Y911" s="55"/>
      <x:c r="Z911" s="55"/>
      <x:c r="AA911" s="55"/>
      <x:c r="AB911" s="55" t="str">
        <x:f>IF(C911="","", "Напиши " &amp; AA911 &amp; " за бизнес: " &amp; C911 &amp; ". Тип: " &amp; D911 &amp; ". Град: " &amp; E911 &amp; ". Проблем: " &amp; L911 &amp; ". Предложение: " &amp; M911 &amp; ". Етап: " &amp; N911 &amp; ". Бележки: " &amp; Y911)</x:f>
      </x:c>
      <x:c r="AC911" s="55"/>
    </x:row>
    <x:row r="912">
      <x:c r="A912" s="55"/>
      <x:c r="B912" s="55"/>
      <x:c r="C912" s="55"/>
      <x:c r="D912" s="55"/>
      <x:c r="E912" s="55"/>
      <x:c r="F912" s="55"/>
      <x:c r="G912" s="55"/>
      <x:c r="H912" s="55"/>
      <x:c r="I912" s="55"/>
      <x:c r="J912" s="55"/>
      <x:c r="K912" s="55"/>
      <x:c r="L912" s="55"/>
      <x:c r="M912" s="55"/>
      <x:c r="N912" s="55"/>
      <x:c r="O912" s="55"/>
      <x:c r="P912" s="55"/>
      <x:c r="Q912" s="55"/>
      <x:c r="R912" s="55"/>
      <x:c r="S912" s="55" t="str">
        <x:f>IF(C912="","",IFERROR(Q912*R912/100,""))</x:f>
      </x:c>
      <x:c r="T912" s="55"/>
      <x:c r="U912" s="55"/>
      <x:c r="V912" s="55" t="str">
        <x:f>IF(U912="","",U912-TODAY())</x:f>
      </x:c>
      <x:c r="W912" s="55" t="str">
        <x:f>IF(AND(U912&lt;&gt;"",U912&lt;TODAY(),O912="Активен"),"ДА","")</x:f>
      </x:c>
      <x:c r="X912" s="55"/>
      <x:c r="Y912" s="55"/>
      <x:c r="Z912" s="55"/>
      <x:c r="AA912" s="55"/>
      <x:c r="AB912" s="55" t="str">
        <x:f>IF(C912="","", "Напиши " &amp; AA912 &amp; " за бизнес: " &amp; C912 &amp; ". Тип: " &amp; D912 &amp; ". Град: " &amp; E912 &amp; ". Проблем: " &amp; L912 &amp; ". Предложение: " &amp; M912 &amp; ". Етап: " &amp; N912 &amp; ". Бележки: " &amp; Y912)</x:f>
      </x:c>
      <x:c r="AC912" s="55"/>
    </x:row>
    <x:row r="913">
      <x:c r="A913" s="55"/>
      <x:c r="B913" s="55"/>
      <x:c r="C913" s="55"/>
      <x:c r="D913" s="55"/>
      <x:c r="E913" s="55"/>
      <x:c r="F913" s="55"/>
      <x:c r="G913" s="55"/>
      <x:c r="H913" s="55"/>
      <x:c r="I913" s="55"/>
      <x:c r="J913" s="55"/>
      <x:c r="K913" s="55"/>
      <x:c r="L913" s="55"/>
      <x:c r="M913" s="55"/>
      <x:c r="N913" s="55"/>
      <x:c r="O913" s="55"/>
      <x:c r="P913" s="55"/>
      <x:c r="Q913" s="55"/>
      <x:c r="R913" s="55"/>
      <x:c r="S913" s="55" t="str">
        <x:f>IF(C913="","",IFERROR(Q913*R913/100,""))</x:f>
      </x:c>
      <x:c r="T913" s="55"/>
      <x:c r="U913" s="55"/>
      <x:c r="V913" s="55" t="str">
        <x:f>IF(U913="","",U913-TODAY())</x:f>
      </x:c>
      <x:c r="W913" s="55" t="str">
        <x:f>IF(AND(U913&lt;&gt;"",U913&lt;TODAY(),O913="Активен"),"ДА","")</x:f>
      </x:c>
      <x:c r="X913" s="55"/>
      <x:c r="Y913" s="55"/>
      <x:c r="Z913" s="55"/>
      <x:c r="AA913" s="55"/>
      <x:c r="AB913" s="55" t="str">
        <x:f>IF(C913="","", "Напиши " &amp; AA913 &amp; " за бизнес: " &amp; C913 &amp; ". Тип: " &amp; D913 &amp; ". Град: " &amp; E913 &amp; ". Проблем: " &amp; L913 &amp; ". Предложение: " &amp; M913 &amp; ". Етап: " &amp; N913 &amp; ". Бележки: " &amp; Y913)</x:f>
      </x:c>
      <x:c r="AC913" s="55"/>
    </x:row>
    <x:row r="914">
      <x:c r="A914" s="55"/>
      <x:c r="B914" s="55"/>
      <x:c r="C914" s="55"/>
      <x:c r="D914" s="55"/>
      <x:c r="E914" s="55"/>
      <x:c r="F914" s="55"/>
      <x:c r="G914" s="55"/>
      <x:c r="H914" s="55"/>
      <x:c r="I914" s="55"/>
      <x:c r="J914" s="55"/>
      <x:c r="K914" s="55"/>
      <x:c r="L914" s="55"/>
      <x:c r="M914" s="55"/>
      <x:c r="N914" s="55"/>
      <x:c r="O914" s="55"/>
      <x:c r="P914" s="55"/>
      <x:c r="Q914" s="55"/>
      <x:c r="R914" s="55"/>
      <x:c r="S914" s="55" t="str">
        <x:f>IF(C914="","",IFERROR(Q914*R914/100,""))</x:f>
      </x:c>
      <x:c r="T914" s="55"/>
      <x:c r="U914" s="55"/>
      <x:c r="V914" s="55" t="str">
        <x:f>IF(U914="","",U914-TODAY())</x:f>
      </x:c>
      <x:c r="W914" s="55" t="str">
        <x:f>IF(AND(U914&lt;&gt;"",U914&lt;TODAY(),O914="Активен"),"ДА","")</x:f>
      </x:c>
      <x:c r="X914" s="55"/>
      <x:c r="Y914" s="55"/>
      <x:c r="Z914" s="55"/>
      <x:c r="AA914" s="55"/>
      <x:c r="AB914" s="55" t="str">
        <x:f>IF(C914="","", "Напиши " &amp; AA914 &amp; " за бизнес: " &amp; C914 &amp; ". Тип: " &amp; D914 &amp; ". Град: " &amp; E914 &amp; ". Проблем: " &amp; L914 &amp; ". Предложение: " &amp; M914 &amp; ". Етап: " &amp; N914 &amp; ". Бележки: " &amp; Y914)</x:f>
      </x:c>
      <x:c r="AC914" s="55"/>
    </x:row>
    <x:row r="915">
      <x:c r="A915" s="55"/>
      <x:c r="B915" s="55"/>
      <x:c r="C915" s="55"/>
      <x:c r="D915" s="55"/>
      <x:c r="E915" s="55"/>
      <x:c r="F915" s="55"/>
      <x:c r="G915" s="55"/>
      <x:c r="H915" s="55"/>
      <x:c r="I915" s="55"/>
      <x:c r="J915" s="55"/>
      <x:c r="K915" s="55"/>
      <x:c r="L915" s="55"/>
      <x:c r="M915" s="55"/>
      <x:c r="N915" s="55"/>
      <x:c r="O915" s="55"/>
      <x:c r="P915" s="55"/>
      <x:c r="Q915" s="55"/>
      <x:c r="R915" s="55"/>
      <x:c r="S915" s="55" t="str">
        <x:f>IF(C915="","",IFERROR(Q915*R915/100,""))</x:f>
      </x:c>
      <x:c r="T915" s="55"/>
      <x:c r="U915" s="55"/>
      <x:c r="V915" s="55" t="str">
        <x:f>IF(U915="","",U915-TODAY())</x:f>
      </x:c>
      <x:c r="W915" s="55" t="str">
        <x:f>IF(AND(U915&lt;&gt;"",U915&lt;TODAY(),O915="Активен"),"ДА","")</x:f>
      </x:c>
      <x:c r="X915" s="55"/>
      <x:c r="Y915" s="55"/>
      <x:c r="Z915" s="55"/>
      <x:c r="AA915" s="55"/>
      <x:c r="AB915" s="55" t="str">
        <x:f>IF(C915="","", "Напиши " &amp; AA915 &amp; " за бизнес: " &amp; C915 &amp; ". Тип: " &amp; D915 &amp; ". Град: " &amp; E915 &amp; ". Проблем: " &amp; L915 &amp; ". Предложение: " &amp; M915 &amp; ". Етап: " &amp; N915 &amp; ". Бележки: " &amp; Y915)</x:f>
      </x:c>
      <x:c r="AC915" s="55"/>
    </x:row>
    <x:row r="916">
      <x:c r="A916" s="55"/>
      <x:c r="B916" s="55"/>
      <x:c r="C916" s="55"/>
      <x:c r="D916" s="55"/>
      <x:c r="E916" s="55"/>
      <x:c r="F916" s="55"/>
      <x:c r="G916" s="55"/>
      <x:c r="H916" s="55"/>
      <x:c r="I916" s="55"/>
      <x:c r="J916" s="55"/>
      <x:c r="K916" s="55"/>
      <x:c r="L916" s="55"/>
      <x:c r="M916" s="55"/>
      <x:c r="N916" s="55"/>
      <x:c r="O916" s="55"/>
      <x:c r="P916" s="55"/>
      <x:c r="Q916" s="55"/>
      <x:c r="R916" s="55"/>
      <x:c r="S916" s="55" t="str">
        <x:f>IF(C916="","",IFERROR(Q916*R916/100,""))</x:f>
      </x:c>
      <x:c r="T916" s="55"/>
      <x:c r="U916" s="55"/>
      <x:c r="V916" s="55" t="str">
        <x:f>IF(U916="","",U916-TODAY())</x:f>
      </x:c>
      <x:c r="W916" s="55" t="str">
        <x:f>IF(AND(U916&lt;&gt;"",U916&lt;TODAY(),O916="Активен"),"ДА","")</x:f>
      </x:c>
      <x:c r="X916" s="55"/>
      <x:c r="Y916" s="55"/>
      <x:c r="Z916" s="55"/>
      <x:c r="AA916" s="55"/>
      <x:c r="AB916" s="55" t="str">
        <x:f>IF(C916="","", "Напиши " &amp; AA916 &amp; " за бизнес: " &amp; C916 &amp; ". Тип: " &amp; D916 &amp; ". Град: " &amp; E916 &amp; ". Проблем: " &amp; L916 &amp; ". Предложение: " &amp; M916 &amp; ". Етап: " &amp; N916 &amp; ". Бележки: " &amp; Y916)</x:f>
      </x:c>
      <x:c r="AC916" s="55"/>
    </x:row>
    <x:row r="917">
      <x:c r="A917" s="55"/>
      <x:c r="B917" s="55"/>
      <x:c r="C917" s="55"/>
      <x:c r="D917" s="55"/>
      <x:c r="E917" s="55"/>
      <x:c r="F917" s="55"/>
      <x:c r="G917" s="55"/>
      <x:c r="H917" s="55"/>
      <x:c r="I917" s="55"/>
      <x:c r="J917" s="55"/>
      <x:c r="K917" s="55"/>
      <x:c r="L917" s="55"/>
      <x:c r="M917" s="55"/>
      <x:c r="N917" s="55"/>
      <x:c r="O917" s="55"/>
      <x:c r="P917" s="55"/>
      <x:c r="Q917" s="55"/>
      <x:c r="R917" s="55"/>
      <x:c r="S917" s="55" t="str">
        <x:f>IF(C917="","",IFERROR(Q917*R917/100,""))</x:f>
      </x:c>
      <x:c r="T917" s="55"/>
      <x:c r="U917" s="55"/>
      <x:c r="V917" s="55" t="str">
        <x:f>IF(U917="","",U917-TODAY())</x:f>
      </x:c>
      <x:c r="W917" s="55" t="str">
        <x:f>IF(AND(U917&lt;&gt;"",U917&lt;TODAY(),O917="Активен"),"ДА","")</x:f>
      </x:c>
      <x:c r="X917" s="55"/>
      <x:c r="Y917" s="55"/>
      <x:c r="Z917" s="55"/>
      <x:c r="AA917" s="55"/>
      <x:c r="AB917" s="55" t="str">
        <x:f>IF(C917="","", "Напиши " &amp; AA917 &amp; " за бизнес: " &amp; C917 &amp; ". Тип: " &amp; D917 &amp; ". Град: " &amp; E917 &amp; ". Проблем: " &amp; L917 &amp; ". Предложение: " &amp; M917 &amp; ". Етап: " &amp; N917 &amp; ". Бележки: " &amp; Y917)</x:f>
      </x:c>
      <x:c r="AC917" s="55"/>
    </x:row>
    <x:row r="918">
      <x:c r="A918" s="55"/>
      <x:c r="B918" s="55"/>
      <x:c r="C918" s="55"/>
      <x:c r="D918" s="55"/>
      <x:c r="E918" s="55"/>
      <x:c r="F918" s="55"/>
      <x:c r="G918" s="55"/>
      <x:c r="H918" s="55"/>
      <x:c r="I918" s="55"/>
      <x:c r="J918" s="55"/>
      <x:c r="K918" s="55"/>
      <x:c r="L918" s="55"/>
      <x:c r="M918" s="55"/>
      <x:c r="N918" s="55"/>
      <x:c r="O918" s="55"/>
      <x:c r="P918" s="55"/>
      <x:c r="Q918" s="55"/>
      <x:c r="R918" s="55"/>
      <x:c r="S918" s="55" t="str">
        <x:f>IF(C918="","",IFERROR(Q918*R918/100,""))</x:f>
      </x:c>
      <x:c r="T918" s="55"/>
      <x:c r="U918" s="55"/>
      <x:c r="V918" s="55" t="str">
        <x:f>IF(U918="","",U918-TODAY())</x:f>
      </x:c>
      <x:c r="W918" s="55" t="str">
        <x:f>IF(AND(U918&lt;&gt;"",U918&lt;TODAY(),O918="Активен"),"ДА","")</x:f>
      </x:c>
      <x:c r="X918" s="55"/>
      <x:c r="Y918" s="55"/>
      <x:c r="Z918" s="55"/>
      <x:c r="AA918" s="55"/>
      <x:c r="AB918" s="55" t="str">
        <x:f>IF(C918="","", "Напиши " &amp; AA918 &amp; " за бизнес: " &amp; C918 &amp; ". Тип: " &amp; D918 &amp; ". Град: " &amp; E918 &amp; ". Проблем: " &amp; L918 &amp; ". Предложение: " &amp; M918 &amp; ". Етап: " &amp; N918 &amp; ". Бележки: " &amp; Y918)</x:f>
      </x:c>
      <x:c r="AC918" s="55"/>
    </x:row>
    <x:row r="919">
      <x:c r="A919" s="55"/>
      <x:c r="B919" s="55"/>
      <x:c r="C919" s="55"/>
      <x:c r="D919" s="55"/>
      <x:c r="E919" s="55"/>
      <x:c r="F919" s="55"/>
      <x:c r="G919" s="55"/>
      <x:c r="H919" s="55"/>
      <x:c r="I919" s="55"/>
      <x:c r="J919" s="55"/>
      <x:c r="K919" s="55"/>
      <x:c r="L919" s="55"/>
      <x:c r="M919" s="55"/>
      <x:c r="N919" s="55"/>
      <x:c r="O919" s="55"/>
      <x:c r="P919" s="55"/>
      <x:c r="Q919" s="55"/>
      <x:c r="R919" s="55"/>
      <x:c r="S919" s="55" t="str">
        <x:f>IF(C919="","",IFERROR(Q919*R919/100,""))</x:f>
      </x:c>
      <x:c r="T919" s="55"/>
      <x:c r="U919" s="55"/>
      <x:c r="V919" s="55" t="str">
        <x:f>IF(U919="","",U919-TODAY())</x:f>
      </x:c>
      <x:c r="W919" s="55" t="str">
        <x:f>IF(AND(U919&lt;&gt;"",U919&lt;TODAY(),O919="Активен"),"ДА","")</x:f>
      </x:c>
      <x:c r="X919" s="55"/>
      <x:c r="Y919" s="55"/>
      <x:c r="Z919" s="55"/>
      <x:c r="AA919" s="55"/>
      <x:c r="AB919" s="55" t="str">
        <x:f>IF(C919="","", "Напиши " &amp; AA919 &amp; " за бизнес: " &amp; C919 &amp; ". Тип: " &amp; D919 &amp; ". Град: " &amp; E919 &amp; ". Проблем: " &amp; L919 &amp; ". Предложение: " &amp; M919 &amp; ". Етап: " &amp; N919 &amp; ". Бележки: " &amp; Y919)</x:f>
      </x:c>
      <x:c r="AC919" s="55"/>
    </x:row>
    <x:row r="920">
      <x:c r="A920" s="55"/>
      <x:c r="B920" s="55"/>
      <x:c r="C920" s="55"/>
      <x:c r="D920" s="55"/>
      <x:c r="E920" s="55"/>
      <x:c r="F920" s="55"/>
      <x:c r="G920" s="55"/>
      <x:c r="H920" s="55"/>
      <x:c r="I920" s="55"/>
      <x:c r="J920" s="55"/>
      <x:c r="K920" s="55"/>
      <x:c r="L920" s="55"/>
      <x:c r="M920" s="55"/>
      <x:c r="N920" s="55"/>
      <x:c r="O920" s="55"/>
      <x:c r="P920" s="55"/>
      <x:c r="Q920" s="55"/>
      <x:c r="R920" s="55"/>
      <x:c r="S920" s="55" t="str">
        <x:f>IF(C920="","",IFERROR(Q920*R920/100,""))</x:f>
      </x:c>
      <x:c r="T920" s="55"/>
      <x:c r="U920" s="55"/>
      <x:c r="V920" s="55" t="str">
        <x:f>IF(U920="","",U920-TODAY())</x:f>
      </x:c>
      <x:c r="W920" s="55" t="str">
        <x:f>IF(AND(U920&lt;&gt;"",U920&lt;TODAY(),O920="Активен"),"ДА","")</x:f>
      </x:c>
      <x:c r="X920" s="55"/>
      <x:c r="Y920" s="55"/>
      <x:c r="Z920" s="55"/>
      <x:c r="AA920" s="55"/>
      <x:c r="AB920" s="55" t="str">
        <x:f>IF(C920="","", "Напиши " &amp; AA920 &amp; " за бизнес: " &amp; C920 &amp; ". Тип: " &amp; D920 &amp; ". Град: " &amp; E920 &amp; ". Проблем: " &amp; L920 &amp; ". Предложение: " &amp; M920 &amp; ". Етап: " &amp; N920 &amp; ". Бележки: " &amp; Y920)</x:f>
      </x:c>
      <x:c r="AC920" s="55"/>
    </x:row>
    <x:row r="921">
      <x:c r="A921" s="55"/>
      <x:c r="B921" s="55"/>
      <x:c r="C921" s="55"/>
      <x:c r="D921" s="55"/>
      <x:c r="E921" s="55"/>
      <x:c r="F921" s="55"/>
      <x:c r="G921" s="55"/>
      <x:c r="H921" s="55"/>
      <x:c r="I921" s="55"/>
      <x:c r="J921" s="55"/>
      <x:c r="K921" s="55"/>
      <x:c r="L921" s="55"/>
      <x:c r="M921" s="55"/>
      <x:c r="N921" s="55"/>
      <x:c r="O921" s="55"/>
      <x:c r="P921" s="55"/>
      <x:c r="Q921" s="55"/>
      <x:c r="R921" s="55"/>
      <x:c r="S921" s="55" t="str">
        <x:f>IF(C921="","",IFERROR(Q921*R921/100,""))</x:f>
      </x:c>
      <x:c r="T921" s="55"/>
      <x:c r="U921" s="55"/>
      <x:c r="V921" s="55" t="str">
        <x:f>IF(U921="","",U921-TODAY())</x:f>
      </x:c>
      <x:c r="W921" s="55" t="str">
        <x:f>IF(AND(U921&lt;&gt;"",U921&lt;TODAY(),O921="Активен"),"ДА","")</x:f>
      </x:c>
      <x:c r="X921" s="55"/>
      <x:c r="Y921" s="55"/>
      <x:c r="Z921" s="55"/>
      <x:c r="AA921" s="55"/>
      <x:c r="AB921" s="55" t="str">
        <x:f>IF(C921="","", "Напиши " &amp; AA921 &amp; " за бизнес: " &amp; C921 &amp; ". Тип: " &amp; D921 &amp; ". Град: " &amp; E921 &amp; ". Проблем: " &amp; L921 &amp; ". Предложение: " &amp; M921 &amp; ". Етап: " &amp; N921 &amp; ". Бележки: " &amp; Y921)</x:f>
      </x:c>
      <x:c r="AC921" s="55"/>
    </x:row>
    <x:row r="922">
      <x:c r="A922" s="55"/>
      <x:c r="B922" s="55"/>
      <x:c r="C922" s="55"/>
      <x:c r="D922" s="55"/>
      <x:c r="E922" s="55"/>
      <x:c r="F922" s="55"/>
      <x:c r="G922" s="55"/>
      <x:c r="H922" s="55"/>
      <x:c r="I922" s="55"/>
      <x:c r="J922" s="55"/>
      <x:c r="K922" s="55"/>
      <x:c r="L922" s="55"/>
      <x:c r="M922" s="55"/>
      <x:c r="N922" s="55"/>
      <x:c r="O922" s="55"/>
      <x:c r="P922" s="55"/>
      <x:c r="Q922" s="55"/>
      <x:c r="R922" s="55"/>
      <x:c r="S922" s="55" t="str">
        <x:f>IF(C922="","",IFERROR(Q922*R922/100,""))</x:f>
      </x:c>
      <x:c r="T922" s="55"/>
      <x:c r="U922" s="55"/>
      <x:c r="V922" s="55" t="str">
        <x:f>IF(U922="","",U922-TODAY())</x:f>
      </x:c>
      <x:c r="W922" s="55" t="str">
        <x:f>IF(AND(U922&lt;&gt;"",U922&lt;TODAY(),O922="Активен"),"ДА","")</x:f>
      </x:c>
      <x:c r="X922" s="55"/>
      <x:c r="Y922" s="55"/>
      <x:c r="Z922" s="55"/>
      <x:c r="AA922" s="55"/>
      <x:c r="AB922" s="55" t="str">
        <x:f>IF(C922="","", "Напиши " &amp; AA922 &amp; " за бизнес: " &amp; C922 &amp; ". Тип: " &amp; D922 &amp; ". Град: " &amp; E922 &amp; ". Проблем: " &amp; L922 &amp; ". Предложение: " &amp; M922 &amp; ". Етап: " &amp; N922 &amp; ". Бележки: " &amp; Y922)</x:f>
      </x:c>
      <x:c r="AC922" s="55"/>
    </x:row>
    <x:row r="923">
      <x:c r="A923" s="55"/>
      <x:c r="B923" s="55"/>
      <x:c r="C923" s="55"/>
      <x:c r="D923" s="55"/>
      <x:c r="E923" s="55"/>
      <x:c r="F923" s="55"/>
      <x:c r="G923" s="55"/>
      <x:c r="H923" s="55"/>
      <x:c r="I923" s="55"/>
      <x:c r="J923" s="55"/>
      <x:c r="K923" s="55"/>
      <x:c r="L923" s="55"/>
      <x:c r="M923" s="55"/>
      <x:c r="N923" s="55"/>
      <x:c r="O923" s="55"/>
      <x:c r="P923" s="55"/>
      <x:c r="Q923" s="55"/>
      <x:c r="R923" s="55"/>
      <x:c r="S923" s="55" t="str">
        <x:f>IF(C923="","",IFERROR(Q923*R923/100,""))</x:f>
      </x:c>
      <x:c r="T923" s="55"/>
      <x:c r="U923" s="55"/>
      <x:c r="V923" s="55" t="str">
        <x:f>IF(U923="","",U923-TODAY())</x:f>
      </x:c>
      <x:c r="W923" s="55" t="str">
        <x:f>IF(AND(U923&lt;&gt;"",U923&lt;TODAY(),O923="Активен"),"ДА","")</x:f>
      </x:c>
      <x:c r="X923" s="55"/>
      <x:c r="Y923" s="55"/>
      <x:c r="Z923" s="55"/>
      <x:c r="AA923" s="55"/>
      <x:c r="AB923" s="55" t="str">
        <x:f>IF(C923="","", "Напиши " &amp; AA923 &amp; " за бизнес: " &amp; C923 &amp; ". Тип: " &amp; D923 &amp; ". Град: " &amp; E923 &amp; ". Проблем: " &amp; L923 &amp; ". Предложение: " &amp; M923 &amp; ". Етап: " &amp; N923 &amp; ". Бележки: " &amp; Y923)</x:f>
      </x:c>
      <x:c r="AC923" s="55"/>
    </x:row>
    <x:row r="924">
      <x:c r="A924" s="55"/>
      <x:c r="B924" s="55"/>
      <x:c r="C924" s="55"/>
      <x:c r="D924" s="55"/>
      <x:c r="E924" s="55"/>
      <x:c r="F924" s="55"/>
      <x:c r="G924" s="55"/>
      <x:c r="H924" s="55"/>
      <x:c r="I924" s="55"/>
      <x:c r="J924" s="55"/>
      <x:c r="K924" s="55"/>
      <x:c r="L924" s="55"/>
      <x:c r="M924" s="55"/>
      <x:c r="N924" s="55"/>
      <x:c r="O924" s="55"/>
      <x:c r="P924" s="55"/>
      <x:c r="Q924" s="55"/>
      <x:c r="R924" s="55"/>
      <x:c r="S924" s="55" t="str">
        <x:f>IF(C924="","",IFERROR(Q924*R924/100,""))</x:f>
      </x:c>
      <x:c r="T924" s="55"/>
      <x:c r="U924" s="55"/>
      <x:c r="V924" s="55" t="str">
        <x:f>IF(U924="","",U924-TODAY())</x:f>
      </x:c>
      <x:c r="W924" s="55" t="str">
        <x:f>IF(AND(U924&lt;&gt;"",U924&lt;TODAY(),O924="Активен"),"ДА","")</x:f>
      </x:c>
      <x:c r="X924" s="55"/>
      <x:c r="Y924" s="55"/>
      <x:c r="Z924" s="55"/>
      <x:c r="AA924" s="55"/>
      <x:c r="AB924" s="55" t="str">
        <x:f>IF(C924="","", "Напиши " &amp; AA924 &amp; " за бизнес: " &amp; C924 &amp; ". Тип: " &amp; D924 &amp; ". Град: " &amp; E924 &amp; ". Проблем: " &amp; L924 &amp; ". Предложение: " &amp; M924 &amp; ". Етап: " &amp; N924 &amp; ". Бележки: " &amp; Y924)</x:f>
      </x:c>
      <x:c r="AC924" s="55"/>
    </x:row>
    <x:row r="925">
      <x:c r="A925" s="55"/>
      <x:c r="B925" s="55"/>
      <x:c r="C925" s="55"/>
      <x:c r="D925" s="55"/>
      <x:c r="E925" s="55"/>
      <x:c r="F925" s="55"/>
      <x:c r="G925" s="55"/>
      <x:c r="H925" s="55"/>
      <x:c r="I925" s="55"/>
      <x:c r="J925" s="55"/>
      <x:c r="K925" s="55"/>
      <x:c r="L925" s="55"/>
      <x:c r="M925" s="55"/>
      <x:c r="N925" s="55"/>
      <x:c r="O925" s="55"/>
      <x:c r="P925" s="55"/>
      <x:c r="Q925" s="55"/>
      <x:c r="R925" s="55"/>
      <x:c r="S925" s="55" t="str">
        <x:f>IF(C925="","",IFERROR(Q925*R925/100,""))</x:f>
      </x:c>
      <x:c r="T925" s="55"/>
      <x:c r="U925" s="55"/>
      <x:c r="V925" s="55" t="str">
        <x:f>IF(U925="","",U925-TODAY())</x:f>
      </x:c>
      <x:c r="W925" s="55" t="str">
        <x:f>IF(AND(U925&lt;&gt;"",U925&lt;TODAY(),O925="Активен"),"ДА","")</x:f>
      </x:c>
      <x:c r="X925" s="55"/>
      <x:c r="Y925" s="55"/>
      <x:c r="Z925" s="55"/>
      <x:c r="AA925" s="55"/>
      <x:c r="AB925" s="55" t="str">
        <x:f>IF(C925="","", "Напиши " &amp; AA925 &amp; " за бизнес: " &amp; C925 &amp; ". Тип: " &amp; D925 &amp; ". Град: " &amp; E925 &amp; ". Проблем: " &amp; L925 &amp; ". Предложение: " &amp; M925 &amp; ". Етап: " &amp; N925 &amp; ". Бележки: " &amp; Y925)</x:f>
      </x:c>
      <x:c r="AC925" s="55"/>
    </x:row>
    <x:row r="926">
      <x:c r="A926" s="55"/>
      <x:c r="B926" s="55"/>
      <x:c r="C926" s="55"/>
      <x:c r="D926" s="55"/>
      <x:c r="E926" s="55"/>
      <x:c r="F926" s="55"/>
      <x:c r="G926" s="55"/>
      <x:c r="H926" s="55"/>
      <x:c r="I926" s="55"/>
      <x:c r="J926" s="55"/>
      <x:c r="K926" s="55"/>
      <x:c r="L926" s="55"/>
      <x:c r="M926" s="55"/>
      <x:c r="N926" s="55"/>
      <x:c r="O926" s="55"/>
      <x:c r="P926" s="55"/>
      <x:c r="Q926" s="55"/>
      <x:c r="R926" s="55"/>
      <x:c r="S926" s="55" t="str">
        <x:f>IF(C926="","",IFERROR(Q926*R926/100,""))</x:f>
      </x:c>
      <x:c r="T926" s="55"/>
      <x:c r="U926" s="55"/>
      <x:c r="V926" s="55" t="str">
        <x:f>IF(U926="","",U926-TODAY())</x:f>
      </x:c>
      <x:c r="W926" s="55" t="str">
        <x:f>IF(AND(U926&lt;&gt;"",U926&lt;TODAY(),O926="Активен"),"ДА","")</x:f>
      </x:c>
      <x:c r="X926" s="55"/>
      <x:c r="Y926" s="55"/>
      <x:c r="Z926" s="55"/>
      <x:c r="AA926" s="55"/>
      <x:c r="AB926" s="55" t="str">
        <x:f>IF(C926="","", "Напиши " &amp; AA926 &amp; " за бизнес: " &amp; C926 &amp; ". Тип: " &amp; D926 &amp; ". Град: " &amp; E926 &amp; ". Проблем: " &amp; L926 &amp; ". Предложение: " &amp; M926 &amp; ". Етап: " &amp; N926 &amp; ". Бележки: " &amp; Y926)</x:f>
      </x:c>
      <x:c r="AC926" s="55"/>
    </x:row>
    <x:row r="927">
      <x:c r="A927" s="55"/>
      <x:c r="B927" s="55"/>
      <x:c r="C927" s="55"/>
      <x:c r="D927" s="55"/>
      <x:c r="E927" s="55"/>
      <x:c r="F927" s="55"/>
      <x:c r="G927" s="55"/>
      <x:c r="H927" s="55"/>
      <x:c r="I927" s="55"/>
      <x:c r="J927" s="55"/>
      <x:c r="K927" s="55"/>
      <x:c r="L927" s="55"/>
      <x:c r="M927" s="55"/>
      <x:c r="N927" s="55"/>
      <x:c r="O927" s="55"/>
      <x:c r="P927" s="55"/>
      <x:c r="Q927" s="55"/>
      <x:c r="R927" s="55"/>
      <x:c r="S927" s="55" t="str">
        <x:f>IF(C927="","",IFERROR(Q927*R927/100,""))</x:f>
      </x:c>
      <x:c r="T927" s="55"/>
      <x:c r="U927" s="55"/>
      <x:c r="V927" s="55" t="str">
        <x:f>IF(U927="","",U927-TODAY())</x:f>
      </x:c>
      <x:c r="W927" s="55" t="str">
        <x:f>IF(AND(U927&lt;&gt;"",U927&lt;TODAY(),O927="Активен"),"ДА","")</x:f>
      </x:c>
      <x:c r="X927" s="55"/>
      <x:c r="Y927" s="55"/>
      <x:c r="Z927" s="55"/>
      <x:c r="AA927" s="55"/>
      <x:c r="AB927" s="55" t="str">
        <x:f>IF(C927="","", "Напиши " &amp; AA927 &amp; " за бизнес: " &amp; C927 &amp; ". Тип: " &amp; D927 &amp; ". Град: " &amp; E927 &amp; ". Проблем: " &amp; L927 &amp; ". Предложение: " &amp; M927 &amp; ". Етап: " &amp; N927 &amp; ". Бележки: " &amp; Y927)</x:f>
      </x:c>
      <x:c r="AC927" s="55"/>
    </x:row>
    <x:row r="928">
      <x:c r="A928" s="55"/>
      <x:c r="B928" s="55"/>
      <x:c r="C928" s="55"/>
      <x:c r="D928" s="55"/>
      <x:c r="E928" s="55"/>
      <x:c r="F928" s="55"/>
      <x:c r="G928" s="55"/>
      <x:c r="H928" s="55"/>
      <x:c r="I928" s="55"/>
      <x:c r="J928" s="55"/>
      <x:c r="K928" s="55"/>
      <x:c r="L928" s="55"/>
      <x:c r="M928" s="55"/>
      <x:c r="N928" s="55"/>
      <x:c r="O928" s="55"/>
      <x:c r="P928" s="55"/>
      <x:c r="Q928" s="55"/>
      <x:c r="R928" s="55"/>
      <x:c r="S928" s="55" t="str">
        <x:f>IF(C928="","",IFERROR(Q928*R928/100,""))</x:f>
      </x:c>
      <x:c r="T928" s="55"/>
      <x:c r="U928" s="55"/>
      <x:c r="V928" s="55" t="str">
        <x:f>IF(U928="","",U928-TODAY())</x:f>
      </x:c>
      <x:c r="W928" s="55" t="str">
        <x:f>IF(AND(U928&lt;&gt;"",U928&lt;TODAY(),O928="Активен"),"ДА","")</x:f>
      </x:c>
      <x:c r="X928" s="55"/>
      <x:c r="Y928" s="55"/>
      <x:c r="Z928" s="55"/>
      <x:c r="AA928" s="55"/>
      <x:c r="AB928" s="55" t="str">
        <x:f>IF(C928="","", "Напиши " &amp; AA928 &amp; " за бизнес: " &amp; C928 &amp; ". Тип: " &amp; D928 &amp; ". Град: " &amp; E928 &amp; ". Проблем: " &amp; L928 &amp; ". Предложение: " &amp; M928 &amp; ". Етап: " &amp; N928 &amp; ". Бележки: " &amp; Y928)</x:f>
      </x:c>
      <x:c r="AC928" s="55"/>
    </x:row>
    <x:row r="929">
      <x:c r="A929" s="55"/>
      <x:c r="B929" s="55"/>
      <x:c r="C929" s="55"/>
      <x:c r="D929" s="55"/>
      <x:c r="E929" s="55"/>
      <x:c r="F929" s="55"/>
      <x:c r="G929" s="55"/>
      <x:c r="H929" s="55"/>
      <x:c r="I929" s="55"/>
      <x:c r="J929" s="55"/>
      <x:c r="K929" s="55"/>
      <x:c r="L929" s="55"/>
      <x:c r="M929" s="55"/>
      <x:c r="N929" s="55"/>
      <x:c r="O929" s="55"/>
      <x:c r="P929" s="55"/>
      <x:c r="Q929" s="55"/>
      <x:c r="R929" s="55"/>
      <x:c r="S929" s="55" t="str">
        <x:f>IF(C929="","",IFERROR(Q929*R929/100,""))</x:f>
      </x:c>
      <x:c r="T929" s="55"/>
      <x:c r="U929" s="55"/>
      <x:c r="V929" s="55" t="str">
        <x:f>IF(U929="","",U929-TODAY())</x:f>
      </x:c>
      <x:c r="W929" s="55" t="str">
        <x:f>IF(AND(U929&lt;&gt;"",U929&lt;TODAY(),O929="Активен"),"ДА","")</x:f>
      </x:c>
      <x:c r="X929" s="55"/>
      <x:c r="Y929" s="55"/>
      <x:c r="Z929" s="55"/>
      <x:c r="AA929" s="55"/>
      <x:c r="AB929" s="55" t="str">
        <x:f>IF(C929="","", "Напиши " &amp; AA929 &amp; " за бизнес: " &amp; C929 &amp; ". Тип: " &amp; D929 &amp; ". Град: " &amp; E929 &amp; ". Проблем: " &amp; L929 &amp; ". Предложение: " &amp; M929 &amp; ". Етап: " &amp; N929 &amp; ". Бележки: " &amp; Y929)</x:f>
      </x:c>
      <x:c r="AC929" s="55"/>
    </x:row>
    <x:row r="930">
      <x:c r="A930" s="55"/>
      <x:c r="B930" s="55"/>
      <x:c r="C930" s="55"/>
      <x:c r="D930" s="55"/>
      <x:c r="E930" s="55"/>
      <x:c r="F930" s="55"/>
      <x:c r="G930" s="55"/>
      <x:c r="H930" s="55"/>
      <x:c r="I930" s="55"/>
      <x:c r="J930" s="55"/>
      <x:c r="K930" s="55"/>
      <x:c r="L930" s="55"/>
      <x:c r="M930" s="55"/>
      <x:c r="N930" s="55"/>
      <x:c r="O930" s="55"/>
      <x:c r="P930" s="55"/>
      <x:c r="Q930" s="55"/>
      <x:c r="R930" s="55"/>
      <x:c r="S930" s="55" t="str">
        <x:f>IF(C930="","",IFERROR(Q930*R930/100,""))</x:f>
      </x:c>
      <x:c r="T930" s="55"/>
      <x:c r="U930" s="55"/>
      <x:c r="V930" s="55" t="str">
        <x:f>IF(U930="","",U930-TODAY())</x:f>
      </x:c>
      <x:c r="W930" s="55" t="str">
        <x:f>IF(AND(U930&lt;&gt;"",U930&lt;TODAY(),O930="Активен"),"ДА","")</x:f>
      </x:c>
      <x:c r="X930" s="55"/>
      <x:c r="Y930" s="55"/>
      <x:c r="Z930" s="55"/>
      <x:c r="AA930" s="55"/>
      <x:c r="AB930" s="55" t="str">
        <x:f>IF(C930="","", "Напиши " &amp; AA930 &amp; " за бизнес: " &amp; C930 &amp; ". Тип: " &amp; D930 &amp; ". Град: " &amp; E930 &amp; ". Проблем: " &amp; L930 &amp; ". Предложение: " &amp; M930 &amp; ". Етап: " &amp; N930 &amp; ". Бележки: " &amp; Y930)</x:f>
      </x:c>
      <x:c r="AC930" s="55"/>
    </x:row>
    <x:row r="931">
      <x:c r="A931" s="55"/>
      <x:c r="B931" s="55"/>
      <x:c r="C931" s="55"/>
      <x:c r="D931" s="55"/>
      <x:c r="E931" s="55"/>
      <x:c r="F931" s="55"/>
      <x:c r="G931" s="55"/>
      <x:c r="H931" s="55"/>
      <x:c r="I931" s="55"/>
      <x:c r="J931" s="55"/>
      <x:c r="K931" s="55"/>
      <x:c r="L931" s="55"/>
      <x:c r="M931" s="55"/>
      <x:c r="N931" s="55"/>
      <x:c r="O931" s="55"/>
      <x:c r="P931" s="55"/>
      <x:c r="Q931" s="55"/>
      <x:c r="R931" s="55"/>
      <x:c r="S931" s="55" t="str">
        <x:f>IF(C931="","",IFERROR(Q931*R931/100,""))</x:f>
      </x:c>
      <x:c r="T931" s="55"/>
      <x:c r="U931" s="55"/>
      <x:c r="V931" s="55" t="str">
        <x:f>IF(U931="","",U931-TODAY())</x:f>
      </x:c>
      <x:c r="W931" s="55" t="str">
        <x:f>IF(AND(U931&lt;&gt;"",U931&lt;TODAY(),O931="Активен"),"ДА","")</x:f>
      </x:c>
      <x:c r="X931" s="55"/>
      <x:c r="Y931" s="55"/>
      <x:c r="Z931" s="55"/>
      <x:c r="AA931" s="55"/>
      <x:c r="AB931" s="55" t="str">
        <x:f>IF(C931="","", "Напиши " &amp; AA931 &amp; " за бизнес: " &amp; C931 &amp; ". Тип: " &amp; D931 &amp; ". Град: " &amp; E931 &amp; ". Проблем: " &amp; L931 &amp; ". Предложение: " &amp; M931 &amp; ". Етап: " &amp; N931 &amp; ". Бележки: " &amp; Y931)</x:f>
      </x:c>
      <x:c r="AC931" s="55"/>
    </x:row>
    <x:row r="932">
      <x:c r="A932" s="55"/>
      <x:c r="B932" s="55"/>
      <x:c r="C932" s="55"/>
      <x:c r="D932" s="55"/>
      <x:c r="E932" s="55"/>
      <x:c r="F932" s="55"/>
      <x:c r="G932" s="55"/>
      <x:c r="H932" s="55"/>
      <x:c r="I932" s="55"/>
      <x:c r="J932" s="55"/>
      <x:c r="K932" s="55"/>
      <x:c r="L932" s="55"/>
      <x:c r="M932" s="55"/>
      <x:c r="N932" s="55"/>
      <x:c r="O932" s="55"/>
      <x:c r="P932" s="55"/>
      <x:c r="Q932" s="55"/>
      <x:c r="R932" s="55"/>
      <x:c r="S932" s="55" t="str">
        <x:f>IF(C932="","",IFERROR(Q932*R932/100,""))</x:f>
      </x:c>
      <x:c r="T932" s="55"/>
      <x:c r="U932" s="55"/>
      <x:c r="V932" s="55" t="str">
        <x:f>IF(U932="","",U932-TODAY())</x:f>
      </x:c>
      <x:c r="W932" s="55" t="str">
        <x:f>IF(AND(U932&lt;&gt;"",U932&lt;TODAY(),O932="Активен"),"ДА","")</x:f>
      </x:c>
      <x:c r="X932" s="55"/>
      <x:c r="Y932" s="55"/>
      <x:c r="Z932" s="55"/>
      <x:c r="AA932" s="55"/>
      <x:c r="AB932" s="55" t="str">
        <x:f>IF(C932="","", "Напиши " &amp; AA932 &amp; " за бизнес: " &amp; C932 &amp; ". Тип: " &amp; D932 &amp; ". Град: " &amp; E932 &amp; ". Проблем: " &amp; L932 &amp; ". Предложение: " &amp; M932 &amp; ". Етап: " &amp; N932 &amp; ". Бележки: " &amp; Y932)</x:f>
      </x:c>
      <x:c r="AC932" s="55"/>
    </x:row>
    <x:row r="933">
      <x:c r="A933" s="55"/>
      <x:c r="B933" s="55"/>
      <x:c r="C933" s="55"/>
      <x:c r="D933" s="55"/>
      <x:c r="E933" s="55"/>
      <x:c r="F933" s="55"/>
      <x:c r="G933" s="55"/>
      <x:c r="H933" s="55"/>
      <x:c r="I933" s="55"/>
      <x:c r="J933" s="55"/>
      <x:c r="K933" s="55"/>
      <x:c r="L933" s="55"/>
      <x:c r="M933" s="55"/>
      <x:c r="N933" s="55"/>
      <x:c r="O933" s="55"/>
      <x:c r="P933" s="55"/>
      <x:c r="Q933" s="55"/>
      <x:c r="R933" s="55"/>
      <x:c r="S933" s="55" t="str">
        <x:f>IF(C933="","",IFERROR(Q933*R933/100,""))</x:f>
      </x:c>
      <x:c r="T933" s="55"/>
      <x:c r="U933" s="55"/>
      <x:c r="V933" s="55" t="str">
        <x:f>IF(U933="","",U933-TODAY())</x:f>
      </x:c>
      <x:c r="W933" s="55" t="str">
        <x:f>IF(AND(U933&lt;&gt;"",U933&lt;TODAY(),O933="Активен"),"ДА","")</x:f>
      </x:c>
      <x:c r="X933" s="55"/>
      <x:c r="Y933" s="55"/>
      <x:c r="Z933" s="55"/>
      <x:c r="AA933" s="55"/>
      <x:c r="AB933" s="55" t="str">
        <x:f>IF(C933="","", "Напиши " &amp; AA933 &amp; " за бизнес: " &amp; C933 &amp; ". Тип: " &amp; D933 &amp; ". Град: " &amp; E933 &amp; ". Проблем: " &amp; L933 &amp; ". Предложение: " &amp; M933 &amp; ". Етап: " &amp; N933 &amp; ". Бележки: " &amp; Y933)</x:f>
      </x:c>
      <x:c r="AC933" s="55"/>
    </x:row>
    <x:row r="934">
      <x:c r="A934" s="55"/>
      <x:c r="B934" s="55"/>
      <x:c r="C934" s="55"/>
      <x:c r="D934" s="55"/>
      <x:c r="E934" s="55"/>
      <x:c r="F934" s="55"/>
      <x:c r="G934" s="55"/>
      <x:c r="H934" s="55"/>
      <x:c r="I934" s="55"/>
      <x:c r="J934" s="55"/>
      <x:c r="K934" s="55"/>
      <x:c r="L934" s="55"/>
      <x:c r="M934" s="55"/>
      <x:c r="N934" s="55"/>
      <x:c r="O934" s="55"/>
      <x:c r="P934" s="55"/>
      <x:c r="Q934" s="55"/>
      <x:c r="R934" s="55"/>
      <x:c r="S934" s="55" t="str">
        <x:f>IF(C934="","",IFERROR(Q934*R934/100,""))</x:f>
      </x:c>
      <x:c r="T934" s="55"/>
      <x:c r="U934" s="55"/>
      <x:c r="V934" s="55" t="str">
        <x:f>IF(U934="","",U934-TODAY())</x:f>
      </x:c>
      <x:c r="W934" s="55" t="str">
        <x:f>IF(AND(U934&lt;&gt;"",U934&lt;TODAY(),O934="Активен"),"ДА","")</x:f>
      </x:c>
      <x:c r="X934" s="55"/>
      <x:c r="Y934" s="55"/>
      <x:c r="Z934" s="55"/>
      <x:c r="AA934" s="55"/>
      <x:c r="AB934" s="55" t="str">
        <x:f>IF(C934="","", "Напиши " &amp; AA934 &amp; " за бизнес: " &amp; C934 &amp; ". Тип: " &amp; D934 &amp; ". Град: " &amp; E934 &amp; ". Проблем: " &amp; L934 &amp; ". Предложение: " &amp; M934 &amp; ". Етап: " &amp; N934 &amp; ". Бележки: " &amp; Y934)</x:f>
      </x:c>
      <x:c r="AC934" s="55"/>
    </x:row>
    <x:row r="935">
      <x:c r="A935" s="55"/>
      <x:c r="B935" s="55"/>
      <x:c r="C935" s="55"/>
      <x:c r="D935" s="55"/>
      <x:c r="E935" s="55"/>
      <x:c r="F935" s="55"/>
      <x:c r="G935" s="55"/>
      <x:c r="H935" s="55"/>
      <x:c r="I935" s="55"/>
      <x:c r="J935" s="55"/>
      <x:c r="K935" s="55"/>
      <x:c r="L935" s="55"/>
      <x:c r="M935" s="55"/>
      <x:c r="N935" s="55"/>
      <x:c r="O935" s="55"/>
      <x:c r="P935" s="55"/>
      <x:c r="Q935" s="55"/>
      <x:c r="R935" s="55"/>
      <x:c r="S935" s="55" t="str">
        <x:f>IF(C935="","",IFERROR(Q935*R935/100,""))</x:f>
      </x:c>
      <x:c r="T935" s="55"/>
      <x:c r="U935" s="55"/>
      <x:c r="V935" s="55" t="str">
        <x:f>IF(U935="","",U935-TODAY())</x:f>
      </x:c>
      <x:c r="W935" s="55" t="str">
        <x:f>IF(AND(U935&lt;&gt;"",U935&lt;TODAY(),O935="Активен"),"ДА","")</x:f>
      </x:c>
      <x:c r="X935" s="55"/>
      <x:c r="Y935" s="55"/>
      <x:c r="Z935" s="55"/>
      <x:c r="AA935" s="55"/>
      <x:c r="AB935" s="55" t="str">
        <x:f>IF(C935="","", "Напиши " &amp; AA935 &amp; " за бизнес: " &amp; C935 &amp; ". Тип: " &amp; D935 &amp; ". Град: " &amp; E935 &amp; ". Проблем: " &amp; L935 &amp; ". Предложение: " &amp; M935 &amp; ". Етап: " &amp; N935 &amp; ". Бележки: " &amp; Y935)</x:f>
      </x:c>
      <x:c r="AC935" s="55"/>
    </x:row>
    <x:row r="936">
      <x:c r="A936" s="55"/>
      <x:c r="B936" s="55"/>
      <x:c r="C936" s="55"/>
      <x:c r="D936" s="55"/>
      <x:c r="E936" s="55"/>
      <x:c r="F936" s="55"/>
      <x:c r="G936" s="55"/>
      <x:c r="H936" s="55"/>
      <x:c r="I936" s="55"/>
      <x:c r="J936" s="55"/>
      <x:c r="K936" s="55"/>
      <x:c r="L936" s="55"/>
      <x:c r="M936" s="55"/>
      <x:c r="N936" s="55"/>
      <x:c r="O936" s="55"/>
      <x:c r="P936" s="55"/>
      <x:c r="Q936" s="55"/>
      <x:c r="R936" s="55"/>
      <x:c r="S936" s="55" t="str">
        <x:f>IF(C936="","",IFERROR(Q936*R936/100,""))</x:f>
      </x:c>
      <x:c r="T936" s="55"/>
      <x:c r="U936" s="55"/>
      <x:c r="V936" s="55" t="str">
        <x:f>IF(U936="","",U936-TODAY())</x:f>
      </x:c>
      <x:c r="W936" s="55" t="str">
        <x:f>IF(AND(U936&lt;&gt;"",U936&lt;TODAY(),O936="Активен"),"ДА","")</x:f>
      </x:c>
      <x:c r="X936" s="55"/>
      <x:c r="Y936" s="55"/>
      <x:c r="Z936" s="55"/>
      <x:c r="AA936" s="55"/>
      <x:c r="AB936" s="55" t="str">
        <x:f>IF(C936="","", "Напиши " &amp; AA936 &amp; " за бизнес: " &amp; C936 &amp; ". Тип: " &amp; D936 &amp; ". Град: " &amp; E936 &amp; ". Проблем: " &amp; L936 &amp; ". Предложение: " &amp; M936 &amp; ". Етап: " &amp; N936 &amp; ". Бележки: " &amp; Y936)</x:f>
      </x:c>
      <x:c r="AC936" s="55"/>
    </x:row>
    <x:row r="937">
      <x:c r="A937" s="55"/>
      <x:c r="B937" s="55"/>
      <x:c r="C937" s="55"/>
      <x:c r="D937" s="55"/>
      <x:c r="E937" s="55"/>
      <x:c r="F937" s="55"/>
      <x:c r="G937" s="55"/>
      <x:c r="H937" s="55"/>
      <x:c r="I937" s="55"/>
      <x:c r="J937" s="55"/>
      <x:c r="K937" s="55"/>
      <x:c r="L937" s="55"/>
      <x:c r="M937" s="55"/>
      <x:c r="N937" s="55"/>
      <x:c r="O937" s="55"/>
      <x:c r="P937" s="55"/>
      <x:c r="Q937" s="55"/>
      <x:c r="R937" s="55"/>
      <x:c r="S937" s="55" t="str">
        <x:f>IF(C937="","",IFERROR(Q937*R937/100,""))</x:f>
      </x:c>
      <x:c r="T937" s="55"/>
      <x:c r="U937" s="55"/>
      <x:c r="V937" s="55" t="str">
        <x:f>IF(U937="","",U937-TODAY())</x:f>
      </x:c>
      <x:c r="W937" s="55" t="str">
        <x:f>IF(AND(U937&lt;&gt;"",U937&lt;TODAY(),O937="Активен"),"ДА","")</x:f>
      </x:c>
      <x:c r="X937" s="55"/>
      <x:c r="Y937" s="55"/>
      <x:c r="Z937" s="55"/>
      <x:c r="AA937" s="55"/>
      <x:c r="AB937" s="55" t="str">
        <x:f>IF(C937="","", "Напиши " &amp; AA937 &amp; " за бизнес: " &amp; C937 &amp; ". Тип: " &amp; D937 &amp; ". Град: " &amp; E937 &amp; ". Проблем: " &amp; L937 &amp; ". Предложение: " &amp; M937 &amp; ". Етап: " &amp; N937 &amp; ". Бележки: " &amp; Y937)</x:f>
      </x:c>
      <x:c r="AC937" s="55"/>
    </x:row>
    <x:row r="938">
      <x:c r="A938" s="55"/>
      <x:c r="B938" s="55"/>
      <x:c r="C938" s="55"/>
      <x:c r="D938" s="55"/>
      <x:c r="E938" s="55"/>
      <x:c r="F938" s="55"/>
      <x:c r="G938" s="55"/>
      <x:c r="H938" s="55"/>
      <x:c r="I938" s="55"/>
      <x:c r="J938" s="55"/>
      <x:c r="K938" s="55"/>
      <x:c r="L938" s="55"/>
      <x:c r="M938" s="55"/>
      <x:c r="N938" s="55"/>
      <x:c r="O938" s="55"/>
      <x:c r="P938" s="55"/>
      <x:c r="Q938" s="55"/>
      <x:c r="R938" s="55"/>
      <x:c r="S938" s="55" t="str">
        <x:f>IF(C938="","",IFERROR(Q938*R938/100,""))</x:f>
      </x:c>
      <x:c r="T938" s="55"/>
      <x:c r="U938" s="55"/>
      <x:c r="V938" s="55" t="str">
        <x:f>IF(U938="","",U938-TODAY())</x:f>
      </x:c>
      <x:c r="W938" s="55" t="str">
        <x:f>IF(AND(U938&lt;&gt;"",U938&lt;TODAY(),O938="Активен"),"ДА","")</x:f>
      </x:c>
      <x:c r="X938" s="55"/>
      <x:c r="Y938" s="55"/>
      <x:c r="Z938" s="55"/>
      <x:c r="AA938" s="55"/>
      <x:c r="AB938" s="55" t="str">
        <x:f>IF(C938="","", "Напиши " &amp; AA938 &amp; " за бизнес: " &amp; C938 &amp; ". Тип: " &amp; D938 &amp; ". Град: " &amp; E938 &amp; ". Проблем: " &amp; L938 &amp; ". Предложение: " &amp; M938 &amp; ". Етап: " &amp; N938 &amp; ". Бележки: " &amp; Y938)</x:f>
      </x:c>
      <x:c r="AC938" s="55"/>
    </x:row>
    <x:row r="939">
      <x:c r="A939" s="55"/>
      <x:c r="B939" s="55"/>
      <x:c r="C939" s="55"/>
      <x:c r="D939" s="55"/>
      <x:c r="E939" s="55"/>
      <x:c r="F939" s="55"/>
      <x:c r="G939" s="55"/>
      <x:c r="H939" s="55"/>
      <x:c r="I939" s="55"/>
      <x:c r="J939" s="55"/>
      <x:c r="K939" s="55"/>
      <x:c r="L939" s="55"/>
      <x:c r="M939" s="55"/>
      <x:c r="N939" s="55"/>
      <x:c r="O939" s="55"/>
      <x:c r="P939" s="55"/>
      <x:c r="Q939" s="55"/>
      <x:c r="R939" s="55"/>
      <x:c r="S939" s="55" t="str">
        <x:f>IF(C939="","",IFERROR(Q939*R939/100,""))</x:f>
      </x:c>
      <x:c r="T939" s="55"/>
      <x:c r="U939" s="55"/>
      <x:c r="V939" s="55" t="str">
        <x:f>IF(U939="","",U939-TODAY())</x:f>
      </x:c>
      <x:c r="W939" s="55" t="str">
        <x:f>IF(AND(U939&lt;&gt;"",U939&lt;TODAY(),O939="Активен"),"ДА","")</x:f>
      </x:c>
      <x:c r="X939" s="55"/>
      <x:c r="Y939" s="55"/>
      <x:c r="Z939" s="55"/>
      <x:c r="AA939" s="55"/>
      <x:c r="AB939" s="55" t="str">
        <x:f>IF(C939="","", "Напиши " &amp; AA939 &amp; " за бизнес: " &amp; C939 &amp; ". Тип: " &amp; D939 &amp; ". Град: " &amp; E939 &amp; ". Проблем: " &amp; L939 &amp; ". Предложение: " &amp; M939 &amp; ". Етап: " &amp; N939 &amp; ". Бележки: " &amp; Y939)</x:f>
      </x:c>
      <x:c r="AC939" s="55"/>
    </x:row>
    <x:row r="940">
      <x:c r="A940" s="55"/>
      <x:c r="B940" s="55"/>
      <x:c r="C940" s="55"/>
      <x:c r="D940" s="55"/>
      <x:c r="E940" s="55"/>
      <x:c r="F940" s="55"/>
      <x:c r="G940" s="55"/>
      <x:c r="H940" s="55"/>
      <x:c r="I940" s="55"/>
      <x:c r="J940" s="55"/>
      <x:c r="K940" s="55"/>
      <x:c r="L940" s="55"/>
      <x:c r="M940" s="55"/>
      <x:c r="N940" s="55"/>
      <x:c r="O940" s="55"/>
      <x:c r="P940" s="55"/>
      <x:c r="Q940" s="55"/>
      <x:c r="R940" s="55"/>
      <x:c r="S940" s="55" t="str">
        <x:f>IF(C940="","",IFERROR(Q940*R940/100,""))</x:f>
      </x:c>
      <x:c r="T940" s="55"/>
      <x:c r="U940" s="55"/>
      <x:c r="V940" s="55" t="str">
        <x:f>IF(U940="","",U940-TODAY())</x:f>
      </x:c>
      <x:c r="W940" s="55" t="str">
        <x:f>IF(AND(U940&lt;&gt;"",U940&lt;TODAY(),O940="Активен"),"ДА","")</x:f>
      </x:c>
      <x:c r="X940" s="55"/>
      <x:c r="Y940" s="55"/>
      <x:c r="Z940" s="55"/>
      <x:c r="AA940" s="55"/>
      <x:c r="AB940" s="55" t="str">
        <x:f>IF(C940="","", "Напиши " &amp; AA940 &amp; " за бизнес: " &amp; C940 &amp; ". Тип: " &amp; D940 &amp; ". Град: " &amp; E940 &amp; ". Проблем: " &amp; L940 &amp; ". Предложение: " &amp; M940 &amp; ". Етап: " &amp; N940 &amp; ". Бележки: " &amp; Y940)</x:f>
      </x:c>
      <x:c r="AC940" s="55"/>
    </x:row>
    <x:row r="941">
      <x:c r="A941" s="55"/>
      <x:c r="B941" s="55"/>
      <x:c r="C941" s="55"/>
      <x:c r="D941" s="55"/>
      <x:c r="E941" s="55"/>
      <x:c r="F941" s="55"/>
      <x:c r="G941" s="55"/>
      <x:c r="H941" s="55"/>
      <x:c r="I941" s="55"/>
      <x:c r="J941" s="55"/>
      <x:c r="K941" s="55"/>
      <x:c r="L941" s="55"/>
      <x:c r="M941" s="55"/>
      <x:c r="N941" s="55"/>
      <x:c r="O941" s="55"/>
      <x:c r="P941" s="55"/>
      <x:c r="Q941" s="55"/>
      <x:c r="R941" s="55"/>
      <x:c r="S941" s="55" t="str">
        <x:f>IF(C941="","",IFERROR(Q941*R941/100,""))</x:f>
      </x:c>
      <x:c r="T941" s="55"/>
      <x:c r="U941" s="55"/>
      <x:c r="V941" s="55" t="str">
        <x:f>IF(U941="","",U941-TODAY())</x:f>
      </x:c>
      <x:c r="W941" s="55" t="str">
        <x:f>IF(AND(U941&lt;&gt;"",U941&lt;TODAY(),O941="Активен"),"ДА","")</x:f>
      </x:c>
      <x:c r="X941" s="55"/>
      <x:c r="Y941" s="55"/>
      <x:c r="Z941" s="55"/>
      <x:c r="AA941" s="55"/>
      <x:c r="AB941" s="55" t="str">
        <x:f>IF(C941="","", "Напиши " &amp; AA941 &amp; " за бизнес: " &amp; C941 &amp; ". Тип: " &amp; D941 &amp; ". Град: " &amp; E941 &amp; ". Проблем: " &amp; L941 &amp; ". Предложение: " &amp; M941 &amp; ". Етап: " &amp; N941 &amp; ". Бележки: " &amp; Y941)</x:f>
      </x:c>
      <x:c r="AC941" s="55"/>
    </x:row>
    <x:row r="942">
      <x:c r="A942" s="55"/>
      <x:c r="B942" s="55"/>
      <x:c r="C942" s="55"/>
      <x:c r="D942" s="55"/>
      <x:c r="E942" s="55"/>
      <x:c r="F942" s="55"/>
      <x:c r="G942" s="55"/>
      <x:c r="H942" s="55"/>
      <x:c r="I942" s="55"/>
      <x:c r="J942" s="55"/>
      <x:c r="K942" s="55"/>
      <x:c r="L942" s="55"/>
      <x:c r="M942" s="55"/>
      <x:c r="N942" s="55"/>
      <x:c r="O942" s="55"/>
      <x:c r="P942" s="55"/>
      <x:c r="Q942" s="55"/>
      <x:c r="R942" s="55"/>
      <x:c r="S942" s="55" t="str">
        <x:f>IF(C942="","",IFERROR(Q942*R942/100,""))</x:f>
      </x:c>
      <x:c r="T942" s="55"/>
      <x:c r="U942" s="55"/>
      <x:c r="V942" s="55" t="str">
        <x:f>IF(U942="","",U942-TODAY())</x:f>
      </x:c>
      <x:c r="W942" s="55" t="str">
        <x:f>IF(AND(U942&lt;&gt;"",U942&lt;TODAY(),O942="Активен"),"ДА","")</x:f>
      </x:c>
      <x:c r="X942" s="55"/>
      <x:c r="Y942" s="55"/>
      <x:c r="Z942" s="55"/>
      <x:c r="AA942" s="55"/>
      <x:c r="AB942" s="55" t="str">
        <x:f>IF(C942="","", "Напиши " &amp; AA942 &amp; " за бизнес: " &amp; C942 &amp; ". Тип: " &amp; D942 &amp; ". Град: " &amp; E942 &amp; ". Проблем: " &amp; L942 &amp; ". Предложение: " &amp; M942 &amp; ". Етап: " &amp; N942 &amp; ". Бележки: " &amp; Y942)</x:f>
      </x:c>
      <x:c r="AC942" s="55"/>
    </x:row>
    <x:row r="943">
      <x:c r="A943" s="55"/>
      <x:c r="B943" s="55"/>
      <x:c r="C943" s="55"/>
      <x:c r="D943" s="55"/>
      <x:c r="E943" s="55"/>
      <x:c r="F943" s="55"/>
      <x:c r="G943" s="55"/>
      <x:c r="H943" s="55"/>
      <x:c r="I943" s="55"/>
      <x:c r="J943" s="55"/>
      <x:c r="K943" s="55"/>
      <x:c r="L943" s="55"/>
      <x:c r="M943" s="55"/>
      <x:c r="N943" s="55"/>
      <x:c r="O943" s="55"/>
      <x:c r="P943" s="55"/>
      <x:c r="Q943" s="55"/>
      <x:c r="R943" s="55"/>
      <x:c r="S943" s="55" t="str">
        <x:f>IF(C943="","",IFERROR(Q943*R943/100,""))</x:f>
      </x:c>
      <x:c r="T943" s="55"/>
      <x:c r="U943" s="55"/>
      <x:c r="V943" s="55" t="str">
        <x:f>IF(U943="","",U943-TODAY())</x:f>
      </x:c>
      <x:c r="W943" s="55" t="str">
        <x:f>IF(AND(U943&lt;&gt;"",U943&lt;TODAY(),O943="Активен"),"ДА","")</x:f>
      </x:c>
      <x:c r="X943" s="55"/>
      <x:c r="Y943" s="55"/>
      <x:c r="Z943" s="55"/>
      <x:c r="AA943" s="55"/>
      <x:c r="AB943" s="55" t="str">
        <x:f>IF(C943="","", "Напиши " &amp; AA943 &amp; " за бизнес: " &amp; C943 &amp; ". Тип: " &amp; D943 &amp; ". Град: " &amp; E943 &amp; ". Проблем: " &amp; L943 &amp; ". Предложение: " &amp; M943 &amp; ". Етап: " &amp; N943 &amp; ". Бележки: " &amp; Y943)</x:f>
      </x:c>
      <x:c r="AC943" s="55"/>
    </x:row>
    <x:row r="944">
      <x:c r="A944" s="55"/>
      <x:c r="B944" s="55"/>
      <x:c r="C944" s="55"/>
      <x:c r="D944" s="55"/>
      <x:c r="E944" s="55"/>
      <x:c r="F944" s="55"/>
      <x:c r="G944" s="55"/>
      <x:c r="H944" s="55"/>
      <x:c r="I944" s="55"/>
      <x:c r="J944" s="55"/>
      <x:c r="K944" s="55"/>
      <x:c r="L944" s="55"/>
      <x:c r="M944" s="55"/>
      <x:c r="N944" s="55"/>
      <x:c r="O944" s="55"/>
      <x:c r="P944" s="55"/>
      <x:c r="Q944" s="55"/>
      <x:c r="R944" s="55"/>
      <x:c r="S944" s="55" t="str">
        <x:f>IF(C944="","",IFERROR(Q944*R944/100,""))</x:f>
      </x:c>
      <x:c r="T944" s="55"/>
      <x:c r="U944" s="55"/>
      <x:c r="V944" s="55" t="str">
        <x:f>IF(U944="","",U944-TODAY())</x:f>
      </x:c>
      <x:c r="W944" s="55" t="str">
        <x:f>IF(AND(U944&lt;&gt;"",U944&lt;TODAY(),O944="Активен"),"ДА","")</x:f>
      </x:c>
      <x:c r="X944" s="55"/>
      <x:c r="Y944" s="55"/>
      <x:c r="Z944" s="55"/>
      <x:c r="AA944" s="55"/>
      <x:c r="AB944" s="55" t="str">
        <x:f>IF(C944="","", "Напиши " &amp; AA944 &amp; " за бизнес: " &amp; C944 &amp; ". Тип: " &amp; D944 &amp; ". Град: " &amp; E944 &amp; ". Проблем: " &amp; L944 &amp; ". Предложение: " &amp; M944 &amp; ". Етап: " &amp; N944 &amp; ". Бележки: " &amp; Y944)</x:f>
      </x:c>
      <x:c r="AC944" s="55"/>
    </x:row>
    <x:row r="945">
      <x:c r="A945" s="55"/>
      <x:c r="B945" s="55"/>
      <x:c r="C945" s="55"/>
      <x:c r="D945" s="55"/>
      <x:c r="E945" s="55"/>
      <x:c r="F945" s="55"/>
      <x:c r="G945" s="55"/>
      <x:c r="H945" s="55"/>
      <x:c r="I945" s="55"/>
      <x:c r="J945" s="55"/>
      <x:c r="K945" s="55"/>
      <x:c r="L945" s="55"/>
      <x:c r="M945" s="55"/>
      <x:c r="N945" s="55"/>
      <x:c r="O945" s="55"/>
      <x:c r="P945" s="55"/>
      <x:c r="Q945" s="55"/>
      <x:c r="R945" s="55"/>
      <x:c r="S945" s="55" t="str">
        <x:f>IF(C945="","",IFERROR(Q945*R945/100,""))</x:f>
      </x:c>
      <x:c r="T945" s="55"/>
      <x:c r="U945" s="55"/>
      <x:c r="V945" s="55" t="str">
        <x:f>IF(U945="","",U945-TODAY())</x:f>
      </x:c>
      <x:c r="W945" s="55" t="str">
        <x:f>IF(AND(U945&lt;&gt;"",U945&lt;TODAY(),O945="Активен"),"ДА","")</x:f>
      </x:c>
      <x:c r="X945" s="55"/>
      <x:c r="Y945" s="55"/>
      <x:c r="Z945" s="55"/>
      <x:c r="AA945" s="55"/>
      <x:c r="AB945" s="55" t="str">
        <x:f>IF(C945="","", "Напиши " &amp; AA945 &amp; " за бизнес: " &amp; C945 &amp; ". Тип: " &amp; D945 &amp; ". Град: " &amp; E945 &amp; ". Проблем: " &amp; L945 &amp; ". Предложение: " &amp; M945 &amp; ". Етап: " &amp; N945 &amp; ". Бележки: " &amp; Y945)</x:f>
      </x:c>
      <x:c r="AC945" s="55"/>
    </x:row>
    <x:row r="946">
      <x:c r="A946" s="55"/>
      <x:c r="B946" s="55"/>
      <x:c r="C946" s="55"/>
      <x:c r="D946" s="55"/>
      <x:c r="E946" s="55"/>
      <x:c r="F946" s="55"/>
      <x:c r="G946" s="55"/>
      <x:c r="H946" s="55"/>
      <x:c r="I946" s="55"/>
      <x:c r="J946" s="55"/>
      <x:c r="K946" s="55"/>
      <x:c r="L946" s="55"/>
      <x:c r="M946" s="55"/>
      <x:c r="N946" s="55"/>
      <x:c r="O946" s="55"/>
      <x:c r="P946" s="55"/>
      <x:c r="Q946" s="55"/>
      <x:c r="R946" s="55"/>
      <x:c r="S946" s="55" t="str">
        <x:f>IF(C946="","",IFERROR(Q946*R946/100,""))</x:f>
      </x:c>
      <x:c r="T946" s="55"/>
      <x:c r="U946" s="55"/>
      <x:c r="V946" s="55" t="str">
        <x:f>IF(U946="","",U946-TODAY())</x:f>
      </x:c>
      <x:c r="W946" s="55" t="str">
        <x:f>IF(AND(U946&lt;&gt;"",U946&lt;TODAY(),O946="Активен"),"ДА","")</x:f>
      </x:c>
      <x:c r="X946" s="55"/>
      <x:c r="Y946" s="55"/>
      <x:c r="Z946" s="55"/>
      <x:c r="AA946" s="55"/>
      <x:c r="AB946" s="55" t="str">
        <x:f>IF(C946="","", "Напиши " &amp; AA946 &amp; " за бизнес: " &amp; C946 &amp; ". Тип: " &amp; D946 &amp; ". Град: " &amp; E946 &amp; ". Проблем: " &amp; L946 &amp; ". Предложение: " &amp; M946 &amp; ". Етап: " &amp; N946 &amp; ". Бележки: " &amp; Y946)</x:f>
      </x:c>
      <x:c r="AC946" s="55"/>
    </x:row>
    <x:row r="947">
      <x:c r="A947" s="55"/>
      <x:c r="B947" s="55"/>
      <x:c r="C947" s="55"/>
      <x:c r="D947" s="55"/>
      <x:c r="E947" s="55"/>
      <x:c r="F947" s="55"/>
      <x:c r="G947" s="55"/>
      <x:c r="H947" s="55"/>
      <x:c r="I947" s="55"/>
      <x:c r="J947" s="55"/>
      <x:c r="K947" s="55"/>
      <x:c r="L947" s="55"/>
      <x:c r="M947" s="55"/>
      <x:c r="N947" s="55"/>
      <x:c r="O947" s="55"/>
      <x:c r="P947" s="55"/>
      <x:c r="Q947" s="55"/>
      <x:c r="R947" s="55"/>
      <x:c r="S947" s="55" t="str">
        <x:f>IF(C947="","",IFERROR(Q947*R947/100,""))</x:f>
      </x:c>
      <x:c r="T947" s="55"/>
      <x:c r="U947" s="55"/>
      <x:c r="V947" s="55" t="str">
        <x:f>IF(U947="","",U947-TODAY())</x:f>
      </x:c>
      <x:c r="W947" s="55" t="str">
        <x:f>IF(AND(U947&lt;&gt;"",U947&lt;TODAY(),O947="Активен"),"ДА","")</x:f>
      </x:c>
      <x:c r="X947" s="55"/>
      <x:c r="Y947" s="55"/>
      <x:c r="Z947" s="55"/>
      <x:c r="AA947" s="55"/>
      <x:c r="AB947" s="55" t="str">
        <x:f>IF(C947="","", "Напиши " &amp; AA947 &amp; " за бизнес: " &amp; C947 &amp; ". Тип: " &amp; D947 &amp; ". Град: " &amp; E947 &amp; ". Проблем: " &amp; L947 &amp; ". Предложение: " &amp; M947 &amp; ". Етап: " &amp; N947 &amp; ". Бележки: " &amp; Y947)</x:f>
      </x:c>
      <x:c r="AC947" s="55"/>
    </x:row>
    <x:row r="948">
      <x:c r="A948" s="55"/>
      <x:c r="B948" s="55"/>
      <x:c r="C948" s="55"/>
      <x:c r="D948" s="55"/>
      <x:c r="E948" s="55"/>
      <x:c r="F948" s="55"/>
      <x:c r="G948" s="55"/>
      <x:c r="H948" s="55"/>
      <x:c r="I948" s="55"/>
      <x:c r="J948" s="55"/>
      <x:c r="K948" s="55"/>
      <x:c r="L948" s="55"/>
      <x:c r="M948" s="55"/>
      <x:c r="N948" s="55"/>
      <x:c r="O948" s="55"/>
      <x:c r="P948" s="55"/>
      <x:c r="Q948" s="55"/>
      <x:c r="R948" s="55"/>
      <x:c r="S948" s="55" t="str">
        <x:f>IF(C948="","",IFERROR(Q948*R948/100,""))</x:f>
      </x:c>
      <x:c r="T948" s="55"/>
      <x:c r="U948" s="55"/>
      <x:c r="V948" s="55" t="str">
        <x:f>IF(U948="","",U948-TODAY())</x:f>
      </x:c>
      <x:c r="W948" s="55" t="str">
        <x:f>IF(AND(U948&lt;&gt;"",U948&lt;TODAY(),O948="Активен"),"ДА","")</x:f>
      </x:c>
      <x:c r="X948" s="55"/>
      <x:c r="Y948" s="55"/>
      <x:c r="Z948" s="55"/>
      <x:c r="AA948" s="55"/>
      <x:c r="AB948" s="55" t="str">
        <x:f>IF(C948="","", "Напиши " &amp; AA948 &amp; " за бизнес: " &amp; C948 &amp; ". Тип: " &amp; D948 &amp; ". Град: " &amp; E948 &amp; ". Проблем: " &amp; L948 &amp; ". Предложение: " &amp; M948 &amp; ". Етап: " &amp; N948 &amp; ". Бележки: " &amp; Y948)</x:f>
      </x:c>
      <x:c r="AC948" s="55"/>
    </x:row>
    <x:row r="949">
      <x:c r="A949" s="55"/>
      <x:c r="B949" s="55"/>
      <x:c r="C949" s="55"/>
      <x:c r="D949" s="55"/>
      <x:c r="E949" s="55"/>
      <x:c r="F949" s="55"/>
      <x:c r="G949" s="55"/>
      <x:c r="H949" s="55"/>
      <x:c r="I949" s="55"/>
      <x:c r="J949" s="55"/>
      <x:c r="K949" s="55"/>
      <x:c r="L949" s="55"/>
      <x:c r="M949" s="55"/>
      <x:c r="N949" s="55"/>
      <x:c r="O949" s="55"/>
      <x:c r="P949" s="55"/>
      <x:c r="Q949" s="55"/>
      <x:c r="R949" s="55"/>
      <x:c r="S949" s="55" t="str">
        <x:f>IF(C949="","",IFERROR(Q949*R949/100,""))</x:f>
      </x:c>
      <x:c r="T949" s="55"/>
      <x:c r="U949" s="55"/>
      <x:c r="V949" s="55" t="str">
        <x:f>IF(U949="","",U949-TODAY())</x:f>
      </x:c>
      <x:c r="W949" s="55" t="str">
        <x:f>IF(AND(U949&lt;&gt;"",U949&lt;TODAY(),O949="Активен"),"ДА","")</x:f>
      </x:c>
      <x:c r="X949" s="55"/>
      <x:c r="Y949" s="55"/>
      <x:c r="Z949" s="55"/>
      <x:c r="AA949" s="55"/>
      <x:c r="AB949" s="55" t="str">
        <x:f>IF(C949="","", "Напиши " &amp; AA949 &amp; " за бизнес: " &amp; C949 &amp; ". Тип: " &amp; D949 &amp; ". Град: " &amp; E949 &amp; ". Проблем: " &amp; L949 &amp; ". Предложение: " &amp; M949 &amp; ". Етап: " &amp; N949 &amp; ". Бележки: " &amp; Y949)</x:f>
      </x:c>
      <x:c r="AC949" s="55"/>
    </x:row>
    <x:row r="950">
      <x:c r="A950" s="55"/>
      <x:c r="B950" s="55"/>
      <x:c r="C950" s="55"/>
      <x:c r="D950" s="55"/>
      <x:c r="E950" s="55"/>
      <x:c r="F950" s="55"/>
      <x:c r="G950" s="55"/>
      <x:c r="H950" s="55"/>
      <x:c r="I950" s="55"/>
      <x:c r="J950" s="55"/>
      <x:c r="K950" s="55"/>
      <x:c r="L950" s="55"/>
      <x:c r="M950" s="55"/>
      <x:c r="N950" s="55"/>
      <x:c r="O950" s="55"/>
      <x:c r="P950" s="55"/>
      <x:c r="Q950" s="55"/>
      <x:c r="R950" s="55"/>
      <x:c r="S950" s="55" t="str">
        <x:f>IF(C950="","",IFERROR(Q950*R950/100,""))</x:f>
      </x:c>
      <x:c r="T950" s="55"/>
      <x:c r="U950" s="55"/>
      <x:c r="V950" s="55" t="str">
        <x:f>IF(U950="","",U950-TODAY())</x:f>
      </x:c>
      <x:c r="W950" s="55" t="str">
        <x:f>IF(AND(U950&lt;&gt;"",U950&lt;TODAY(),O950="Активен"),"ДА","")</x:f>
      </x:c>
      <x:c r="X950" s="55"/>
      <x:c r="Y950" s="55"/>
      <x:c r="Z950" s="55"/>
      <x:c r="AA950" s="55"/>
      <x:c r="AB950" s="55" t="str">
        <x:f>IF(C950="","", "Напиши " &amp; AA950 &amp; " за бизнес: " &amp; C950 &amp; ". Тип: " &amp; D950 &amp; ". Град: " &amp; E950 &amp; ". Проблем: " &amp; L950 &amp; ". Предложение: " &amp; M950 &amp; ". Етап: " &amp; N950 &amp; ". Бележки: " &amp; Y950)</x:f>
      </x:c>
      <x:c r="AC950" s="55"/>
    </x:row>
    <x:row r="951">
      <x:c r="A951" s="55"/>
      <x:c r="B951" s="55"/>
      <x:c r="C951" s="55"/>
      <x:c r="D951" s="55"/>
      <x:c r="E951" s="55"/>
      <x:c r="F951" s="55"/>
      <x:c r="G951" s="55"/>
      <x:c r="H951" s="55"/>
      <x:c r="I951" s="55"/>
      <x:c r="J951" s="55"/>
      <x:c r="K951" s="55"/>
      <x:c r="L951" s="55"/>
      <x:c r="M951" s="55"/>
      <x:c r="N951" s="55"/>
      <x:c r="O951" s="55"/>
      <x:c r="P951" s="55"/>
      <x:c r="Q951" s="55"/>
      <x:c r="R951" s="55"/>
      <x:c r="S951" s="55" t="str">
        <x:f>IF(C951="","",IFERROR(Q951*R951/100,""))</x:f>
      </x:c>
      <x:c r="T951" s="55"/>
      <x:c r="U951" s="55"/>
      <x:c r="V951" s="55" t="str">
        <x:f>IF(U951="","",U951-TODAY())</x:f>
      </x:c>
      <x:c r="W951" s="55" t="str">
        <x:f>IF(AND(U951&lt;&gt;"",U951&lt;TODAY(),O951="Активен"),"ДА","")</x:f>
      </x:c>
      <x:c r="X951" s="55"/>
      <x:c r="Y951" s="55"/>
      <x:c r="Z951" s="55"/>
      <x:c r="AA951" s="55"/>
      <x:c r="AB951" s="55" t="str">
        <x:f>IF(C951="","", "Напиши " &amp; AA951 &amp; " за бизнес: " &amp; C951 &amp; ". Тип: " &amp; D951 &amp; ". Град: " &amp; E951 &amp; ". Проблем: " &amp; L951 &amp; ". Предложение: " &amp; M951 &amp; ". Етап: " &amp; N951 &amp; ". Бележки: " &amp; Y951)</x:f>
      </x:c>
      <x:c r="AC951" s="55"/>
    </x:row>
    <x:row r="952">
      <x:c r="A952" s="55"/>
      <x:c r="B952" s="55"/>
      <x:c r="C952" s="55"/>
      <x:c r="D952" s="55"/>
      <x:c r="E952" s="55"/>
      <x:c r="F952" s="55"/>
      <x:c r="G952" s="55"/>
      <x:c r="H952" s="55"/>
      <x:c r="I952" s="55"/>
      <x:c r="J952" s="55"/>
      <x:c r="K952" s="55"/>
      <x:c r="L952" s="55"/>
      <x:c r="M952" s="55"/>
      <x:c r="N952" s="55"/>
      <x:c r="O952" s="55"/>
      <x:c r="P952" s="55"/>
      <x:c r="Q952" s="55"/>
      <x:c r="R952" s="55"/>
      <x:c r="S952" s="55" t="str">
        <x:f>IF(C952="","",IFERROR(Q952*R952/100,""))</x:f>
      </x:c>
      <x:c r="T952" s="55"/>
      <x:c r="U952" s="55"/>
      <x:c r="V952" s="55" t="str">
        <x:f>IF(U952="","",U952-TODAY())</x:f>
      </x:c>
      <x:c r="W952" s="55" t="str">
        <x:f>IF(AND(U952&lt;&gt;"",U952&lt;TODAY(),O952="Активен"),"ДА","")</x:f>
      </x:c>
      <x:c r="X952" s="55"/>
      <x:c r="Y952" s="55"/>
      <x:c r="Z952" s="55"/>
      <x:c r="AA952" s="55"/>
      <x:c r="AB952" s="55" t="str">
        <x:f>IF(C952="","", "Напиши " &amp; AA952 &amp; " за бизнес: " &amp; C952 &amp; ". Тип: " &amp; D952 &amp; ". Град: " &amp; E952 &amp; ". Проблем: " &amp; L952 &amp; ". Предложение: " &amp; M952 &amp; ". Етап: " &amp; N952 &amp; ". Бележки: " &amp; Y952)</x:f>
      </x:c>
      <x:c r="AC952" s="55"/>
    </x:row>
    <x:row r="953">
      <x:c r="A953" s="55"/>
      <x:c r="B953" s="55"/>
      <x:c r="C953" s="55"/>
      <x:c r="D953" s="55"/>
      <x:c r="E953" s="55"/>
      <x:c r="F953" s="55"/>
      <x:c r="G953" s="55"/>
      <x:c r="H953" s="55"/>
      <x:c r="I953" s="55"/>
      <x:c r="J953" s="55"/>
      <x:c r="K953" s="55"/>
      <x:c r="L953" s="55"/>
      <x:c r="M953" s="55"/>
      <x:c r="N953" s="55"/>
      <x:c r="O953" s="55"/>
      <x:c r="P953" s="55"/>
      <x:c r="Q953" s="55"/>
      <x:c r="R953" s="55"/>
      <x:c r="S953" s="55" t="str">
        <x:f>IF(C953="","",IFERROR(Q953*R953/100,""))</x:f>
      </x:c>
      <x:c r="T953" s="55"/>
      <x:c r="U953" s="55"/>
      <x:c r="V953" s="55" t="str">
        <x:f>IF(U953="","",U953-TODAY())</x:f>
      </x:c>
      <x:c r="W953" s="55" t="str">
        <x:f>IF(AND(U953&lt;&gt;"",U953&lt;TODAY(),O953="Активен"),"ДА","")</x:f>
      </x:c>
      <x:c r="X953" s="55"/>
      <x:c r="Y953" s="55"/>
      <x:c r="Z953" s="55"/>
      <x:c r="AA953" s="55"/>
      <x:c r="AB953" s="55" t="str">
        <x:f>IF(C953="","", "Напиши " &amp; AA953 &amp; " за бизнес: " &amp; C953 &amp; ". Тип: " &amp; D953 &amp; ". Град: " &amp; E953 &amp; ". Проблем: " &amp; L953 &amp; ". Предложение: " &amp; M953 &amp; ". Етап: " &amp; N953 &amp; ". Бележки: " &amp; Y953)</x:f>
      </x:c>
      <x:c r="AC953" s="55"/>
    </x:row>
    <x:row r="954">
      <x:c r="A954" s="55"/>
      <x:c r="B954" s="55"/>
      <x:c r="C954" s="55"/>
      <x:c r="D954" s="55"/>
      <x:c r="E954" s="55"/>
      <x:c r="F954" s="55"/>
      <x:c r="G954" s="55"/>
      <x:c r="H954" s="55"/>
      <x:c r="I954" s="55"/>
      <x:c r="J954" s="55"/>
      <x:c r="K954" s="55"/>
      <x:c r="L954" s="55"/>
      <x:c r="M954" s="55"/>
      <x:c r="N954" s="55"/>
      <x:c r="O954" s="55"/>
      <x:c r="P954" s="55"/>
      <x:c r="Q954" s="55"/>
      <x:c r="R954" s="55"/>
      <x:c r="S954" s="55" t="str">
        <x:f>IF(C954="","",IFERROR(Q954*R954/100,""))</x:f>
      </x:c>
      <x:c r="T954" s="55"/>
      <x:c r="U954" s="55"/>
      <x:c r="V954" s="55" t="str">
        <x:f>IF(U954="","",U954-TODAY())</x:f>
      </x:c>
      <x:c r="W954" s="55" t="str">
        <x:f>IF(AND(U954&lt;&gt;"",U954&lt;TODAY(),O954="Активен"),"ДА","")</x:f>
      </x:c>
      <x:c r="X954" s="55"/>
      <x:c r="Y954" s="55"/>
      <x:c r="Z954" s="55"/>
      <x:c r="AA954" s="55"/>
      <x:c r="AB954" s="55" t="str">
        <x:f>IF(C954="","", "Напиши " &amp; AA954 &amp; " за бизнес: " &amp; C954 &amp; ". Тип: " &amp; D954 &amp; ". Град: " &amp; E954 &amp; ". Проблем: " &amp; L954 &amp; ". Предложение: " &amp; M954 &amp; ". Етап: " &amp; N954 &amp; ". Бележки: " &amp; Y954)</x:f>
      </x:c>
      <x:c r="AC954" s="55"/>
    </x:row>
    <x:row r="955">
      <x:c r="A955" s="55"/>
      <x:c r="B955" s="55"/>
      <x:c r="C955" s="55"/>
      <x:c r="D955" s="55"/>
      <x:c r="E955" s="55"/>
      <x:c r="F955" s="55"/>
      <x:c r="G955" s="55"/>
      <x:c r="H955" s="55"/>
      <x:c r="I955" s="55"/>
      <x:c r="J955" s="55"/>
      <x:c r="K955" s="55"/>
      <x:c r="L955" s="55"/>
      <x:c r="M955" s="55"/>
      <x:c r="N955" s="55"/>
      <x:c r="O955" s="55"/>
      <x:c r="P955" s="55"/>
      <x:c r="Q955" s="55"/>
      <x:c r="R955" s="55"/>
      <x:c r="S955" s="55" t="str">
        <x:f>IF(C955="","",IFERROR(Q955*R955/100,""))</x:f>
      </x:c>
      <x:c r="T955" s="55"/>
      <x:c r="U955" s="55"/>
      <x:c r="V955" s="55" t="str">
        <x:f>IF(U955="","",U955-TODAY())</x:f>
      </x:c>
      <x:c r="W955" s="55" t="str">
        <x:f>IF(AND(U955&lt;&gt;"",U955&lt;TODAY(),O955="Активен"),"ДА","")</x:f>
      </x:c>
      <x:c r="X955" s="55"/>
      <x:c r="Y955" s="55"/>
      <x:c r="Z955" s="55"/>
      <x:c r="AA955" s="55"/>
      <x:c r="AB955" s="55" t="str">
        <x:f>IF(C955="","", "Напиши " &amp; AA955 &amp; " за бизнес: " &amp; C955 &amp; ". Тип: " &amp; D955 &amp; ". Град: " &amp; E955 &amp; ". Проблем: " &amp; L955 &amp; ". Предложение: " &amp; M955 &amp; ". Етап: " &amp; N955 &amp; ". Бележки: " &amp; Y955)</x:f>
      </x:c>
      <x:c r="AC955" s="55"/>
    </x:row>
    <x:row r="956">
      <x:c r="A956" s="55"/>
      <x:c r="B956" s="55"/>
      <x:c r="C956" s="55"/>
      <x:c r="D956" s="55"/>
      <x:c r="E956" s="55"/>
      <x:c r="F956" s="55"/>
      <x:c r="G956" s="55"/>
      <x:c r="H956" s="55"/>
      <x:c r="I956" s="55"/>
      <x:c r="J956" s="55"/>
      <x:c r="K956" s="55"/>
      <x:c r="L956" s="55"/>
      <x:c r="M956" s="55"/>
      <x:c r="N956" s="55"/>
      <x:c r="O956" s="55"/>
      <x:c r="P956" s="55"/>
      <x:c r="Q956" s="55"/>
      <x:c r="R956" s="55"/>
      <x:c r="S956" s="55" t="str">
        <x:f>IF(C956="","",IFERROR(Q956*R956/100,""))</x:f>
      </x:c>
      <x:c r="T956" s="55"/>
      <x:c r="U956" s="55"/>
      <x:c r="V956" s="55" t="str">
        <x:f>IF(U956="","",U956-TODAY())</x:f>
      </x:c>
      <x:c r="W956" s="55" t="str">
        <x:f>IF(AND(U956&lt;&gt;"",U956&lt;TODAY(),O956="Активен"),"ДА","")</x:f>
      </x:c>
      <x:c r="X956" s="55"/>
      <x:c r="Y956" s="55"/>
      <x:c r="Z956" s="55"/>
      <x:c r="AA956" s="55"/>
      <x:c r="AB956" s="55" t="str">
        <x:f>IF(C956="","", "Напиши " &amp; AA956 &amp; " за бизнес: " &amp; C956 &amp; ". Тип: " &amp; D956 &amp; ". Град: " &amp; E956 &amp; ". Проблем: " &amp; L956 &amp; ". Предложение: " &amp; M956 &amp; ". Етап: " &amp; N956 &amp; ". Бележки: " &amp; Y956)</x:f>
      </x:c>
      <x:c r="AC956" s="55"/>
    </x:row>
    <x:row r="957">
      <x:c r="A957" s="55"/>
      <x:c r="B957" s="55"/>
      <x:c r="C957" s="55"/>
      <x:c r="D957" s="55"/>
      <x:c r="E957" s="55"/>
      <x:c r="F957" s="55"/>
      <x:c r="G957" s="55"/>
      <x:c r="H957" s="55"/>
      <x:c r="I957" s="55"/>
      <x:c r="J957" s="55"/>
      <x:c r="K957" s="55"/>
      <x:c r="L957" s="55"/>
      <x:c r="M957" s="55"/>
      <x:c r="N957" s="55"/>
      <x:c r="O957" s="55"/>
      <x:c r="P957" s="55"/>
      <x:c r="Q957" s="55"/>
      <x:c r="R957" s="55"/>
      <x:c r="S957" s="55" t="str">
        <x:f>IF(C957="","",IFERROR(Q957*R957/100,""))</x:f>
      </x:c>
      <x:c r="T957" s="55"/>
      <x:c r="U957" s="55"/>
      <x:c r="V957" s="55" t="str">
        <x:f>IF(U957="","",U957-TODAY())</x:f>
      </x:c>
      <x:c r="W957" s="55" t="str">
        <x:f>IF(AND(U957&lt;&gt;"",U957&lt;TODAY(),O957="Активен"),"ДА","")</x:f>
      </x:c>
      <x:c r="X957" s="55"/>
      <x:c r="Y957" s="55"/>
      <x:c r="Z957" s="55"/>
      <x:c r="AA957" s="55"/>
      <x:c r="AB957" s="55" t="str">
        <x:f>IF(C957="","", "Напиши " &amp; AA957 &amp; " за бизнес: " &amp; C957 &amp; ". Тип: " &amp; D957 &amp; ". Град: " &amp; E957 &amp; ". Проблем: " &amp; L957 &amp; ". Предложение: " &amp; M957 &amp; ". Етап: " &amp; N957 &amp; ". Бележки: " &amp; Y957)</x:f>
      </x:c>
      <x:c r="AC957" s="55"/>
    </x:row>
    <x:row r="958">
      <x:c r="A958" s="55"/>
      <x:c r="B958" s="55"/>
      <x:c r="C958" s="55"/>
      <x:c r="D958" s="55"/>
      <x:c r="E958" s="55"/>
      <x:c r="F958" s="55"/>
      <x:c r="G958" s="55"/>
      <x:c r="H958" s="55"/>
      <x:c r="I958" s="55"/>
      <x:c r="J958" s="55"/>
      <x:c r="K958" s="55"/>
      <x:c r="L958" s="55"/>
      <x:c r="M958" s="55"/>
      <x:c r="N958" s="55"/>
      <x:c r="O958" s="55"/>
      <x:c r="P958" s="55"/>
      <x:c r="Q958" s="55"/>
      <x:c r="R958" s="55"/>
      <x:c r="S958" s="55" t="str">
        <x:f>IF(C958="","",IFERROR(Q958*R958/100,""))</x:f>
      </x:c>
      <x:c r="T958" s="55"/>
      <x:c r="U958" s="55"/>
      <x:c r="V958" s="55" t="str">
        <x:f>IF(U958="","",U958-TODAY())</x:f>
      </x:c>
      <x:c r="W958" s="55" t="str">
        <x:f>IF(AND(U958&lt;&gt;"",U958&lt;TODAY(),O958="Активен"),"ДА","")</x:f>
      </x:c>
      <x:c r="X958" s="55"/>
      <x:c r="Y958" s="55"/>
      <x:c r="Z958" s="55"/>
      <x:c r="AA958" s="55"/>
      <x:c r="AB958" s="55" t="str">
        <x:f>IF(C958="","", "Напиши " &amp; AA958 &amp; " за бизнес: " &amp; C958 &amp; ". Тип: " &amp; D958 &amp; ". Град: " &amp; E958 &amp; ". Проблем: " &amp; L958 &amp; ". Предложение: " &amp; M958 &amp; ". Етап: " &amp; N958 &amp; ". Бележки: " &amp; Y958)</x:f>
      </x:c>
      <x:c r="AC958" s="55"/>
    </x:row>
    <x:row r="959">
      <x:c r="A959" s="55"/>
      <x:c r="B959" s="55"/>
      <x:c r="C959" s="55"/>
      <x:c r="D959" s="55"/>
      <x:c r="E959" s="55"/>
      <x:c r="F959" s="55"/>
      <x:c r="G959" s="55"/>
      <x:c r="H959" s="55"/>
      <x:c r="I959" s="55"/>
      <x:c r="J959" s="55"/>
      <x:c r="K959" s="55"/>
      <x:c r="L959" s="55"/>
      <x:c r="M959" s="55"/>
      <x:c r="N959" s="55"/>
      <x:c r="O959" s="55"/>
      <x:c r="P959" s="55"/>
      <x:c r="Q959" s="55"/>
      <x:c r="R959" s="55"/>
      <x:c r="S959" s="55" t="str">
        <x:f>IF(C959="","",IFERROR(Q959*R959/100,""))</x:f>
      </x:c>
      <x:c r="T959" s="55"/>
      <x:c r="U959" s="55"/>
      <x:c r="V959" s="55" t="str">
        <x:f>IF(U959="","",U959-TODAY())</x:f>
      </x:c>
      <x:c r="W959" s="55" t="str">
        <x:f>IF(AND(U959&lt;&gt;"",U959&lt;TODAY(),O959="Активен"),"ДА","")</x:f>
      </x:c>
      <x:c r="X959" s="55"/>
      <x:c r="Y959" s="55"/>
      <x:c r="Z959" s="55"/>
      <x:c r="AA959" s="55"/>
      <x:c r="AB959" s="55" t="str">
        <x:f>IF(C959="","", "Напиши " &amp; AA959 &amp; " за бизнес: " &amp; C959 &amp; ". Тип: " &amp; D959 &amp; ". Град: " &amp; E959 &amp; ". Проблем: " &amp; L959 &amp; ". Предложение: " &amp; M959 &amp; ". Етап: " &amp; N959 &amp; ". Бележки: " &amp; Y959)</x:f>
      </x:c>
      <x:c r="AC959" s="55"/>
    </x:row>
    <x:row r="960">
      <x:c r="A960" s="55"/>
      <x:c r="B960" s="55"/>
      <x:c r="C960" s="55"/>
      <x:c r="D960" s="55"/>
      <x:c r="E960" s="55"/>
      <x:c r="F960" s="55"/>
      <x:c r="G960" s="55"/>
      <x:c r="H960" s="55"/>
      <x:c r="I960" s="55"/>
      <x:c r="J960" s="55"/>
      <x:c r="K960" s="55"/>
      <x:c r="L960" s="55"/>
      <x:c r="M960" s="55"/>
      <x:c r="N960" s="55"/>
      <x:c r="O960" s="55"/>
      <x:c r="P960" s="55"/>
      <x:c r="Q960" s="55"/>
      <x:c r="R960" s="55"/>
      <x:c r="S960" s="55" t="str">
        <x:f>IF(C960="","",IFERROR(Q960*R960/100,""))</x:f>
      </x:c>
      <x:c r="T960" s="55"/>
      <x:c r="U960" s="55"/>
      <x:c r="V960" s="55" t="str">
        <x:f>IF(U960="","",U960-TODAY())</x:f>
      </x:c>
      <x:c r="W960" s="55" t="str">
        <x:f>IF(AND(U960&lt;&gt;"",U960&lt;TODAY(),O960="Активен"),"ДА","")</x:f>
      </x:c>
      <x:c r="X960" s="55"/>
      <x:c r="Y960" s="55"/>
      <x:c r="Z960" s="55"/>
      <x:c r="AA960" s="55"/>
      <x:c r="AB960" s="55" t="str">
        <x:f>IF(C960="","", "Напиши " &amp; AA960 &amp; " за бизнес: " &amp; C960 &amp; ". Тип: " &amp; D960 &amp; ". Град: " &amp; E960 &amp; ". Проблем: " &amp; L960 &amp; ". Предложение: " &amp; M960 &amp; ". Етап: " &amp; N960 &amp; ". Бележки: " &amp; Y960)</x:f>
      </x:c>
      <x:c r="AC960" s="55"/>
    </x:row>
    <x:row r="961">
      <x:c r="A961" s="55"/>
      <x:c r="B961" s="55"/>
      <x:c r="C961" s="55"/>
      <x:c r="D961" s="55"/>
      <x:c r="E961" s="55"/>
      <x:c r="F961" s="55"/>
      <x:c r="G961" s="55"/>
      <x:c r="H961" s="55"/>
      <x:c r="I961" s="55"/>
      <x:c r="J961" s="55"/>
      <x:c r="K961" s="55"/>
      <x:c r="L961" s="55"/>
      <x:c r="M961" s="55"/>
      <x:c r="N961" s="55"/>
      <x:c r="O961" s="55"/>
      <x:c r="P961" s="55"/>
      <x:c r="Q961" s="55"/>
      <x:c r="R961" s="55"/>
      <x:c r="S961" s="55" t="str">
        <x:f>IF(C961="","",IFERROR(Q961*R961/100,""))</x:f>
      </x:c>
      <x:c r="T961" s="55"/>
      <x:c r="U961" s="55"/>
      <x:c r="V961" s="55" t="str">
        <x:f>IF(U961="","",U961-TODAY())</x:f>
      </x:c>
      <x:c r="W961" s="55" t="str">
        <x:f>IF(AND(U961&lt;&gt;"",U961&lt;TODAY(),O961="Активен"),"ДА","")</x:f>
      </x:c>
      <x:c r="X961" s="55"/>
      <x:c r="Y961" s="55"/>
      <x:c r="Z961" s="55"/>
      <x:c r="AA961" s="55"/>
      <x:c r="AB961" s="55" t="str">
        <x:f>IF(C961="","", "Напиши " &amp; AA961 &amp; " за бизнес: " &amp; C961 &amp; ". Тип: " &amp; D961 &amp; ". Град: " &amp; E961 &amp; ". Проблем: " &amp; L961 &amp; ". Предложение: " &amp; M961 &amp; ". Етап: " &amp; N961 &amp; ". Бележки: " &amp; Y961)</x:f>
      </x:c>
      <x:c r="AC961" s="55"/>
    </x:row>
    <x:row r="962">
      <x:c r="A962" s="55"/>
      <x:c r="B962" s="55"/>
      <x:c r="C962" s="55"/>
      <x:c r="D962" s="55"/>
      <x:c r="E962" s="55"/>
      <x:c r="F962" s="55"/>
      <x:c r="G962" s="55"/>
      <x:c r="H962" s="55"/>
      <x:c r="I962" s="55"/>
      <x:c r="J962" s="55"/>
      <x:c r="K962" s="55"/>
      <x:c r="L962" s="55"/>
      <x:c r="M962" s="55"/>
      <x:c r="N962" s="55"/>
      <x:c r="O962" s="55"/>
      <x:c r="P962" s="55"/>
      <x:c r="Q962" s="55"/>
      <x:c r="R962" s="55"/>
      <x:c r="S962" s="55" t="str">
        <x:f>IF(C962="","",IFERROR(Q962*R962/100,""))</x:f>
      </x:c>
      <x:c r="T962" s="55"/>
      <x:c r="U962" s="55"/>
      <x:c r="V962" s="55" t="str">
        <x:f>IF(U962="","",U962-TODAY())</x:f>
      </x:c>
      <x:c r="W962" s="55" t="str">
        <x:f>IF(AND(U962&lt;&gt;"",U962&lt;TODAY(),O962="Активен"),"ДА","")</x:f>
      </x:c>
      <x:c r="X962" s="55"/>
      <x:c r="Y962" s="55"/>
      <x:c r="Z962" s="55"/>
      <x:c r="AA962" s="55"/>
      <x:c r="AB962" s="55" t="str">
        <x:f>IF(C962="","", "Напиши " &amp; AA962 &amp; " за бизнес: " &amp; C962 &amp; ". Тип: " &amp; D962 &amp; ". Град: " &amp; E962 &amp; ". Проблем: " &amp; L962 &amp; ". Предложение: " &amp; M962 &amp; ". Етап: " &amp; N962 &amp; ". Бележки: " &amp; Y962)</x:f>
      </x:c>
      <x:c r="AC962" s="55"/>
    </x:row>
    <x:row r="963">
      <x:c r="A963" s="55"/>
      <x:c r="B963" s="55"/>
      <x:c r="C963" s="55"/>
      <x:c r="D963" s="55"/>
      <x:c r="E963" s="55"/>
      <x:c r="F963" s="55"/>
      <x:c r="G963" s="55"/>
      <x:c r="H963" s="55"/>
      <x:c r="I963" s="55"/>
      <x:c r="J963" s="55"/>
      <x:c r="K963" s="55"/>
      <x:c r="L963" s="55"/>
      <x:c r="M963" s="55"/>
      <x:c r="N963" s="55"/>
      <x:c r="O963" s="55"/>
      <x:c r="P963" s="55"/>
      <x:c r="Q963" s="55"/>
      <x:c r="R963" s="55"/>
      <x:c r="S963" s="55" t="str">
        <x:f>IF(C963="","",IFERROR(Q963*R963/100,""))</x:f>
      </x:c>
      <x:c r="T963" s="55"/>
      <x:c r="U963" s="55"/>
      <x:c r="V963" s="55" t="str">
        <x:f>IF(U963="","",U963-TODAY())</x:f>
      </x:c>
      <x:c r="W963" s="55" t="str">
        <x:f>IF(AND(U963&lt;&gt;"",U963&lt;TODAY(),O963="Активен"),"ДА","")</x:f>
      </x:c>
      <x:c r="X963" s="55"/>
      <x:c r="Y963" s="55"/>
      <x:c r="Z963" s="55"/>
      <x:c r="AA963" s="55"/>
      <x:c r="AB963" s="55" t="str">
        <x:f>IF(C963="","", "Напиши " &amp; AA963 &amp; " за бизнес: " &amp; C963 &amp; ". Тип: " &amp; D963 &amp; ". Град: " &amp; E963 &amp; ". Проблем: " &amp; L963 &amp; ". Предложение: " &amp; M963 &amp; ". Етап: " &amp; N963 &amp; ". Бележки: " &amp; Y963)</x:f>
      </x:c>
      <x:c r="AC963" s="55"/>
    </x:row>
    <x:row r="964">
      <x:c r="A964" s="55"/>
      <x:c r="B964" s="55"/>
      <x:c r="C964" s="55"/>
      <x:c r="D964" s="55"/>
      <x:c r="E964" s="55"/>
      <x:c r="F964" s="55"/>
      <x:c r="G964" s="55"/>
      <x:c r="H964" s="55"/>
      <x:c r="I964" s="55"/>
      <x:c r="J964" s="55"/>
      <x:c r="K964" s="55"/>
      <x:c r="L964" s="55"/>
      <x:c r="M964" s="55"/>
      <x:c r="N964" s="55"/>
      <x:c r="O964" s="55"/>
      <x:c r="P964" s="55"/>
      <x:c r="Q964" s="55"/>
      <x:c r="R964" s="55"/>
      <x:c r="S964" s="55" t="str">
        <x:f>IF(C964="","",IFERROR(Q964*R964/100,""))</x:f>
      </x:c>
      <x:c r="T964" s="55"/>
      <x:c r="U964" s="55"/>
      <x:c r="V964" s="55" t="str">
        <x:f>IF(U964="","",U964-TODAY())</x:f>
      </x:c>
      <x:c r="W964" s="55" t="str">
        <x:f>IF(AND(U964&lt;&gt;"",U964&lt;TODAY(),O964="Активен"),"ДА","")</x:f>
      </x:c>
      <x:c r="X964" s="55"/>
      <x:c r="Y964" s="55"/>
      <x:c r="Z964" s="55"/>
      <x:c r="AA964" s="55"/>
      <x:c r="AB964" s="55" t="str">
        <x:f>IF(C964="","", "Напиши " &amp; AA964 &amp; " за бизнес: " &amp; C964 &amp; ". Тип: " &amp; D964 &amp; ". Град: " &amp; E964 &amp; ". Проблем: " &amp; L964 &amp; ". Предложение: " &amp; M964 &amp; ". Етап: " &amp; N964 &amp; ". Бележки: " &amp; Y964)</x:f>
      </x:c>
      <x:c r="AC964" s="55"/>
    </x:row>
    <x:row r="965">
      <x:c r="A965" s="55"/>
      <x:c r="B965" s="55"/>
      <x:c r="C965" s="55"/>
      <x:c r="D965" s="55"/>
      <x:c r="E965" s="55"/>
      <x:c r="F965" s="55"/>
      <x:c r="G965" s="55"/>
      <x:c r="H965" s="55"/>
      <x:c r="I965" s="55"/>
      <x:c r="J965" s="55"/>
      <x:c r="K965" s="55"/>
      <x:c r="L965" s="55"/>
      <x:c r="M965" s="55"/>
      <x:c r="N965" s="55"/>
      <x:c r="O965" s="55"/>
      <x:c r="P965" s="55"/>
      <x:c r="Q965" s="55"/>
      <x:c r="R965" s="55"/>
      <x:c r="S965" s="55" t="str">
        <x:f>IF(C965="","",IFERROR(Q965*R965/100,""))</x:f>
      </x:c>
      <x:c r="T965" s="55"/>
      <x:c r="U965" s="55"/>
      <x:c r="V965" s="55" t="str">
        <x:f>IF(U965="","",U965-TODAY())</x:f>
      </x:c>
      <x:c r="W965" s="55" t="str">
        <x:f>IF(AND(U965&lt;&gt;"",U965&lt;TODAY(),O965="Активен"),"ДА","")</x:f>
      </x:c>
      <x:c r="X965" s="55"/>
      <x:c r="Y965" s="55"/>
      <x:c r="Z965" s="55"/>
      <x:c r="AA965" s="55"/>
      <x:c r="AB965" s="55" t="str">
        <x:f>IF(C965="","", "Напиши " &amp; AA965 &amp; " за бизнес: " &amp; C965 &amp; ". Тип: " &amp; D965 &amp; ". Град: " &amp; E965 &amp; ". Проблем: " &amp; L965 &amp; ". Предложение: " &amp; M965 &amp; ". Етап: " &amp; N965 &amp; ". Бележки: " &amp; Y965)</x:f>
      </x:c>
      <x:c r="AC965" s="55"/>
    </x:row>
    <x:row r="966">
      <x:c r="A966" s="55"/>
      <x:c r="B966" s="55"/>
      <x:c r="C966" s="55"/>
      <x:c r="D966" s="55"/>
      <x:c r="E966" s="55"/>
      <x:c r="F966" s="55"/>
      <x:c r="G966" s="55"/>
      <x:c r="H966" s="55"/>
      <x:c r="I966" s="55"/>
      <x:c r="J966" s="55"/>
      <x:c r="K966" s="55"/>
      <x:c r="L966" s="55"/>
      <x:c r="M966" s="55"/>
      <x:c r="N966" s="55"/>
      <x:c r="O966" s="55"/>
      <x:c r="P966" s="55"/>
      <x:c r="Q966" s="55"/>
      <x:c r="R966" s="55"/>
      <x:c r="S966" s="55" t="str">
        <x:f>IF(C966="","",IFERROR(Q966*R966/100,""))</x:f>
      </x:c>
      <x:c r="T966" s="55"/>
      <x:c r="U966" s="55"/>
      <x:c r="V966" s="55" t="str">
        <x:f>IF(U966="","",U966-TODAY())</x:f>
      </x:c>
      <x:c r="W966" s="55" t="str">
        <x:f>IF(AND(U966&lt;&gt;"",U966&lt;TODAY(),O966="Активен"),"ДА","")</x:f>
      </x:c>
      <x:c r="X966" s="55"/>
      <x:c r="Y966" s="55"/>
      <x:c r="Z966" s="55"/>
      <x:c r="AA966" s="55"/>
      <x:c r="AB966" s="55" t="str">
        <x:f>IF(C966="","", "Напиши " &amp; AA966 &amp; " за бизнес: " &amp; C966 &amp; ". Тип: " &amp; D966 &amp; ". Град: " &amp; E966 &amp; ". Проблем: " &amp; L966 &amp; ". Предложение: " &amp; M966 &amp; ". Етап: " &amp; N966 &amp; ". Бележки: " &amp; Y966)</x:f>
      </x:c>
      <x:c r="AC966" s="55"/>
    </x:row>
    <x:row r="967">
      <x:c r="A967" s="55"/>
      <x:c r="B967" s="55"/>
      <x:c r="C967" s="55"/>
      <x:c r="D967" s="55"/>
      <x:c r="E967" s="55"/>
      <x:c r="F967" s="55"/>
      <x:c r="G967" s="55"/>
      <x:c r="H967" s="55"/>
      <x:c r="I967" s="55"/>
      <x:c r="J967" s="55"/>
      <x:c r="K967" s="55"/>
      <x:c r="L967" s="55"/>
      <x:c r="M967" s="55"/>
      <x:c r="N967" s="55"/>
      <x:c r="O967" s="55"/>
      <x:c r="P967" s="55"/>
      <x:c r="Q967" s="55"/>
      <x:c r="R967" s="55"/>
      <x:c r="S967" s="55" t="str">
        <x:f>IF(C967="","",IFERROR(Q967*R967/100,""))</x:f>
      </x:c>
      <x:c r="T967" s="55"/>
      <x:c r="U967" s="55"/>
      <x:c r="V967" s="55" t="str">
        <x:f>IF(U967="","",U967-TODAY())</x:f>
      </x:c>
      <x:c r="W967" s="55" t="str">
        <x:f>IF(AND(U967&lt;&gt;"",U967&lt;TODAY(),O967="Активен"),"ДА","")</x:f>
      </x:c>
      <x:c r="X967" s="55"/>
      <x:c r="Y967" s="55"/>
      <x:c r="Z967" s="55"/>
      <x:c r="AA967" s="55"/>
      <x:c r="AB967" s="55" t="str">
        <x:f>IF(C967="","", "Напиши " &amp; AA967 &amp; " за бизнес: " &amp; C967 &amp; ". Тип: " &amp; D967 &amp; ". Град: " &amp; E967 &amp; ". Проблем: " &amp; L967 &amp; ". Предложение: " &amp; M967 &amp; ". Етап: " &amp; N967 &amp; ". Бележки: " &amp; Y967)</x:f>
      </x:c>
      <x:c r="AC967" s="55"/>
    </x:row>
    <x:row r="968">
      <x:c r="A968" s="55"/>
      <x:c r="B968" s="55"/>
      <x:c r="C968" s="55"/>
      <x:c r="D968" s="55"/>
      <x:c r="E968" s="55"/>
      <x:c r="F968" s="55"/>
      <x:c r="G968" s="55"/>
      <x:c r="H968" s="55"/>
      <x:c r="I968" s="55"/>
      <x:c r="J968" s="55"/>
      <x:c r="K968" s="55"/>
      <x:c r="L968" s="55"/>
      <x:c r="M968" s="55"/>
      <x:c r="N968" s="55"/>
      <x:c r="O968" s="55"/>
      <x:c r="P968" s="55"/>
      <x:c r="Q968" s="55"/>
      <x:c r="R968" s="55"/>
      <x:c r="S968" s="55" t="str">
        <x:f>IF(C968="","",IFERROR(Q968*R968/100,""))</x:f>
      </x:c>
      <x:c r="T968" s="55"/>
      <x:c r="U968" s="55"/>
      <x:c r="V968" s="55" t="str">
        <x:f>IF(U968="","",U968-TODAY())</x:f>
      </x:c>
      <x:c r="W968" s="55" t="str">
        <x:f>IF(AND(U968&lt;&gt;"",U968&lt;TODAY(),O968="Активен"),"ДА","")</x:f>
      </x:c>
      <x:c r="X968" s="55"/>
      <x:c r="Y968" s="55"/>
      <x:c r="Z968" s="55"/>
      <x:c r="AA968" s="55"/>
      <x:c r="AB968" s="55" t="str">
        <x:f>IF(C968="","", "Напиши " &amp; AA968 &amp; " за бизнес: " &amp; C968 &amp; ". Тип: " &amp; D968 &amp; ". Град: " &amp; E968 &amp; ". Проблем: " &amp; L968 &amp; ". Предложение: " &amp; M968 &amp; ". Етап: " &amp; N968 &amp; ". Бележки: " &amp; Y968)</x:f>
      </x:c>
      <x:c r="AC968" s="55"/>
    </x:row>
    <x:row r="969">
      <x:c r="A969" s="55"/>
      <x:c r="B969" s="55"/>
      <x:c r="C969" s="55"/>
      <x:c r="D969" s="55"/>
      <x:c r="E969" s="55"/>
      <x:c r="F969" s="55"/>
      <x:c r="G969" s="55"/>
      <x:c r="H969" s="55"/>
      <x:c r="I969" s="55"/>
      <x:c r="J969" s="55"/>
      <x:c r="K969" s="55"/>
      <x:c r="L969" s="55"/>
      <x:c r="M969" s="55"/>
      <x:c r="N969" s="55"/>
      <x:c r="O969" s="55"/>
      <x:c r="P969" s="55"/>
      <x:c r="Q969" s="55"/>
      <x:c r="R969" s="55"/>
      <x:c r="S969" s="55" t="str">
        <x:f>IF(C969="","",IFERROR(Q969*R969/100,""))</x:f>
      </x:c>
      <x:c r="T969" s="55"/>
      <x:c r="U969" s="55"/>
      <x:c r="V969" s="55" t="str">
        <x:f>IF(U969="","",U969-TODAY())</x:f>
      </x:c>
      <x:c r="W969" s="55" t="str">
        <x:f>IF(AND(U969&lt;&gt;"",U969&lt;TODAY(),O969="Активен"),"ДА","")</x:f>
      </x:c>
      <x:c r="X969" s="55"/>
      <x:c r="Y969" s="55"/>
      <x:c r="Z969" s="55"/>
      <x:c r="AA969" s="55"/>
      <x:c r="AB969" s="55" t="str">
        <x:f>IF(C969="","", "Напиши " &amp; AA969 &amp; " за бизнес: " &amp; C969 &amp; ". Тип: " &amp; D969 &amp; ". Град: " &amp; E969 &amp; ". Проблем: " &amp; L969 &amp; ". Предложение: " &amp; M969 &amp; ". Етап: " &amp; N969 &amp; ". Бележки: " &amp; Y969)</x:f>
      </x:c>
      <x:c r="AC969" s="55"/>
    </x:row>
    <x:row r="970">
      <x:c r="A970" s="55"/>
      <x:c r="B970" s="55"/>
      <x:c r="C970" s="55"/>
      <x:c r="D970" s="55"/>
      <x:c r="E970" s="55"/>
      <x:c r="F970" s="55"/>
      <x:c r="G970" s="55"/>
      <x:c r="H970" s="55"/>
      <x:c r="I970" s="55"/>
      <x:c r="J970" s="55"/>
      <x:c r="K970" s="55"/>
      <x:c r="L970" s="55"/>
      <x:c r="M970" s="55"/>
      <x:c r="N970" s="55"/>
      <x:c r="O970" s="55"/>
      <x:c r="P970" s="55"/>
      <x:c r="Q970" s="55"/>
      <x:c r="R970" s="55"/>
      <x:c r="S970" s="55" t="str">
        <x:f>IF(C970="","",IFERROR(Q970*R970/100,""))</x:f>
      </x:c>
      <x:c r="T970" s="55"/>
      <x:c r="U970" s="55"/>
      <x:c r="V970" s="55" t="str">
        <x:f>IF(U970="","",U970-TODAY())</x:f>
      </x:c>
      <x:c r="W970" s="55" t="str">
        <x:f>IF(AND(U970&lt;&gt;"",U970&lt;TODAY(),O970="Активен"),"ДА","")</x:f>
      </x:c>
      <x:c r="X970" s="55"/>
      <x:c r="Y970" s="55"/>
      <x:c r="Z970" s="55"/>
      <x:c r="AA970" s="55"/>
      <x:c r="AB970" s="55" t="str">
        <x:f>IF(C970="","", "Напиши " &amp; AA970 &amp; " за бизнес: " &amp; C970 &amp; ". Тип: " &amp; D970 &amp; ". Град: " &amp; E970 &amp; ". Проблем: " &amp; L970 &amp; ". Предложение: " &amp; M970 &amp; ". Етап: " &amp; N970 &amp; ". Бележки: " &amp; Y970)</x:f>
      </x:c>
      <x:c r="AC970" s="55"/>
    </x:row>
    <x:row r="971">
      <x:c r="A971" s="55"/>
      <x:c r="B971" s="55"/>
      <x:c r="C971" s="55"/>
      <x:c r="D971" s="55"/>
      <x:c r="E971" s="55"/>
      <x:c r="F971" s="55"/>
      <x:c r="G971" s="55"/>
      <x:c r="H971" s="55"/>
      <x:c r="I971" s="55"/>
      <x:c r="J971" s="55"/>
      <x:c r="K971" s="55"/>
      <x:c r="L971" s="55"/>
      <x:c r="M971" s="55"/>
      <x:c r="N971" s="55"/>
      <x:c r="O971" s="55"/>
      <x:c r="P971" s="55"/>
      <x:c r="Q971" s="55"/>
      <x:c r="R971" s="55"/>
      <x:c r="S971" s="55" t="str">
        <x:f>IF(C971="","",IFERROR(Q971*R971/100,""))</x:f>
      </x:c>
      <x:c r="T971" s="55"/>
      <x:c r="U971" s="55"/>
      <x:c r="V971" s="55" t="str">
        <x:f>IF(U971="","",U971-TODAY())</x:f>
      </x:c>
      <x:c r="W971" s="55" t="str">
        <x:f>IF(AND(U971&lt;&gt;"",U971&lt;TODAY(),O971="Активен"),"ДА","")</x:f>
      </x:c>
      <x:c r="X971" s="55"/>
      <x:c r="Y971" s="55"/>
      <x:c r="Z971" s="55"/>
      <x:c r="AA971" s="55"/>
      <x:c r="AB971" s="55" t="str">
        <x:f>IF(C971="","", "Напиши " &amp; AA971 &amp; " за бизнес: " &amp; C971 &amp; ". Тип: " &amp; D971 &amp; ". Град: " &amp; E971 &amp; ". Проблем: " &amp; L971 &amp; ". Предложение: " &amp; M971 &amp; ". Етап: " &amp; N971 &amp; ". Бележки: " &amp; Y971)</x:f>
      </x:c>
      <x:c r="AC971" s="55"/>
    </x:row>
    <x:row r="972">
      <x:c r="A972" s="55"/>
      <x:c r="B972" s="55"/>
      <x:c r="C972" s="55"/>
      <x:c r="D972" s="55"/>
      <x:c r="E972" s="55"/>
      <x:c r="F972" s="55"/>
      <x:c r="G972" s="55"/>
      <x:c r="H972" s="55"/>
      <x:c r="I972" s="55"/>
      <x:c r="J972" s="55"/>
      <x:c r="K972" s="55"/>
      <x:c r="L972" s="55"/>
      <x:c r="M972" s="55"/>
      <x:c r="N972" s="55"/>
      <x:c r="O972" s="55"/>
      <x:c r="P972" s="55"/>
      <x:c r="Q972" s="55"/>
      <x:c r="R972" s="55"/>
      <x:c r="S972" s="55" t="str">
        <x:f>IF(C972="","",IFERROR(Q972*R972/100,""))</x:f>
      </x:c>
      <x:c r="T972" s="55"/>
      <x:c r="U972" s="55"/>
      <x:c r="V972" s="55" t="str">
        <x:f>IF(U972="","",U972-TODAY())</x:f>
      </x:c>
      <x:c r="W972" s="55" t="str">
        <x:f>IF(AND(U972&lt;&gt;"",U972&lt;TODAY(),O972="Активен"),"ДА","")</x:f>
      </x:c>
      <x:c r="X972" s="55"/>
      <x:c r="Y972" s="55"/>
      <x:c r="Z972" s="55"/>
      <x:c r="AA972" s="55"/>
      <x:c r="AB972" s="55" t="str">
        <x:f>IF(C972="","", "Напиши " &amp; AA972 &amp; " за бизнес: " &amp; C972 &amp; ". Тип: " &amp; D972 &amp; ". Град: " &amp; E972 &amp; ". Проблем: " &amp; L972 &amp; ". Предложение: " &amp; M972 &amp; ". Етап: " &amp; N972 &amp; ". Бележки: " &amp; Y972)</x:f>
      </x:c>
      <x:c r="AC972" s="55"/>
    </x:row>
    <x:row r="973">
      <x:c r="A973" s="55"/>
      <x:c r="B973" s="55"/>
      <x:c r="C973" s="55"/>
      <x:c r="D973" s="55"/>
      <x:c r="E973" s="55"/>
      <x:c r="F973" s="55"/>
      <x:c r="G973" s="55"/>
      <x:c r="H973" s="55"/>
      <x:c r="I973" s="55"/>
      <x:c r="J973" s="55"/>
      <x:c r="K973" s="55"/>
      <x:c r="L973" s="55"/>
      <x:c r="M973" s="55"/>
      <x:c r="N973" s="55"/>
      <x:c r="O973" s="55"/>
      <x:c r="P973" s="55"/>
      <x:c r="Q973" s="55"/>
      <x:c r="R973" s="55"/>
      <x:c r="S973" s="55" t="str">
        <x:f>IF(C973="","",IFERROR(Q973*R973/100,""))</x:f>
      </x:c>
      <x:c r="T973" s="55"/>
      <x:c r="U973" s="55"/>
      <x:c r="V973" s="55" t="str">
        <x:f>IF(U973="","",U973-TODAY())</x:f>
      </x:c>
      <x:c r="W973" s="55" t="str">
        <x:f>IF(AND(U973&lt;&gt;"",U973&lt;TODAY(),O973="Активен"),"ДА","")</x:f>
      </x:c>
      <x:c r="X973" s="55"/>
      <x:c r="Y973" s="55"/>
      <x:c r="Z973" s="55"/>
      <x:c r="AA973" s="55"/>
      <x:c r="AB973" s="55" t="str">
        <x:f>IF(C973="","", "Напиши " &amp; AA973 &amp; " за бизнес: " &amp; C973 &amp; ". Тип: " &amp; D973 &amp; ". Град: " &amp; E973 &amp; ". Проблем: " &amp; L973 &amp; ". Предложение: " &amp; M973 &amp; ". Етап: " &amp; N973 &amp; ". Бележки: " &amp; Y973)</x:f>
      </x:c>
      <x:c r="AC973" s="55"/>
    </x:row>
    <x:row r="974">
      <x:c r="A974" s="55"/>
      <x:c r="B974" s="55"/>
      <x:c r="C974" s="55"/>
      <x:c r="D974" s="55"/>
      <x:c r="E974" s="55"/>
      <x:c r="F974" s="55"/>
      <x:c r="G974" s="55"/>
      <x:c r="H974" s="55"/>
      <x:c r="I974" s="55"/>
      <x:c r="J974" s="55"/>
      <x:c r="K974" s="55"/>
      <x:c r="L974" s="55"/>
      <x:c r="M974" s="55"/>
      <x:c r="N974" s="55"/>
      <x:c r="O974" s="55"/>
      <x:c r="P974" s="55"/>
      <x:c r="Q974" s="55"/>
      <x:c r="R974" s="55"/>
      <x:c r="S974" s="55" t="str">
        <x:f>IF(C974="","",IFERROR(Q974*R974/100,""))</x:f>
      </x:c>
      <x:c r="T974" s="55"/>
      <x:c r="U974" s="55"/>
      <x:c r="V974" s="55" t="str">
        <x:f>IF(U974="","",U974-TODAY())</x:f>
      </x:c>
      <x:c r="W974" s="55" t="str">
        <x:f>IF(AND(U974&lt;&gt;"",U974&lt;TODAY(),O974="Активен"),"ДА","")</x:f>
      </x:c>
      <x:c r="X974" s="55"/>
      <x:c r="Y974" s="55"/>
      <x:c r="Z974" s="55"/>
      <x:c r="AA974" s="55"/>
      <x:c r="AB974" s="55" t="str">
        <x:f>IF(C974="","", "Напиши " &amp; AA974 &amp; " за бизнес: " &amp; C974 &amp; ". Тип: " &amp; D974 &amp; ". Град: " &amp; E974 &amp; ". Проблем: " &amp; L974 &amp; ". Предложение: " &amp; M974 &amp; ". Етап: " &amp; N974 &amp; ". Бележки: " &amp; Y974)</x:f>
      </x:c>
      <x:c r="AC974" s="55"/>
    </x:row>
    <x:row r="975">
      <x:c r="A975" s="55"/>
      <x:c r="B975" s="55"/>
      <x:c r="C975" s="55"/>
      <x:c r="D975" s="55"/>
      <x:c r="E975" s="55"/>
      <x:c r="F975" s="55"/>
      <x:c r="G975" s="55"/>
      <x:c r="H975" s="55"/>
      <x:c r="I975" s="55"/>
      <x:c r="J975" s="55"/>
      <x:c r="K975" s="55"/>
      <x:c r="L975" s="55"/>
      <x:c r="M975" s="55"/>
      <x:c r="N975" s="55"/>
      <x:c r="O975" s="55"/>
      <x:c r="P975" s="55"/>
      <x:c r="Q975" s="55"/>
      <x:c r="R975" s="55"/>
      <x:c r="S975" s="55" t="str">
        <x:f>IF(C975="","",IFERROR(Q975*R975/100,""))</x:f>
      </x:c>
      <x:c r="T975" s="55"/>
      <x:c r="U975" s="55"/>
      <x:c r="V975" s="55" t="str">
        <x:f>IF(U975="","",U975-TODAY())</x:f>
      </x:c>
      <x:c r="W975" s="55" t="str">
        <x:f>IF(AND(U975&lt;&gt;"",U975&lt;TODAY(),O975="Активен"),"ДА","")</x:f>
      </x:c>
      <x:c r="X975" s="55"/>
      <x:c r="Y975" s="55"/>
      <x:c r="Z975" s="55"/>
      <x:c r="AA975" s="55"/>
      <x:c r="AB975" s="55" t="str">
        <x:f>IF(C975="","", "Напиши " &amp; AA975 &amp; " за бизнес: " &amp; C975 &amp; ". Тип: " &amp; D975 &amp; ". Град: " &amp; E975 &amp; ". Проблем: " &amp; L975 &amp; ". Предложение: " &amp; M975 &amp; ". Етап: " &amp; N975 &amp; ". Бележки: " &amp; Y975)</x:f>
      </x:c>
      <x:c r="AC975" s="55"/>
    </x:row>
    <x:row r="976">
      <x:c r="A976" s="55"/>
      <x:c r="B976" s="55"/>
      <x:c r="C976" s="55"/>
      <x:c r="D976" s="55"/>
      <x:c r="E976" s="55"/>
      <x:c r="F976" s="55"/>
      <x:c r="G976" s="55"/>
      <x:c r="H976" s="55"/>
      <x:c r="I976" s="55"/>
      <x:c r="J976" s="55"/>
      <x:c r="K976" s="55"/>
      <x:c r="L976" s="55"/>
      <x:c r="M976" s="55"/>
      <x:c r="N976" s="55"/>
      <x:c r="O976" s="55"/>
      <x:c r="P976" s="55"/>
      <x:c r="Q976" s="55"/>
      <x:c r="R976" s="55"/>
      <x:c r="S976" s="55" t="str">
        <x:f>IF(C976="","",IFERROR(Q976*R976/100,""))</x:f>
      </x:c>
      <x:c r="T976" s="55"/>
      <x:c r="U976" s="55"/>
      <x:c r="V976" s="55" t="str">
        <x:f>IF(U976="","",U976-TODAY())</x:f>
      </x:c>
      <x:c r="W976" s="55" t="str">
        <x:f>IF(AND(U976&lt;&gt;"",U976&lt;TODAY(),O976="Активен"),"ДА","")</x:f>
      </x:c>
      <x:c r="X976" s="55"/>
      <x:c r="Y976" s="55"/>
      <x:c r="Z976" s="55"/>
      <x:c r="AA976" s="55"/>
      <x:c r="AB976" s="55" t="str">
        <x:f>IF(C976="","", "Напиши " &amp; AA976 &amp; " за бизнес: " &amp; C976 &amp; ". Тип: " &amp; D976 &amp; ". Град: " &amp; E976 &amp; ". Проблем: " &amp; L976 &amp; ". Предложение: " &amp; M976 &amp; ". Етап: " &amp; N976 &amp; ". Бележки: " &amp; Y976)</x:f>
      </x:c>
      <x:c r="AC976" s="55"/>
    </x:row>
    <x:row r="977">
      <x:c r="A977" s="55"/>
      <x:c r="B977" s="55"/>
      <x:c r="C977" s="55"/>
      <x:c r="D977" s="55"/>
      <x:c r="E977" s="55"/>
      <x:c r="F977" s="55"/>
      <x:c r="G977" s="55"/>
      <x:c r="H977" s="55"/>
      <x:c r="I977" s="55"/>
      <x:c r="J977" s="55"/>
      <x:c r="K977" s="55"/>
      <x:c r="L977" s="55"/>
      <x:c r="M977" s="55"/>
      <x:c r="N977" s="55"/>
      <x:c r="O977" s="55"/>
      <x:c r="P977" s="55"/>
      <x:c r="Q977" s="55"/>
      <x:c r="R977" s="55"/>
      <x:c r="S977" s="55" t="str">
        <x:f>IF(C977="","",IFERROR(Q977*R977/100,""))</x:f>
      </x:c>
      <x:c r="T977" s="55"/>
      <x:c r="U977" s="55"/>
      <x:c r="V977" s="55" t="str">
        <x:f>IF(U977="","",U977-TODAY())</x:f>
      </x:c>
      <x:c r="W977" s="55" t="str">
        <x:f>IF(AND(U977&lt;&gt;"",U977&lt;TODAY(),O977="Активен"),"ДА","")</x:f>
      </x:c>
      <x:c r="X977" s="55"/>
      <x:c r="Y977" s="55"/>
      <x:c r="Z977" s="55"/>
      <x:c r="AA977" s="55"/>
      <x:c r="AB977" s="55" t="str">
        <x:f>IF(C977="","", "Напиши " &amp; AA977 &amp; " за бизнес: " &amp; C977 &amp; ". Тип: " &amp; D977 &amp; ". Град: " &amp; E977 &amp; ". Проблем: " &amp; L977 &amp; ". Предложение: " &amp; M977 &amp; ". Етап: " &amp; N977 &amp; ". Бележки: " &amp; Y977)</x:f>
      </x:c>
      <x:c r="AC977" s="55"/>
    </x:row>
    <x:row r="978">
      <x:c r="A978" s="55"/>
      <x:c r="B978" s="55"/>
      <x:c r="C978" s="55"/>
      <x:c r="D978" s="55"/>
      <x:c r="E978" s="55"/>
      <x:c r="F978" s="55"/>
      <x:c r="G978" s="55"/>
      <x:c r="H978" s="55"/>
      <x:c r="I978" s="55"/>
      <x:c r="J978" s="55"/>
      <x:c r="K978" s="55"/>
      <x:c r="L978" s="55"/>
      <x:c r="M978" s="55"/>
      <x:c r="N978" s="55"/>
      <x:c r="O978" s="55"/>
      <x:c r="P978" s="55"/>
      <x:c r="Q978" s="55"/>
      <x:c r="R978" s="55"/>
      <x:c r="S978" s="55" t="str">
        <x:f>IF(C978="","",IFERROR(Q978*R978/100,""))</x:f>
      </x:c>
      <x:c r="T978" s="55"/>
      <x:c r="U978" s="55"/>
      <x:c r="V978" s="55" t="str">
        <x:f>IF(U978="","",U978-TODAY())</x:f>
      </x:c>
      <x:c r="W978" s="55" t="str">
        <x:f>IF(AND(U978&lt;&gt;"",U978&lt;TODAY(),O978="Активен"),"ДА","")</x:f>
      </x:c>
      <x:c r="X978" s="55"/>
      <x:c r="Y978" s="55"/>
      <x:c r="Z978" s="55"/>
      <x:c r="AA978" s="55"/>
      <x:c r="AB978" s="55" t="str">
        <x:f>IF(C978="","", "Напиши " &amp; AA978 &amp; " за бизнес: " &amp; C978 &amp; ". Тип: " &amp; D978 &amp; ". Град: " &amp; E978 &amp; ". Проблем: " &amp; L978 &amp; ". Предложение: " &amp; M978 &amp; ". Етап: " &amp; N978 &amp; ". Бележки: " &amp; Y978)</x:f>
      </x:c>
      <x:c r="AC978" s="55"/>
    </x:row>
    <x:row r="979">
      <x:c r="A979" s="55"/>
      <x:c r="B979" s="55"/>
      <x:c r="C979" s="55"/>
      <x:c r="D979" s="55"/>
      <x:c r="E979" s="55"/>
      <x:c r="F979" s="55"/>
      <x:c r="G979" s="55"/>
      <x:c r="H979" s="55"/>
      <x:c r="I979" s="55"/>
      <x:c r="J979" s="55"/>
      <x:c r="K979" s="55"/>
      <x:c r="L979" s="55"/>
      <x:c r="M979" s="55"/>
      <x:c r="N979" s="55"/>
      <x:c r="O979" s="55"/>
      <x:c r="P979" s="55"/>
      <x:c r="Q979" s="55"/>
      <x:c r="R979" s="55"/>
      <x:c r="S979" s="55" t="str">
        <x:f>IF(C979="","",IFERROR(Q979*R979/100,""))</x:f>
      </x:c>
      <x:c r="T979" s="55"/>
      <x:c r="U979" s="55"/>
      <x:c r="V979" s="55" t="str">
        <x:f>IF(U979="","",U979-TODAY())</x:f>
      </x:c>
      <x:c r="W979" s="55" t="str">
        <x:f>IF(AND(U979&lt;&gt;"",U979&lt;TODAY(),O979="Активен"),"ДА","")</x:f>
      </x:c>
      <x:c r="X979" s="55"/>
      <x:c r="Y979" s="55"/>
      <x:c r="Z979" s="55"/>
      <x:c r="AA979" s="55"/>
      <x:c r="AB979" s="55" t="str">
        <x:f>IF(C979="","", "Напиши " &amp; AA979 &amp; " за бизнес: " &amp; C979 &amp; ". Тип: " &amp; D979 &amp; ". Град: " &amp; E979 &amp; ". Проблем: " &amp; L979 &amp; ". Предложение: " &amp; M979 &amp; ". Етап: " &amp; N979 &amp; ". Бележки: " &amp; Y979)</x:f>
      </x:c>
      <x:c r="AC979" s="55"/>
    </x:row>
    <x:row r="980">
      <x:c r="A980" s="55"/>
      <x:c r="B980" s="55"/>
      <x:c r="C980" s="55"/>
      <x:c r="D980" s="55"/>
      <x:c r="E980" s="55"/>
      <x:c r="F980" s="55"/>
      <x:c r="G980" s="55"/>
      <x:c r="H980" s="55"/>
      <x:c r="I980" s="55"/>
      <x:c r="J980" s="55"/>
      <x:c r="K980" s="55"/>
      <x:c r="L980" s="55"/>
      <x:c r="M980" s="55"/>
      <x:c r="N980" s="55"/>
      <x:c r="O980" s="55"/>
      <x:c r="P980" s="55"/>
      <x:c r="Q980" s="55"/>
      <x:c r="R980" s="55"/>
      <x:c r="S980" s="55" t="str">
        <x:f>IF(C980="","",IFERROR(Q980*R980/100,""))</x:f>
      </x:c>
      <x:c r="T980" s="55"/>
      <x:c r="U980" s="55"/>
      <x:c r="V980" s="55" t="str">
        <x:f>IF(U980="","",U980-TODAY())</x:f>
      </x:c>
      <x:c r="W980" s="55" t="str">
        <x:f>IF(AND(U980&lt;&gt;"",U980&lt;TODAY(),O980="Активен"),"ДА","")</x:f>
      </x:c>
      <x:c r="X980" s="55"/>
      <x:c r="Y980" s="55"/>
      <x:c r="Z980" s="55"/>
      <x:c r="AA980" s="55"/>
      <x:c r="AB980" s="55" t="str">
        <x:f>IF(C980="","", "Напиши " &amp; AA980 &amp; " за бизнес: " &amp; C980 &amp; ". Тип: " &amp; D980 &amp; ". Град: " &amp; E980 &amp; ". Проблем: " &amp; L980 &amp; ". Предложение: " &amp; M980 &amp; ". Етап: " &amp; N980 &amp; ". Бележки: " &amp; Y980)</x:f>
      </x:c>
      <x:c r="AC980" s="55"/>
    </x:row>
    <x:row r="981">
      <x:c r="A981" s="55"/>
      <x:c r="B981" s="55"/>
      <x:c r="C981" s="55"/>
      <x:c r="D981" s="55"/>
      <x:c r="E981" s="55"/>
      <x:c r="F981" s="55"/>
      <x:c r="G981" s="55"/>
      <x:c r="H981" s="55"/>
      <x:c r="I981" s="55"/>
      <x:c r="J981" s="55"/>
      <x:c r="K981" s="55"/>
      <x:c r="L981" s="55"/>
      <x:c r="M981" s="55"/>
      <x:c r="N981" s="55"/>
      <x:c r="O981" s="55"/>
      <x:c r="P981" s="55"/>
      <x:c r="Q981" s="55"/>
      <x:c r="R981" s="55"/>
      <x:c r="S981" s="55" t="str">
        <x:f>IF(C981="","",IFERROR(Q981*R981/100,""))</x:f>
      </x:c>
      <x:c r="T981" s="55"/>
      <x:c r="U981" s="55"/>
      <x:c r="V981" s="55" t="str">
        <x:f>IF(U981="","",U981-TODAY())</x:f>
      </x:c>
      <x:c r="W981" s="55" t="str">
        <x:f>IF(AND(U981&lt;&gt;"",U981&lt;TODAY(),O981="Активен"),"ДА","")</x:f>
      </x:c>
      <x:c r="X981" s="55"/>
      <x:c r="Y981" s="55"/>
      <x:c r="Z981" s="55"/>
      <x:c r="AA981" s="55"/>
      <x:c r="AB981" s="55" t="str">
        <x:f>IF(C981="","", "Напиши " &amp; AA981 &amp; " за бизнес: " &amp; C981 &amp; ". Тип: " &amp; D981 &amp; ". Град: " &amp; E981 &amp; ". Проблем: " &amp; L981 &amp; ". Предложение: " &amp; M981 &amp; ". Етап: " &amp; N981 &amp; ". Бележки: " &amp; Y981)</x:f>
      </x:c>
      <x:c r="AC981" s="55"/>
    </x:row>
    <x:row r="982">
      <x:c r="A982" s="55"/>
      <x:c r="B982" s="55"/>
      <x:c r="C982" s="55"/>
      <x:c r="D982" s="55"/>
      <x:c r="E982" s="55"/>
      <x:c r="F982" s="55"/>
      <x:c r="G982" s="55"/>
      <x:c r="H982" s="55"/>
      <x:c r="I982" s="55"/>
      <x:c r="J982" s="55"/>
      <x:c r="K982" s="55"/>
      <x:c r="L982" s="55"/>
      <x:c r="M982" s="55"/>
      <x:c r="N982" s="55"/>
      <x:c r="O982" s="55"/>
      <x:c r="P982" s="55"/>
      <x:c r="Q982" s="55"/>
      <x:c r="R982" s="55"/>
      <x:c r="S982" s="55" t="str">
        <x:f>IF(C982="","",IFERROR(Q982*R982/100,""))</x:f>
      </x:c>
      <x:c r="T982" s="55"/>
      <x:c r="U982" s="55"/>
      <x:c r="V982" s="55" t="str">
        <x:f>IF(U982="","",U982-TODAY())</x:f>
      </x:c>
      <x:c r="W982" s="55" t="str">
        <x:f>IF(AND(U982&lt;&gt;"",U982&lt;TODAY(),O982="Активен"),"ДА","")</x:f>
      </x:c>
      <x:c r="X982" s="55"/>
      <x:c r="Y982" s="55"/>
      <x:c r="Z982" s="55"/>
      <x:c r="AA982" s="55"/>
      <x:c r="AB982" s="55" t="str">
        <x:f>IF(C982="","", "Напиши " &amp; AA982 &amp; " за бизнес: " &amp; C982 &amp; ". Тип: " &amp; D982 &amp; ". Град: " &amp; E982 &amp; ". Проблем: " &amp; L982 &amp; ". Предложение: " &amp; M982 &amp; ". Етап: " &amp; N982 &amp; ". Бележки: " &amp; Y982)</x:f>
      </x:c>
      <x:c r="AC982" s="55"/>
    </x:row>
    <x:row r="983">
      <x:c r="A983" s="55"/>
      <x:c r="B983" s="55"/>
      <x:c r="C983" s="55"/>
      <x:c r="D983" s="55"/>
      <x:c r="E983" s="55"/>
      <x:c r="F983" s="55"/>
      <x:c r="G983" s="55"/>
      <x:c r="H983" s="55"/>
      <x:c r="I983" s="55"/>
      <x:c r="J983" s="55"/>
      <x:c r="K983" s="55"/>
      <x:c r="L983" s="55"/>
      <x:c r="M983" s="55"/>
      <x:c r="N983" s="55"/>
      <x:c r="O983" s="55"/>
      <x:c r="P983" s="55"/>
      <x:c r="Q983" s="55"/>
      <x:c r="R983" s="55"/>
      <x:c r="S983" s="55" t="str">
        <x:f>IF(C983="","",IFERROR(Q983*R983/100,""))</x:f>
      </x:c>
      <x:c r="T983" s="55"/>
      <x:c r="U983" s="55"/>
      <x:c r="V983" s="55" t="str">
        <x:f>IF(U983="","",U983-TODAY())</x:f>
      </x:c>
      <x:c r="W983" s="55" t="str">
        <x:f>IF(AND(U983&lt;&gt;"",U983&lt;TODAY(),O983="Активен"),"ДА","")</x:f>
      </x:c>
      <x:c r="X983" s="55"/>
      <x:c r="Y983" s="55"/>
      <x:c r="Z983" s="55"/>
      <x:c r="AA983" s="55"/>
      <x:c r="AB983" s="55" t="str">
        <x:f>IF(C983="","", "Напиши " &amp; AA983 &amp; " за бизнес: " &amp; C983 &amp; ". Тип: " &amp; D983 &amp; ". Град: " &amp; E983 &amp; ". Проблем: " &amp; L983 &amp; ". Предложение: " &amp; M983 &amp; ". Етап: " &amp; N983 &amp; ". Бележки: " &amp; Y983)</x:f>
      </x:c>
      <x:c r="AC983" s="55"/>
    </x:row>
    <x:row r="984">
      <x:c r="A984" s="55"/>
      <x:c r="B984" s="55"/>
      <x:c r="C984" s="55"/>
      <x:c r="D984" s="55"/>
      <x:c r="E984" s="55"/>
      <x:c r="F984" s="55"/>
      <x:c r="G984" s="55"/>
      <x:c r="H984" s="55"/>
      <x:c r="I984" s="55"/>
      <x:c r="J984" s="55"/>
      <x:c r="K984" s="55"/>
      <x:c r="L984" s="55"/>
      <x:c r="M984" s="55"/>
      <x:c r="N984" s="55"/>
      <x:c r="O984" s="55"/>
      <x:c r="P984" s="55"/>
      <x:c r="Q984" s="55"/>
      <x:c r="R984" s="55"/>
      <x:c r="S984" s="55" t="str">
        <x:f>IF(C984="","",IFERROR(Q984*R984/100,""))</x:f>
      </x:c>
      <x:c r="T984" s="55"/>
      <x:c r="U984" s="55"/>
      <x:c r="V984" s="55" t="str">
        <x:f>IF(U984="","",U984-TODAY())</x:f>
      </x:c>
      <x:c r="W984" s="55" t="str">
        <x:f>IF(AND(U984&lt;&gt;"",U984&lt;TODAY(),O984="Активен"),"ДА","")</x:f>
      </x:c>
      <x:c r="X984" s="55"/>
      <x:c r="Y984" s="55"/>
      <x:c r="Z984" s="55"/>
      <x:c r="AA984" s="55"/>
      <x:c r="AB984" s="55" t="str">
        <x:f>IF(C984="","", "Напиши " &amp; AA984 &amp; " за бизнес: " &amp; C984 &amp; ". Тип: " &amp; D984 &amp; ". Град: " &amp; E984 &amp; ". Проблем: " &amp; L984 &amp; ". Предложение: " &amp; M984 &amp; ". Етап: " &amp; N984 &amp; ". Бележки: " &amp; Y984)</x:f>
      </x:c>
      <x:c r="AC984" s="55"/>
    </x:row>
    <x:row r="985">
      <x:c r="A985" s="55"/>
      <x:c r="B985" s="55"/>
      <x:c r="C985" s="55"/>
      <x:c r="D985" s="55"/>
      <x:c r="E985" s="55"/>
      <x:c r="F985" s="55"/>
      <x:c r="G985" s="55"/>
      <x:c r="H985" s="55"/>
      <x:c r="I985" s="55"/>
      <x:c r="J985" s="55"/>
      <x:c r="K985" s="55"/>
      <x:c r="L985" s="55"/>
      <x:c r="M985" s="55"/>
      <x:c r="N985" s="55"/>
      <x:c r="O985" s="55"/>
      <x:c r="P985" s="55"/>
      <x:c r="Q985" s="55"/>
      <x:c r="R985" s="55"/>
      <x:c r="S985" s="55" t="str">
        <x:f>IF(C985="","",IFERROR(Q985*R985/100,""))</x:f>
      </x:c>
      <x:c r="T985" s="55"/>
      <x:c r="U985" s="55"/>
      <x:c r="V985" s="55" t="str">
        <x:f>IF(U985="","",U985-TODAY())</x:f>
      </x:c>
      <x:c r="W985" s="55" t="str">
        <x:f>IF(AND(U985&lt;&gt;"",U985&lt;TODAY(),O985="Активен"),"ДА","")</x:f>
      </x:c>
      <x:c r="X985" s="55"/>
      <x:c r="Y985" s="55"/>
      <x:c r="Z985" s="55"/>
      <x:c r="AA985" s="55"/>
      <x:c r="AB985" s="55" t="str">
        <x:f>IF(C985="","", "Напиши " &amp; AA985 &amp; " за бизнес: " &amp; C985 &amp; ". Тип: " &amp; D985 &amp; ". Град: " &amp; E985 &amp; ". Проблем: " &amp; L985 &amp; ". Предложение: " &amp; M985 &amp; ". Етап: " &amp; N985 &amp; ". Бележки: " &amp; Y985)</x:f>
      </x:c>
      <x:c r="AC985" s="55"/>
    </x:row>
    <x:row r="986">
      <x:c r="A986" s="55"/>
      <x:c r="B986" s="55"/>
      <x:c r="C986" s="55"/>
      <x:c r="D986" s="55"/>
      <x:c r="E986" s="55"/>
      <x:c r="F986" s="55"/>
      <x:c r="G986" s="55"/>
      <x:c r="H986" s="55"/>
      <x:c r="I986" s="55"/>
      <x:c r="J986" s="55"/>
      <x:c r="K986" s="55"/>
      <x:c r="L986" s="55"/>
      <x:c r="M986" s="55"/>
      <x:c r="N986" s="55"/>
      <x:c r="O986" s="55"/>
      <x:c r="P986" s="55"/>
      <x:c r="Q986" s="55"/>
      <x:c r="R986" s="55"/>
      <x:c r="S986" s="55" t="str">
        <x:f>IF(C986="","",IFERROR(Q986*R986/100,""))</x:f>
      </x:c>
      <x:c r="T986" s="55"/>
      <x:c r="U986" s="55"/>
      <x:c r="V986" s="55" t="str">
        <x:f>IF(U986="","",U986-TODAY())</x:f>
      </x:c>
      <x:c r="W986" s="55" t="str">
        <x:f>IF(AND(U986&lt;&gt;"",U986&lt;TODAY(),O986="Активен"),"ДА","")</x:f>
      </x:c>
      <x:c r="X986" s="55"/>
      <x:c r="Y986" s="55"/>
      <x:c r="Z986" s="55"/>
      <x:c r="AA986" s="55"/>
      <x:c r="AB986" s="55" t="str">
        <x:f>IF(C986="","", "Напиши " &amp; AA986 &amp; " за бизнес: " &amp; C986 &amp; ". Тип: " &amp; D986 &amp; ". Град: " &amp; E986 &amp; ". Проблем: " &amp; L986 &amp; ". Предложение: " &amp; M986 &amp; ". Етап: " &amp; N986 &amp; ". Бележки: " &amp; Y986)</x:f>
      </x:c>
      <x:c r="AC986" s="55"/>
    </x:row>
    <x:row r="987">
      <x:c r="A987" s="55"/>
      <x:c r="B987" s="55"/>
      <x:c r="C987" s="55"/>
      <x:c r="D987" s="55"/>
      <x:c r="E987" s="55"/>
      <x:c r="F987" s="55"/>
      <x:c r="G987" s="55"/>
      <x:c r="H987" s="55"/>
      <x:c r="I987" s="55"/>
      <x:c r="J987" s="55"/>
      <x:c r="K987" s="55"/>
      <x:c r="L987" s="55"/>
      <x:c r="M987" s="55"/>
      <x:c r="N987" s="55"/>
      <x:c r="O987" s="55"/>
      <x:c r="P987" s="55"/>
      <x:c r="Q987" s="55"/>
      <x:c r="R987" s="55"/>
      <x:c r="S987" s="55" t="str">
        <x:f>IF(C987="","",IFERROR(Q987*R987/100,""))</x:f>
      </x:c>
      <x:c r="T987" s="55"/>
      <x:c r="U987" s="55"/>
      <x:c r="V987" s="55" t="str">
        <x:f>IF(U987="","",U987-TODAY())</x:f>
      </x:c>
      <x:c r="W987" s="55" t="str">
        <x:f>IF(AND(U987&lt;&gt;"",U987&lt;TODAY(),O987="Активен"),"ДА","")</x:f>
      </x:c>
      <x:c r="X987" s="55"/>
      <x:c r="Y987" s="55"/>
      <x:c r="Z987" s="55"/>
      <x:c r="AA987" s="55"/>
      <x:c r="AB987" s="55" t="str">
        <x:f>IF(C987="","", "Напиши " &amp; AA987 &amp; " за бизнес: " &amp; C987 &amp; ". Тип: " &amp; D987 &amp; ". Град: " &amp; E987 &amp; ". Проблем: " &amp; L987 &amp; ". Предложение: " &amp; M987 &amp; ". Етап: " &amp; N987 &amp; ". Бележки: " &amp; Y987)</x:f>
      </x:c>
      <x:c r="AC987" s="55"/>
    </x:row>
    <x:row r="988">
      <x:c r="A988" s="55"/>
      <x:c r="B988" s="55"/>
      <x:c r="C988" s="55"/>
      <x:c r="D988" s="55"/>
      <x:c r="E988" s="55"/>
      <x:c r="F988" s="55"/>
      <x:c r="G988" s="55"/>
      <x:c r="H988" s="55"/>
      <x:c r="I988" s="55"/>
      <x:c r="J988" s="55"/>
      <x:c r="K988" s="55"/>
      <x:c r="L988" s="55"/>
      <x:c r="M988" s="55"/>
      <x:c r="N988" s="55"/>
      <x:c r="O988" s="55"/>
      <x:c r="P988" s="55"/>
      <x:c r="Q988" s="55"/>
      <x:c r="R988" s="55"/>
      <x:c r="S988" s="55" t="str">
        <x:f>IF(C988="","",IFERROR(Q988*R988/100,""))</x:f>
      </x:c>
      <x:c r="T988" s="55"/>
      <x:c r="U988" s="55"/>
      <x:c r="V988" s="55" t="str">
        <x:f>IF(U988="","",U988-TODAY())</x:f>
      </x:c>
      <x:c r="W988" s="55" t="str">
        <x:f>IF(AND(U988&lt;&gt;"",U988&lt;TODAY(),O988="Активен"),"ДА","")</x:f>
      </x:c>
      <x:c r="X988" s="55"/>
      <x:c r="Y988" s="55"/>
      <x:c r="Z988" s="55"/>
      <x:c r="AA988" s="55"/>
      <x:c r="AB988" s="55" t="str">
        <x:f>IF(C988="","", "Напиши " &amp; AA988 &amp; " за бизнес: " &amp; C988 &amp; ". Тип: " &amp; D988 &amp; ". Град: " &amp; E988 &amp; ". Проблем: " &amp; L988 &amp; ". Предложение: " &amp; M988 &amp; ". Етап: " &amp; N988 &amp; ". Бележки: " &amp; Y988)</x:f>
      </x:c>
      <x:c r="AC988" s="55"/>
    </x:row>
    <x:row r="989">
      <x:c r="A989" s="55"/>
      <x:c r="B989" s="55"/>
      <x:c r="C989" s="55"/>
      <x:c r="D989" s="55"/>
      <x:c r="E989" s="55"/>
      <x:c r="F989" s="55"/>
      <x:c r="G989" s="55"/>
      <x:c r="H989" s="55"/>
      <x:c r="I989" s="55"/>
      <x:c r="J989" s="55"/>
      <x:c r="K989" s="55"/>
      <x:c r="L989" s="55"/>
      <x:c r="M989" s="55"/>
      <x:c r="N989" s="55"/>
      <x:c r="O989" s="55"/>
      <x:c r="P989" s="55"/>
      <x:c r="Q989" s="55"/>
      <x:c r="R989" s="55"/>
      <x:c r="S989" s="55" t="str">
        <x:f>IF(C989="","",IFERROR(Q989*R989/100,""))</x:f>
      </x:c>
      <x:c r="T989" s="55"/>
      <x:c r="U989" s="55"/>
      <x:c r="V989" s="55" t="str">
        <x:f>IF(U989="","",U989-TODAY())</x:f>
      </x:c>
      <x:c r="W989" s="55" t="str">
        <x:f>IF(AND(U989&lt;&gt;"",U989&lt;TODAY(),O989="Активен"),"ДА","")</x:f>
      </x:c>
      <x:c r="X989" s="55"/>
      <x:c r="Y989" s="55"/>
      <x:c r="Z989" s="55"/>
      <x:c r="AA989" s="55"/>
      <x:c r="AB989" s="55" t="str">
        <x:f>IF(C989="","", "Напиши " &amp; AA989 &amp; " за бизнес: " &amp; C989 &amp; ". Тип: " &amp; D989 &amp; ". Град: " &amp; E989 &amp; ". Проблем: " &amp; L989 &amp; ". Предложение: " &amp; M989 &amp; ". Етап: " &amp; N989 &amp; ". Бележки: " &amp; Y989)</x:f>
      </x:c>
      <x:c r="AC989" s="55"/>
    </x:row>
    <x:row r="990">
      <x:c r="A990" s="55"/>
      <x:c r="B990" s="55"/>
      <x:c r="C990" s="55"/>
      <x:c r="D990" s="55"/>
      <x:c r="E990" s="55"/>
      <x:c r="F990" s="55"/>
      <x:c r="G990" s="55"/>
      <x:c r="H990" s="55"/>
      <x:c r="I990" s="55"/>
      <x:c r="J990" s="55"/>
      <x:c r="K990" s="55"/>
      <x:c r="L990" s="55"/>
      <x:c r="M990" s="55"/>
      <x:c r="N990" s="55"/>
      <x:c r="O990" s="55"/>
      <x:c r="P990" s="55"/>
      <x:c r="Q990" s="55"/>
      <x:c r="R990" s="55"/>
      <x:c r="S990" s="55" t="str">
        <x:f>IF(C990="","",IFERROR(Q990*R990/100,""))</x:f>
      </x:c>
      <x:c r="T990" s="55"/>
      <x:c r="U990" s="55"/>
      <x:c r="V990" s="55" t="str">
        <x:f>IF(U990="","",U990-TODAY())</x:f>
      </x:c>
      <x:c r="W990" s="55" t="str">
        <x:f>IF(AND(U990&lt;&gt;"",U990&lt;TODAY(),O990="Активен"),"ДА","")</x:f>
      </x:c>
      <x:c r="X990" s="55"/>
      <x:c r="Y990" s="55"/>
      <x:c r="Z990" s="55"/>
      <x:c r="AA990" s="55"/>
      <x:c r="AB990" s="55" t="str">
        <x:f>IF(C990="","", "Напиши " &amp; AA990 &amp; " за бизнес: " &amp; C990 &amp; ". Тип: " &amp; D990 &amp; ". Град: " &amp; E990 &amp; ". Проблем: " &amp; L990 &amp; ". Предложение: " &amp; M990 &amp; ". Етап: " &amp; N990 &amp; ". Бележки: " &amp; Y990)</x:f>
      </x:c>
      <x:c r="AC990" s="55"/>
    </x:row>
    <x:row r="991">
      <x:c r="A991" s="55"/>
      <x:c r="B991" s="55"/>
      <x:c r="C991" s="55"/>
      <x:c r="D991" s="55"/>
      <x:c r="E991" s="55"/>
      <x:c r="F991" s="55"/>
      <x:c r="G991" s="55"/>
      <x:c r="H991" s="55"/>
      <x:c r="I991" s="55"/>
      <x:c r="J991" s="55"/>
      <x:c r="K991" s="55"/>
      <x:c r="L991" s="55"/>
      <x:c r="M991" s="55"/>
      <x:c r="N991" s="55"/>
      <x:c r="O991" s="55"/>
      <x:c r="P991" s="55"/>
      <x:c r="Q991" s="55"/>
      <x:c r="R991" s="55"/>
      <x:c r="S991" s="55" t="str">
        <x:f>IF(C991="","",IFERROR(Q991*R991/100,""))</x:f>
      </x:c>
      <x:c r="T991" s="55"/>
      <x:c r="U991" s="55"/>
      <x:c r="V991" s="55" t="str">
        <x:f>IF(U991="","",U991-TODAY())</x:f>
      </x:c>
      <x:c r="W991" s="55" t="str">
        <x:f>IF(AND(U991&lt;&gt;"",U991&lt;TODAY(),O991="Активен"),"ДА","")</x:f>
      </x:c>
      <x:c r="X991" s="55"/>
      <x:c r="Y991" s="55"/>
      <x:c r="Z991" s="55"/>
      <x:c r="AA991" s="55"/>
      <x:c r="AB991" s="55" t="str">
        <x:f>IF(C991="","", "Напиши " &amp; AA991 &amp; " за бизнес: " &amp; C991 &amp; ". Тип: " &amp; D991 &amp; ". Град: " &amp; E991 &amp; ". Проблем: " &amp; L991 &amp; ". Предложение: " &amp; M991 &amp; ". Етап: " &amp; N991 &amp; ". Бележки: " &amp; Y991)</x:f>
      </x:c>
      <x:c r="AC991" s="55"/>
    </x:row>
    <x:row r="992">
      <x:c r="A992" s="55"/>
      <x:c r="B992" s="55"/>
      <x:c r="C992" s="55"/>
      <x:c r="D992" s="55"/>
      <x:c r="E992" s="55"/>
      <x:c r="F992" s="55"/>
      <x:c r="G992" s="55"/>
      <x:c r="H992" s="55"/>
      <x:c r="I992" s="55"/>
      <x:c r="J992" s="55"/>
      <x:c r="K992" s="55"/>
      <x:c r="L992" s="55"/>
      <x:c r="M992" s="55"/>
      <x:c r="N992" s="55"/>
      <x:c r="O992" s="55"/>
      <x:c r="P992" s="55"/>
      <x:c r="Q992" s="55"/>
      <x:c r="R992" s="55"/>
      <x:c r="S992" s="55" t="str">
        <x:f>IF(C992="","",IFERROR(Q992*R992/100,""))</x:f>
      </x:c>
      <x:c r="T992" s="55"/>
      <x:c r="U992" s="55"/>
      <x:c r="V992" s="55" t="str">
        <x:f>IF(U992="","",U992-TODAY())</x:f>
      </x:c>
      <x:c r="W992" s="55" t="str">
        <x:f>IF(AND(U992&lt;&gt;"",U992&lt;TODAY(),O992="Активен"),"ДА","")</x:f>
      </x:c>
      <x:c r="X992" s="55"/>
      <x:c r="Y992" s="55"/>
      <x:c r="Z992" s="55"/>
      <x:c r="AA992" s="55"/>
      <x:c r="AB992" s="55" t="str">
        <x:f>IF(C992="","", "Напиши " &amp; AA992 &amp; " за бизнес: " &amp; C992 &amp; ". Тип: " &amp; D992 &amp; ". Град: " &amp; E992 &amp; ". Проблем: " &amp; L992 &amp; ". Предложение: " &amp; M992 &amp; ". Етап: " &amp; N992 &amp; ". Бележки: " &amp; Y992)</x:f>
      </x:c>
      <x:c r="AC992" s="55"/>
    </x:row>
    <x:row r="993">
      <x:c r="A993" s="55"/>
      <x:c r="B993" s="55"/>
      <x:c r="C993" s="55"/>
      <x:c r="D993" s="55"/>
      <x:c r="E993" s="55"/>
      <x:c r="F993" s="55"/>
      <x:c r="G993" s="55"/>
      <x:c r="H993" s="55"/>
      <x:c r="I993" s="55"/>
      <x:c r="J993" s="55"/>
      <x:c r="K993" s="55"/>
      <x:c r="L993" s="55"/>
      <x:c r="M993" s="55"/>
      <x:c r="N993" s="55"/>
      <x:c r="O993" s="55"/>
      <x:c r="P993" s="55"/>
      <x:c r="Q993" s="55"/>
      <x:c r="R993" s="55"/>
      <x:c r="S993" s="55" t="str">
        <x:f>IF(C993="","",IFERROR(Q993*R993/100,""))</x:f>
      </x:c>
      <x:c r="T993" s="55"/>
      <x:c r="U993" s="55"/>
      <x:c r="V993" s="55" t="str">
        <x:f>IF(U993="","",U993-TODAY())</x:f>
      </x:c>
      <x:c r="W993" s="55" t="str">
        <x:f>IF(AND(U993&lt;&gt;"",U993&lt;TODAY(),O993="Активен"),"ДА","")</x:f>
      </x:c>
      <x:c r="X993" s="55"/>
      <x:c r="Y993" s="55"/>
      <x:c r="Z993" s="55"/>
      <x:c r="AA993" s="55"/>
      <x:c r="AB993" s="55" t="str">
        <x:f>IF(C993="","", "Напиши " &amp; AA993 &amp; " за бизнес: " &amp; C993 &amp; ". Тип: " &amp; D993 &amp; ". Град: " &amp; E993 &amp; ". Проблем: " &amp; L993 &amp; ". Предложение: " &amp; M993 &amp; ". Етап: " &amp; N993 &amp; ". Бележки: " &amp; Y993)</x:f>
      </x:c>
      <x:c r="AC993" s="55"/>
    </x:row>
    <x:row r="994">
      <x:c r="A994" s="55"/>
      <x:c r="B994" s="55"/>
      <x:c r="C994" s="55"/>
      <x:c r="D994" s="55"/>
      <x:c r="E994" s="55"/>
      <x:c r="F994" s="55"/>
      <x:c r="G994" s="55"/>
      <x:c r="H994" s="55"/>
      <x:c r="I994" s="55"/>
      <x:c r="J994" s="55"/>
      <x:c r="K994" s="55"/>
      <x:c r="L994" s="55"/>
      <x:c r="M994" s="55"/>
      <x:c r="N994" s="55"/>
      <x:c r="O994" s="55"/>
      <x:c r="P994" s="55"/>
      <x:c r="Q994" s="55"/>
      <x:c r="R994" s="55"/>
      <x:c r="S994" s="55" t="str">
        <x:f>IF(C994="","",IFERROR(Q994*R994/100,""))</x:f>
      </x:c>
      <x:c r="T994" s="55"/>
      <x:c r="U994" s="55"/>
      <x:c r="V994" s="55" t="str">
        <x:f>IF(U994="","",U994-TODAY())</x:f>
      </x:c>
      <x:c r="W994" s="55" t="str">
        <x:f>IF(AND(U994&lt;&gt;"",U994&lt;TODAY(),O994="Активен"),"ДА","")</x:f>
      </x:c>
      <x:c r="X994" s="55"/>
      <x:c r="Y994" s="55"/>
      <x:c r="Z994" s="55"/>
      <x:c r="AA994" s="55"/>
      <x:c r="AB994" s="55" t="str">
        <x:f>IF(C994="","", "Напиши " &amp; AA994 &amp; " за бизнес: " &amp; C994 &amp; ". Тип: " &amp; D994 &amp; ". Град: " &amp; E994 &amp; ". Проблем: " &amp; L994 &amp; ". Предложение: " &amp; M994 &amp; ". Етап: " &amp; N994 &amp; ". Бележки: " &amp; Y994)</x:f>
      </x:c>
      <x:c r="AC994" s="55"/>
    </x:row>
    <x:row r="995">
      <x:c r="A995" s="55"/>
      <x:c r="B995" s="55"/>
      <x:c r="C995" s="55"/>
      <x:c r="D995" s="55"/>
      <x:c r="E995" s="55"/>
      <x:c r="F995" s="55"/>
      <x:c r="G995" s="55"/>
      <x:c r="H995" s="55"/>
      <x:c r="I995" s="55"/>
      <x:c r="J995" s="55"/>
      <x:c r="K995" s="55"/>
      <x:c r="L995" s="55"/>
      <x:c r="M995" s="55"/>
      <x:c r="N995" s="55"/>
      <x:c r="O995" s="55"/>
      <x:c r="P995" s="55"/>
      <x:c r="Q995" s="55"/>
      <x:c r="R995" s="55"/>
      <x:c r="S995" s="55" t="str">
        <x:f>IF(C995="","",IFERROR(Q995*R995/100,""))</x:f>
      </x:c>
      <x:c r="T995" s="55"/>
      <x:c r="U995" s="55"/>
      <x:c r="V995" s="55" t="str">
        <x:f>IF(U995="","",U995-TODAY())</x:f>
      </x:c>
      <x:c r="W995" s="55" t="str">
        <x:f>IF(AND(U995&lt;&gt;"",U995&lt;TODAY(),O995="Активен"),"ДА","")</x:f>
      </x:c>
      <x:c r="X995" s="55"/>
      <x:c r="Y995" s="55"/>
      <x:c r="Z995" s="55"/>
      <x:c r="AA995" s="55"/>
      <x:c r="AB995" s="55" t="str">
        <x:f>IF(C995="","", "Напиши " &amp; AA995 &amp; " за бизнес: " &amp; C995 &amp; ". Тип: " &amp; D995 &amp; ". Град: " &amp; E995 &amp; ". Проблем: " &amp; L995 &amp; ". Предложение: " &amp; M995 &amp; ". Етап: " &amp; N995 &amp; ". Бележки: " &amp; Y995)</x:f>
      </x:c>
      <x:c r="AC995" s="55"/>
    </x:row>
    <x:row r="996">
      <x:c r="A996" s="55"/>
      <x:c r="B996" s="55"/>
      <x:c r="C996" s="55"/>
      <x:c r="D996" s="55"/>
      <x:c r="E996" s="55"/>
      <x:c r="F996" s="55"/>
      <x:c r="G996" s="55"/>
      <x:c r="H996" s="55"/>
      <x:c r="I996" s="55"/>
      <x:c r="J996" s="55"/>
      <x:c r="K996" s="55"/>
      <x:c r="L996" s="55"/>
      <x:c r="M996" s="55"/>
      <x:c r="N996" s="55"/>
      <x:c r="O996" s="55"/>
      <x:c r="P996" s="55"/>
      <x:c r="Q996" s="55"/>
      <x:c r="R996" s="55"/>
      <x:c r="S996" s="55" t="str">
        <x:f>IF(C996="","",IFERROR(Q996*R996/100,""))</x:f>
      </x:c>
      <x:c r="T996" s="55"/>
      <x:c r="U996" s="55"/>
      <x:c r="V996" s="55" t="str">
        <x:f>IF(U996="","",U996-TODAY())</x:f>
      </x:c>
      <x:c r="W996" s="55" t="str">
        <x:f>IF(AND(U996&lt;&gt;"",U996&lt;TODAY(),O996="Активен"),"ДА","")</x:f>
      </x:c>
      <x:c r="X996" s="55"/>
      <x:c r="Y996" s="55"/>
      <x:c r="Z996" s="55"/>
      <x:c r="AA996" s="55"/>
      <x:c r="AB996" s="55" t="str">
        <x:f>IF(C996="","", "Напиши " &amp; AA996 &amp; " за бизнес: " &amp; C996 &amp; ". Тип: " &amp; D996 &amp; ". Град: " &amp; E996 &amp; ". Проблем: " &amp; L996 &amp; ". Предложение: " &amp; M996 &amp; ". Етап: " &amp; N996 &amp; ". Бележки: " &amp; Y996)</x:f>
      </x:c>
      <x:c r="AC996" s="55"/>
    </x:row>
    <x:row r="997">
      <x:c r="A997" s="55"/>
      <x:c r="B997" s="55"/>
      <x:c r="C997" s="55"/>
      <x:c r="D997" s="55"/>
      <x:c r="E997" s="55"/>
      <x:c r="F997" s="55"/>
      <x:c r="G997" s="55"/>
      <x:c r="H997" s="55"/>
      <x:c r="I997" s="55"/>
      <x:c r="J997" s="55"/>
      <x:c r="K997" s="55"/>
      <x:c r="L997" s="55"/>
      <x:c r="M997" s="55"/>
      <x:c r="N997" s="55"/>
      <x:c r="O997" s="55"/>
      <x:c r="P997" s="55"/>
      <x:c r="Q997" s="55"/>
      <x:c r="R997" s="55"/>
      <x:c r="S997" s="55" t="str">
        <x:f>IF(C997="","",IFERROR(Q997*R997/100,""))</x:f>
      </x:c>
      <x:c r="T997" s="55"/>
      <x:c r="U997" s="55"/>
      <x:c r="V997" s="55" t="str">
        <x:f>IF(U997="","",U997-TODAY())</x:f>
      </x:c>
      <x:c r="W997" s="55" t="str">
        <x:f>IF(AND(U997&lt;&gt;"",U997&lt;TODAY(),O997="Активен"),"ДА","")</x:f>
      </x:c>
      <x:c r="X997" s="55"/>
      <x:c r="Y997" s="55"/>
      <x:c r="Z997" s="55"/>
      <x:c r="AA997" s="55"/>
      <x:c r="AB997" s="55" t="str">
        <x:f>IF(C997="","", "Напиши " &amp; AA997 &amp; " за бизнес: " &amp; C997 &amp; ". Тип: " &amp; D997 &amp; ". Град: " &amp; E997 &amp; ". Проблем: " &amp; L997 &amp; ". Предложение: " &amp; M997 &amp; ". Етап: " &amp; N997 &amp; ". Бележки: " &amp; Y997)</x:f>
      </x:c>
      <x:c r="AC997" s="55"/>
    </x:row>
    <x:row r="998">
      <x:c r="A998" s="55"/>
      <x:c r="B998" s="55"/>
      <x:c r="C998" s="55"/>
      <x:c r="D998" s="55"/>
      <x:c r="E998" s="55"/>
      <x:c r="F998" s="55"/>
      <x:c r="G998" s="55"/>
      <x:c r="H998" s="55"/>
      <x:c r="I998" s="55"/>
      <x:c r="J998" s="55"/>
      <x:c r="K998" s="55"/>
      <x:c r="L998" s="55"/>
      <x:c r="M998" s="55"/>
      <x:c r="N998" s="55"/>
      <x:c r="O998" s="55"/>
      <x:c r="P998" s="55"/>
      <x:c r="Q998" s="55"/>
      <x:c r="R998" s="55"/>
      <x:c r="S998" s="55" t="str">
        <x:f>IF(C998="","",IFERROR(Q998*R998/100,""))</x:f>
      </x:c>
      <x:c r="T998" s="55"/>
      <x:c r="U998" s="55"/>
      <x:c r="V998" s="55" t="str">
        <x:f>IF(U998="","",U998-TODAY())</x:f>
      </x:c>
      <x:c r="W998" s="55" t="str">
        <x:f>IF(AND(U998&lt;&gt;"",U998&lt;TODAY(),O998="Активен"),"ДА","")</x:f>
      </x:c>
      <x:c r="X998" s="55"/>
      <x:c r="Y998" s="55"/>
      <x:c r="Z998" s="55"/>
      <x:c r="AA998" s="55"/>
      <x:c r="AB998" s="55" t="str">
        <x:f>IF(C998="","", "Напиши " &amp; AA998 &amp; " за бизнес: " &amp; C998 &amp; ". Тип: " &amp; D998 &amp; ". Град: " &amp; E998 &amp; ". Проблем: " &amp; L998 &amp; ". Предложение: " &amp; M998 &amp; ". Етап: " &amp; N998 &amp; ". Бележки: " &amp; Y998)</x:f>
      </x:c>
      <x:c r="AC998" s="55"/>
    </x:row>
    <x:row r="999">
      <x:c r="A999" s="55"/>
      <x:c r="B999" s="55"/>
      <x:c r="C999" s="55"/>
      <x:c r="D999" s="55"/>
      <x:c r="E999" s="55"/>
      <x:c r="F999" s="55"/>
      <x:c r="G999" s="55"/>
      <x:c r="H999" s="55"/>
      <x:c r="I999" s="55"/>
      <x:c r="J999" s="55"/>
      <x:c r="K999" s="55"/>
      <x:c r="L999" s="55"/>
      <x:c r="M999" s="55"/>
      <x:c r="N999" s="55"/>
      <x:c r="O999" s="55"/>
      <x:c r="P999" s="55"/>
      <x:c r="Q999" s="55"/>
      <x:c r="R999" s="55"/>
      <x:c r="S999" s="55" t="str">
        <x:f>IF(C999="","",IFERROR(Q999*R999/100,""))</x:f>
      </x:c>
      <x:c r="T999" s="55"/>
      <x:c r="U999" s="55"/>
      <x:c r="V999" s="55" t="str">
        <x:f>IF(U999="","",U999-TODAY())</x:f>
      </x:c>
      <x:c r="W999" s="55" t="str">
        <x:f>IF(AND(U999&lt;&gt;"",U999&lt;TODAY(),O999="Активен"),"ДА","")</x:f>
      </x:c>
      <x:c r="X999" s="55"/>
      <x:c r="Y999" s="55"/>
      <x:c r="Z999" s="55"/>
      <x:c r="AA999" s="55"/>
      <x:c r="AB999" s="55" t="str">
        <x:f>IF(C999="","", "Напиши " &amp; AA999 &amp; " за бизнес: " &amp; C999 &amp; ". Тип: " &amp; D999 &amp; ". Град: " &amp; E999 &amp; ". Проблем: " &amp; L999 &amp; ". Предложение: " &amp; M999 &amp; ". Етап: " &amp; N999 &amp; ". Бележки: " &amp; Y999)</x:f>
      </x:c>
      <x:c r="AC999" s="55"/>
    </x:row>
    <x:row r="1000">
      <x:c r="A1000" s="55"/>
      <x:c r="B1000" s="55"/>
      <x:c r="C1000" s="55"/>
      <x:c r="D1000" s="55"/>
      <x:c r="E1000" s="55"/>
      <x:c r="F1000" s="55"/>
      <x:c r="G1000" s="55"/>
      <x:c r="H1000" s="55"/>
      <x:c r="I1000" s="55"/>
      <x:c r="J1000" s="55"/>
      <x:c r="K1000" s="55"/>
      <x:c r="L1000" s="55"/>
      <x:c r="M1000" s="55"/>
      <x:c r="N1000" s="55"/>
      <x:c r="O1000" s="55"/>
      <x:c r="P1000" s="55"/>
      <x:c r="Q1000" s="55"/>
      <x:c r="R1000" s="55"/>
      <x:c r="S1000" s="55" t="str">
        <x:f>IF(C1000="","",IFERROR(Q1000*R1000/100,""))</x:f>
      </x:c>
      <x:c r="T1000" s="55"/>
      <x:c r="U1000" s="55"/>
      <x:c r="V1000" s="55" t="str">
        <x:f>IF(U1000="","",U1000-TODAY())</x:f>
      </x:c>
      <x:c r="W1000" s="55" t="str">
        <x:f>IF(AND(U1000&lt;&gt;"",U1000&lt;TODAY(),O1000="Активен"),"ДА","")</x:f>
      </x:c>
      <x:c r="X1000" s="55"/>
      <x:c r="Y1000" s="55"/>
      <x:c r="Z1000" s="55"/>
      <x:c r="AA1000" s="55"/>
      <x:c r="AB1000" s="55" t="str">
        <x:f>IF(C1000="","", "Напиши " &amp; AA1000 &amp; " за бизнес: " &amp; C1000 &amp; ". Тип: " &amp; D1000 &amp; ". Град: " &amp; E1000 &amp; ". Проблем: " &amp; L1000 &amp; ". Предложение: " &amp; M1000 &amp; ". Етап: " &amp; N1000 &amp; ". Бележки: " &amp; Y1000)</x:f>
      </x:c>
      <x:c r="AC1000" s="55"/>
    </x:row>
    <x:row r="1001">
      <x:c r="A1001" s="55"/>
      <x:c r="B1001" s="55"/>
      <x:c r="C1001" s="55"/>
      <x:c r="D1001" s="55"/>
      <x:c r="E1001" s="55"/>
      <x:c r="F1001" s="55"/>
      <x:c r="G1001" s="55"/>
      <x:c r="H1001" s="55"/>
      <x:c r="I1001" s="55"/>
      <x:c r="J1001" s="55"/>
      <x:c r="K1001" s="55"/>
      <x:c r="L1001" s="55"/>
      <x:c r="M1001" s="55"/>
      <x:c r="N1001" s="55"/>
      <x:c r="O1001" s="55"/>
      <x:c r="P1001" s="55"/>
      <x:c r="Q1001" s="55"/>
      <x:c r="R1001" s="55"/>
      <x:c r="S1001" s="55" t="str">
        <x:f>IF(C1001="","",IFERROR(Q1001*R1001/100,""))</x:f>
      </x:c>
      <x:c r="T1001" s="55"/>
      <x:c r="U1001" s="55"/>
      <x:c r="V1001" s="55" t="str">
        <x:f>IF(U1001="","",U1001-TODAY())</x:f>
      </x:c>
      <x:c r="W1001" s="55" t="str">
        <x:f>IF(AND(U1001&lt;&gt;"",U1001&lt;TODAY(),O1001="Активен"),"ДА","")</x:f>
      </x:c>
      <x:c r="X1001" s="55"/>
      <x:c r="Y1001" s="55"/>
      <x:c r="Z1001" s="55"/>
      <x:c r="AA1001" s="55"/>
      <x:c r="AB1001" s="55" t="str">
        <x:f>IF(C1001="","", "Напиши " &amp; AA1001 &amp; " за бизнес: " &amp; C1001 &amp; ". Тип: " &amp; D1001 &amp; ". Град: " &amp; E1001 &amp; ". Проблем: " &amp; L1001 &amp; ". Предложение: " &amp; M1001 &amp; ". Етап: " &amp; N1001 &amp; ". Бележки: " &amp; Y1001)</x:f>
      </x:c>
      <x:c r="AC1001" s="55"/>
    </x:row>
  </x:sheetData>
  <x:conditionalFormatting sqref="A2:AC1001">
    <x:cfRule type="expression" dxfId="0" priority="1">
      <x:formula>$W2="ДА"</x:formula>
    </x:cfRule>
    <x:cfRule type="expression" dxfId="1" priority="2">
      <x:formula>$N2="Спечелен"</x:formula>
    </x:cfRule>
    <x:cfRule type="expression" dxfId="2" priority="3">
      <x:formula>$N2="Загубен"</x:formula>
    </x:cfRule>
  </x:conditionalFormatting>
  <x:conditionalFormatting sqref="Q2:S1001">
    <x:cfRule type="dataBar" priority="4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{54262D8C-F7C0-04F3-E024-A9B9BE27F836}</x14:id>
        </x:ext>
      </x:extLst>
    </x:cfRule>
  </x:conditionalFormatting>
  <x:dataValidations count="8">
    <x:dataValidation type="list" sqref="D2:D1001">
      <x:formula1>Settings!$C$3:$C$12</x:formula1>
    </x:dataValidation>
    <x:dataValidation type="list" sqref="F2:F1001">
      <x:formula1>Settings!$E$3:$E$12</x:formula1>
    </x:dataValidation>
    <x:dataValidation type="list" sqref="K2:K1001">
      <x:formula1>"Да,Не,Не знам"</x:formula1>
    </x:dataValidation>
    <x:dataValidation type="list" sqref="M2:M1001">
      <x:formula1>Settings!$D$3:$D$12</x:formula1>
    </x:dataValidation>
    <x:dataValidation type="list" sqref="N2:N1001">
      <x:formula1>Settings!$A$3:$A$12</x:formula1>
    </x:dataValidation>
    <x:dataValidation type="list" sqref="O2:O1001">
      <x:formula1>Settings!$B$3:$B$6</x:formula1>
    </x:dataValidation>
    <x:dataValidation type="list" sqref="P2:P1001">
      <x:formula1>Settings!$F$3:$F$6</x:formula1>
    </x:dataValidation>
    <x:dataValidation type="list" sqref="AA2:AA1001">
      <x:formula1>"first_message,follow_up,offer,rejection_recovery,client_analysis,daily_plan"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96313826284f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4262D8C-F7C0-04F3-E024-A9B9BE27F836}">
            <x14:dataBar gradient="1">
              <x14:cfvo type="min"/>
              <x14:cfvo type="max"/>
              <x14:fillColor rgb="FF2563EB"/>
            </x14:dataBar>
          </x14:cfRule>
          <xm:sqref>Q2:S1001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5" hidden="0" customWidth="1"/>
    <x:col min="5" max="5" width="18" hidden="0" customWidth="1"/>
    <x:col min="6" max="6" width="16" hidden="0" customWidth="1"/>
    <x:col min="7" max="7" width="15" hidden="0" customWidth="1"/>
    <x:col min="8" max="8" width="34" hidden="0" customWidth="1"/>
    <x:col min="9" max="9" width="16" hidden="0" customWidth="1"/>
    <x:col min="10" max="10" width="32" hidden="0" customWidth="1"/>
  </x:cols>
  <x:sheetData>
    <x:row r="1" ht="34" customHeight="1">
      <x:c r="A1" s="120" t="str">
        <x:v>ДНЕС — задачи за контакт</x:v>
      </x:c>
      <x:c r="B1" s="120" t="str"/>
      <x:c r="C1" s="120" t="str"/>
      <x:c r="D1" s="120" t="str"/>
      <x:c r="E1" s="120" t="str"/>
      <x:c r="F1" s="120" t="str"/>
      <x:c r="G1" s="122" t="str"/>
      <x:c r="H1" s="120" t="str"/>
      <x:c r="I1" s="120" t="str"/>
      <x:c r="J1" s="120" t="str"/>
      <x:c r="K1" s="268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114" t="str">
        <x:v>ID</x:v>
      </x:c>
      <x:c r="B3" s="114" t="str">
        <x:v>Бизнес</x:v>
      </x:c>
      <x:c r="C3" s="114" t="str">
        <x:v>Тип</x:v>
      </x:c>
      <x:c r="D3" s="114" t="str">
        <x:v>Град</x:v>
      </x:c>
      <x:c r="E3" s="114" t="str">
        <x:v>Етап</x:v>
      </x:c>
      <x:c r="F3" s="114" t="str">
        <x:v>Телефон</x:v>
      </x:c>
      <x:c r="G3" s="114" t="str">
        <x:v>Следващ контакт</x:v>
      </x:c>
      <x:c r="H3" s="114" t="str">
        <x:v>Действие</x:v>
      </x:c>
      <x:c r="I3" s="114" t="str">
        <x:v>AI задача</x:v>
      </x:c>
      <x:c r="J3" s="114" t="str">
        <x:v>Бележки</x:v>
      </x:c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>
        <x:f>FILTER(Leads!A2:A1001,(Leads!U2:U1001&lt;=TODAY())*(Leads!O2:O1001="Активен"),"Няма задачи за днес")</x:f>
        <x:v>Няма задачи за днес</x:v>
      </x:c>
      <x:c r="B4" s="268" t="str">
        <x:f>FILTER(Leads!C2:C1001,(Leads!U2:U1001&lt;=TODAY())*(Leads!O2:O1001="Активен"),"")</x:f>
      </x:c>
      <x:c r="C4" s="268" t="str">
        <x:f>FILTER(Leads!D2:D1001,(Leads!U2:U1001&lt;=TODAY())*(Leads!O2:O1001="Активен"),"")</x:f>
      </x:c>
      <x:c r="D4" s="268" t="str">
        <x:f>FILTER(Leads!E2:E1001,(Leads!U2:U1001&lt;=TODAY())*(Leads!O2:O1001="Активен"),"")</x:f>
      </x:c>
      <x:c r="E4" s="268" t="str">
        <x:f>FILTER(Leads!N2:N1001,(Leads!U2:U1001&lt;=TODAY())*(Leads!O2:O1001="Активен"),"")</x:f>
      </x:c>
      <x:c r="F4" s="268" t="str">
        <x:f>FILTER(Leads!G2:G1001,(Leads!U2:U1001&lt;=TODAY())*(Leads!O2:O1001="Активен"),"")</x:f>
      </x:c>
      <x:c r="G4" s="268" t="str">
        <x:f>FILTER(Leads!U2:U1001,(Leads!U2:U1001&lt;=TODAY())*(Leads!O2:O1001="Активен"),"")</x:f>
      </x:c>
      <x:c r="H4" s="268" t="str">
        <x:f>FILTER(Leads!X2:X1001,(Leads!U2:U1001&lt;=TODAY())*(Leads!O2:O1001="Активен"),"")</x:f>
      </x:c>
      <x:c r="I4" s="268" t="str">
        <x:f>FILTER(Leads!AA2:AA1001,(Leads!U2:U1001&lt;=TODAY())*(Leads!O2:O1001="Активен"),"")</x:f>
      </x:c>
      <x:c r="J4" s="268" t="str">
        <x:f>FILTER(Leads!Y2:Y1001,(Leads!U2:U1001&lt;=TODAY())*(Leads!O2:O1001="Активен"),"")</x:f>
      </x:c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14" hidden="0" customWidth="1"/>
    <x:col min="9" max="9" width="12" hidden="0" customWidth="1"/>
    <x:col min="10" max="10" width="15" hidden="0" customWidth="1"/>
    <x:col min="11" max="11" width="34" hidden="0" customWidth="1"/>
    <x:col min="12" max="12" width="32" hidden="0" customWidth="1"/>
  </x:cols>
  <x:sheetData>
    <x:row r="1" ht="34" customHeight="1">
      <x:c r="A1" s="148" t="str">
        <x:v>PIPELINE — активни lead-ове по етап</x:v>
      </x:c>
      <x:c r="B1" s="148" t="str"/>
      <x:c r="C1" s="148" t="str"/>
      <x:c r="D1" s="148" t="str"/>
      <x:c r="E1" s="148" t="str"/>
      <x:c r="F1" s="148" t="str"/>
      <x:c r="G1" s="148" t="str"/>
      <x:c r="H1" s="149" t="str"/>
      <x:c r="I1" s="150" t="str"/>
      <x:c r="J1" s="151" t="str"/>
      <x:c r="K1" s="148" t="str"/>
      <x:c r="L1" s="148" t="str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136" t="str">
        <x:v>ID</x:v>
      </x:c>
      <x:c r="B3" s="136" t="str">
        <x:v>Бизнес</x:v>
      </x:c>
      <x:c r="C3" s="136" t="str">
        <x:v>Тип</x:v>
      </x:c>
      <x:c r="D3" s="136" t="str">
        <x:v>Град</x:v>
      </x:c>
      <x:c r="E3" s="136" t="str">
        <x:v>Етап</x:v>
      </x:c>
      <x:c r="F3" s="136" t="str">
        <x:v>Статус</x:v>
      </x:c>
      <x:c r="G3" s="136" t="str">
        <x:v>Приоритет</x:v>
      </x:c>
      <x:c r="H3" s="136" t="str">
        <x:v>Потенциал</x:v>
      </x:c>
      <x:c r="I3" s="136" t="str">
        <x:v>Вероятност</x:v>
      </x:c>
      <x:c r="J3" s="136" t="str">
        <x:v>Следващ контакт</x:v>
      </x:c>
      <x:c r="K3" s="136" t="str">
        <x:v>Действие</x:v>
      </x:c>
      <x:c r="L3" s="136" t="str">
        <x:v>Бележки</x:v>
      </x:c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 cm="1">
        <x:f t="array" ref="A4:A8">FILTER(Leads!A2:A1001,(Leads!O2:O1001="Активен"),"")</x:f>
      </x:c>
      <x:c r="B4" s="268" t="str" cm="1">
        <x:f t="array" ref="B4:B8">FILTER(Leads!C2:C1001,(Leads!O2:O1001="Активен"),"")</x:f>
      </x:c>
      <x:c r="C4" s="268" t="str" cm="1">
        <x:f t="array" ref="C4:C8">FILTER(Leads!D2:D1001,(Leads!O2:O1001="Активен"),"")</x:f>
      </x:c>
      <x:c r="D4" s="268" t="str" cm="1">
        <x:f t="array" ref="D4:D8">FILTER(Leads!E2:E1001,(Leads!O2:O1001="Активен"),"")</x:f>
      </x:c>
      <x:c r="E4" s="268" t="str" cm="1">
        <x:f t="array" ref="E4:E8">FILTER(Leads!N2:N1001,(Leads!O2:O1001="Активен"),"")</x:f>
      </x:c>
      <x:c r="F4" s="268" t="str" cm="1">
        <x:f t="array" ref="F4:F8">FILTER(Leads!O2:O1001,(Leads!O2:O1001="Активен"),"")</x:f>
      </x:c>
      <x:c r="G4" s="268" t="str" cm="1">
        <x:f t="array" ref="G4:G8">FILTER(Leads!P2:P1001,(Leads!O2:O1001="Активен"),"")</x:f>
      </x:c>
      <x:c r="H4" s="268" t="str" cm="1">
        <x:f t="array" ref="H4:H8">FILTER(Leads!Q2:Q1001,(Leads!O2:O1001="Активен"),"")</x:f>
      </x:c>
      <x:c r="I4" s="268" t="str" cm="1">
        <x:f t="array" ref="I4:I8">FILTER(Leads!R2:R1001,(Leads!O2:O1001="Активен"),"")</x:f>
      </x:c>
      <x:c r="J4" s="268" t="str" cm="1">
        <x:f t="array" ref="J4:J8">FILTER(Leads!U2:U1001,(Leads!O2:O1001="Активен"),"")</x:f>
      </x:c>
      <x:c r="K4" s="268" t="str" cm="1">
        <x:f t="array" ref="K4:K8">FILTER(Leads!X2:X1001,(Leads!O2:O1001="Активен"),"")</x:f>
      </x:c>
      <x:c r="L4" s="268" t="str" cm="1">
        <x:f t="array" ref="L4:L8">FILTER(Leads!Y2:Y1001,(Leads!O2:O1001="Активен"),"")</x:f>
      </x:c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24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34" hidden="0" customWidth="1"/>
  </x:cols>
  <x:sheetData>
    <x:row r="1" ht="34" customHeight="1">
      <x:c r="A1" s="180" t="str">
        <x:v>ОФЕРТИ — клиенти с изпратена цена</x:v>
      </x:c>
      <x:c r="B1" s="180" t="str"/>
      <x:c r="C1" s="180" t="str"/>
      <x:c r="D1" s="180" t="str"/>
      <x:c r="E1" s="180" t="str"/>
      <x:c r="F1" s="180" t="str"/>
      <x:c r="G1" s="181" t="str"/>
      <x:c r="H1" s="182" t="str"/>
      <x:c r="I1" s="181" t="str"/>
      <x:c r="J1" s="183" t="str"/>
      <x:c r="K1" s="180" t="str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168" t="str">
        <x:v>ID</x:v>
      </x:c>
      <x:c r="B3" s="168" t="str">
        <x:v>Бизнес</x:v>
      </x:c>
      <x:c r="C3" s="168" t="str">
        <x:v>Тип</x:v>
      </x:c>
      <x:c r="D3" s="168" t="str">
        <x:v>Град</x:v>
      </x:c>
      <x:c r="E3" s="168" t="str">
        <x:v>Услуга</x:v>
      </x:c>
      <x:c r="F3" s="168" t="str">
        <x:v>Етап</x:v>
      </x:c>
      <x:c r="G3" s="168" t="str">
        <x:v>Цена</x:v>
      </x:c>
      <x:c r="H3" s="168" t="str">
        <x:v>Вероятност</x:v>
      </x:c>
      <x:c r="I3" s="168" t="str">
        <x:v>Очаквана стойност</x:v>
      </x:c>
      <x:c r="J3" s="168" t="str">
        <x:v>Следващ контакт</x:v>
      </x:c>
      <x:c r="K3" s="168" t="str">
        <x:v>Действие</x:v>
      </x:c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 cm="1">
        <x:f t="array" ref="A4:A5">FILTER(Leads!A2:A1001,((Leads!N2:N1001="Изпратена оферта")+(Leads!N2:N1001="Чака отговор"))*(Leads!O2:O1001&lt;&gt;"Пример"),"")</x:f>
      </x:c>
      <x:c r="B4" s="268" t="str" cm="1">
        <x:f t="array" ref="B4:B5">FILTER(Leads!C2:C1001,((Leads!N2:N1001="Изпратена оферта")+(Leads!N2:N1001="Чака отговор"))*(Leads!O2:O1001&lt;&gt;"Пример"),"")</x:f>
      </x:c>
      <x:c r="C4" s="268" t="str" cm="1">
        <x:f t="array" ref="C4:C5">FILTER(Leads!D2:D1001,((Leads!N2:N1001="Изпратена оферта")+(Leads!N2:N1001="Чака отговор"))*(Leads!O2:O1001&lt;&gt;"Пример"),"")</x:f>
      </x:c>
      <x:c r="D4" s="268" t="str" cm="1">
        <x:f t="array" ref="D4:D5">FILTER(Leads!E2:E1001,((Leads!N2:N1001="Изпратена оферта")+(Leads!N2:N1001="Чака отговор"))*(Leads!O2:O1001&lt;&gt;"Пример"),"")</x:f>
      </x:c>
      <x:c r="E4" s="268" t="str" cm="1">
        <x:f t="array" ref="E4:E5">FILTER(Leads!M2:M1001,((Leads!N2:N1001="Изпратена оферта")+(Leads!N2:N1001="Чака отговор"))*(Leads!O2:O1001&lt;&gt;"Пример"),"")</x:f>
      </x:c>
      <x:c r="F4" s="268" t="str" cm="1">
        <x:f t="array" ref="F4:F5">FILTER(Leads!N2:N1001,((Leads!N2:N1001="Изпратена оферта")+(Leads!N2:N1001="Чака отговор"))*(Leads!O2:O1001&lt;&gt;"Пример"),"")</x:f>
      </x:c>
      <x:c r="G4" s="268" t="str" cm="1">
        <x:f t="array" ref="G4:G5">FILTER(Leads!Q2:Q1001,((Leads!N2:N1001="Изпратена оферта")+(Leads!N2:N1001="Чака отговор"))*(Leads!O2:O1001&lt;&gt;"Пример"),"")</x:f>
      </x:c>
      <x:c r="H4" s="268" t="str" cm="1">
        <x:f t="array" ref="H4:H5">FILTER(Leads!R2:R1001,((Leads!N2:N1001="Изпратена оферта")+(Leads!N2:N1001="Чака отговор"))*(Leads!O2:O1001&lt;&gt;"Пример"),"")</x:f>
      </x:c>
      <x:c r="I4" s="268" t="str" cm="1">
        <x:f t="array" ref="I4:I5">FILTER(Leads!S2:S1001,((Leads!N2:N1001="Изпратена оферта")+(Leads!N2:N1001="Чака отговор"))*(Leads!O2:O1001&lt;&gt;"Пример"),"")</x:f>
      </x:c>
      <x:c r="J4" s="268" t="str" cm="1">
        <x:f t="array" ref="J4:J5">FILTER(Leads!U2:U1001,((Leads!N2:N1001="Изпратена оферта")+(Leads!N2:N1001="Чака отговор"))*(Leads!O2:O1001&lt;&gt;"Пример"),"")</x:f>
      </x:c>
      <x:c r="K4" s="268" t="str" cm="1">
        <x:f t="array" ref="K4:K5">FILTER(Leads!X2:X1001,((Leads!N2:N1001="Изпратена оферта")+(Leads!N2:N1001="Чака отговор"))*(Leads!O2:O1001&lt;&gt;"Пример"),"")</x:f>
      </x:c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24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32" hidden="0" customWidth="1"/>
    <x:col min="12" max="12" width="14" hidden="0" customWidth="1"/>
  </x:cols>
  <x:sheetData>
    <x:row r="1" ht="34" customHeight="1">
      <x:c r="A1" s="210" t="str">
        <x:v>СПЕЧЕЛЕНИ КЛИЕНТИ — приходи и поддръжка</x:v>
      </x:c>
      <x:c r="B1" s="210" t="str"/>
      <x:c r="C1" s="210" t="str"/>
      <x:c r="D1" s="210" t="str"/>
      <x:c r="E1" s="210" t="str"/>
      <x:c r="F1" s="211" t="str"/>
      <x:c r="G1" s="211" t="str"/>
      <x:c r="H1" s="212" t="str"/>
      <x:c r="I1" s="212" t="str"/>
      <x:c r="J1" s="210" t="str"/>
      <x:c r="K1" s="210" t="str"/>
      <x:c r="L1" s="210" t="str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200" t="str">
        <x:v>ID</x:v>
      </x:c>
      <x:c r="B3" s="200" t="str">
        <x:v>Клиент</x:v>
      </x:c>
      <x:c r="C3" s="200" t="str">
        <x:v>Тип</x:v>
      </x:c>
      <x:c r="D3" s="200" t="str">
        <x:v>Град</x:v>
      </x:c>
      <x:c r="E3" s="200" t="str">
        <x:v>Услуга</x:v>
      </x:c>
      <x:c r="F3" s="200" t="str">
        <x:v>Еднократна цена</x:v>
      </x:c>
      <x:c r="G3" s="200" t="str">
        <x:v>Месечна поддръжка</x:v>
      </x:c>
      <x:c r="H3" s="200" t="str">
        <x:v>Дата старт</x:v>
      </x:c>
      <x:c r="I3" s="200" t="str">
        <x:v>Следваща фактура</x:v>
      </x:c>
      <x:c r="J3" s="200" t="str">
        <x:v>Контакт</x:v>
      </x:c>
      <x:c r="K3" s="200" t="str">
        <x:v>Бележки</x:v>
      </x:c>
      <x:c r="L3" s="200" t="str">
        <x:v>Статус</x:v>
      </x:c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>
        <x:f>FILTER(Leads!A2:A1001,(Leads!N2:N1001="Спечелен")*(Leads!O2:O1001&lt;&gt;"Пример"),"")</x:f>
      </x:c>
      <x:c r="B4" s="268" t="str">
        <x:f>FILTER(Leads!C2:C1001,(Leads!N2:N1001="Спечелен")*(Leads!O2:O1001&lt;&gt;"Пример"),"")</x:f>
      </x:c>
      <x:c r="C4" s="268" t="str">
        <x:f>FILTER(Leads!D2:D1001,(Leads!N2:N1001="Спечелен")*(Leads!O2:O1001&lt;&gt;"Пример"),"")</x:f>
      </x:c>
      <x:c r="D4" s="268" t="str">
        <x:f>FILTER(Leads!E2:E1001,(Leads!N2:N1001="Спечелен")*(Leads!O2:O1001&lt;&gt;"Пример"),"")</x:f>
      </x:c>
      <x:c r="E4" s="268" t="str">
        <x:f>FILTER(Leads!M2:M1001,(Leads!N2:N1001="Спечелен")*(Leads!O2:O1001&lt;&gt;"Пример"),"")</x:f>
      </x:c>
      <x:c r="F4" s="268" t="str">
        <x:f>FILTER(Leads!Q2:Q1001,(Leads!N2:N1001="Спечелен")*(Leads!O2:O1001&lt;&gt;"Пример"),"")</x:f>
      </x:c>
      <x:c r="G4" s="268"/>
      <x:c r="H4" s="268"/>
      <x:c r="I4" s="268"/>
      <x:c r="J4" s="268" t="str">
        <x:f>FILTER(Leads!G2:G1001,(Leads!N2:N1001="Спечелен")*(Leads!O2:O1001&lt;&gt;"Пример"),"")</x:f>
      </x:c>
      <x:c r="K4" s="268" t="str">
        <x:f>FILTER(Leads!Y2:Y1001,(Leads!N2:N1001="Спечелен")*(Leads!O2:O1001&lt;&gt;"Пример"),"")</x:f>
      </x:c>
      <x:c r="L4" s="268" t="str">
        <x:f>FILTER(Leads!O2:O1001,(Leads!N2:N1001="Спечелен")*(Leads!O2:O1001&lt;&gt;"Пример"),"")</x:f>
      </x:c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14" hidden="0" customWidth="1"/>
    <x:col min="5" max="5" width="18" hidden="0" customWidth="1"/>
    <x:col min="6" max="6" width="22" hidden="0" customWidth="1"/>
    <x:col min="7" max="7" width="14" hidden="0" customWidth="1"/>
    <x:col min="8" max="8" width="14" hidden="0" customWidth="1"/>
    <x:col min="9" max="9" width="42" hidden="0" customWidth="1"/>
    <x:col min="10" max="10" width="32" hidden="0" customWidth="1"/>
    <x:col min="11" max="11" width="12" hidden="0" customWidth="1"/>
  </x:cols>
  <x:sheetData>
    <x:row r="1" ht="34" customHeight="1">
      <x:c r="A1" s="236" t="str">
        <x:v>ACTIVITY LOG — история на контактите</x:v>
      </x:c>
      <x:c r="B1" s="237" t="str"/>
      <x:c r="C1" s="237" t="str"/>
      <x:c r="D1" s="237" t="str"/>
      <x:c r="E1" s="237" t="str"/>
      <x:c r="F1" s="237" t="str"/>
      <x:c r="G1" s="236" t="str"/>
      <x:c r="H1" s="237" t="str"/>
      <x:c r="I1" s="237" t="str"/>
      <x:c r="J1" s="237" t="str"/>
      <x:c r="K1" s="237" t="str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228" t="str">
        <x:v>Дата</x:v>
      </x:c>
      <x:c r="B3" s="228" t="str">
        <x:v>Lead ID</x:v>
      </x:c>
      <x:c r="C3" s="228" t="str">
        <x:v>Бизнес</x:v>
      </x:c>
      <x:c r="D3" s="228" t="str">
        <x:v>Канал</x:v>
      </x:c>
      <x:c r="E3" s="228" t="str">
        <x:v>Тип действие</x:v>
      </x:c>
      <x:c r="F3" s="228" t="str">
        <x:v>Резултат</x:v>
      </x:c>
      <x:c r="G3" s="228" t="str">
        <x:v>Следваща дата</x:v>
      </x:c>
      <x:c r="H3" s="228" t="str">
        <x:v>Кой говори</x:v>
      </x:c>
      <x:c r="I3" s="228" t="str">
        <x:v>Съобщение/скрипт</x:v>
      </x:c>
      <x:c r="J3" s="228" t="str">
        <x:v>Бележки</x:v>
      </x:c>
      <x:c r="K3" s="228" t="str">
        <x:v>AI използван?</x:v>
      </x:c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n">
        <x:v>46203</x:v>
      </x:c>
      <x:c r="B4" s="268" t="n">
        <x:v>0</x:v>
      </x:c>
      <x:c r="C4" s="268" t="str">
        <x:v>ПРИМЕР: Ресторант Х</x:v>
      </x:c>
      <x:c r="D4" s="268" t="str">
        <x:v>Viber</x:v>
      </x:c>
      <x:c r="E4" s="268" t="str">
        <x:v>Първо съобщение</x:v>
      </x:c>
      <x:c r="F4" s="268" t="str">
        <x:v>Изпратено / чака отговор</x:v>
      </x:c>
      <x:c r="G4" s="268" t="n">
        <x:v>46203</x:v>
      </x:c>
      <x:c r="H4" s="268" t="str">
        <x:v>Аз</x:v>
      </x:c>
      <x:c r="I4" s="268" t="str">
        <x:v>Кратко първо съобщение за дигитално меню</x:v>
      </x:c>
      <x:c r="J4" s="268" t="str">
        <x:v>Примерен запис — изтрий го, когато започнеш реално</x:v>
      </x:c>
      <x:c r="K4" s="268" t="str">
        <x:v>Да</x:v>
      </x:c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K1"/>
  </x:mergeCells>
  <x:dataValidations count="3">
    <x:dataValidation type="list" sqref="D4:D1000">
      <x:formula1>"Телефон,Viber,Instagram,Facebook,Email,На място,Друго"</x:formula1>
    </x:dataValidation>
    <x:dataValidation type="list" sqref="E4:E1000">
      <x:formula1>"Първо съобщение,Follow-up,Оферта,Обаждане,Среща,Фактура,Поддръжка"</x:formula1>
    </x:dataValidation>
    <x:dataValidation type="list" sqref="K4:K1000">
      <x:formula1>"Да,Не"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69d4c44c6f4d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6" hidden="0" customWidth="1"/>
    <x:col min="5" max="5" width="34" hidden="0" customWidth="1"/>
    <x:col min="6" max="6" width="55" hidden="0" customWidth="1"/>
    <x:col min="7" max="7" width="16" hidden="0" customWidth="1"/>
    <x:col min="8" max="8" width="15" hidden="0" customWidth="1"/>
    <x:col min="9" max="9" width="14" hidden="0" customWidth="1"/>
    <x:col min="10" max="10" width="50" hidden="0" customWidth="1"/>
    <x:col min="11" max="11" width="30" hidden="0" customWidth="1"/>
  </x:cols>
  <x:sheetData>
    <x:row r="1" ht="34" customHeight="1">
      <x:c r="A1" s="260" t="str">
        <x:v>AI QUEUE — готови редове за бъдеща автоматизация</x:v>
      </x:c>
      <x:c r="B1" s="260" t="str"/>
      <x:c r="C1" s="260" t="str"/>
      <x:c r="D1" s="260" t="str"/>
      <x:c r="E1" s="260" t="str"/>
      <x:c r="F1" s="260" t="str"/>
      <x:c r="G1" s="260" t="str"/>
      <x:c r="H1" s="261" t="str"/>
      <x:c r="I1" s="260" t="str"/>
      <x:c r="J1" s="260" t="str"/>
      <x:c r="K1" s="260" t="str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>
      <x:c r="A2" s="268"/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28" customHeight="1">
      <x:c r="A3" s="252" t="str">
        <x:v>ID</x:v>
      </x:c>
      <x:c r="B3" s="252" t="str">
        <x:v>Бизнес</x:v>
      </x:c>
      <x:c r="C3" s="252" t="str">
        <x:v>Етап</x:v>
      </x:c>
      <x:c r="D3" s="252" t="str">
        <x:v>AI задача</x:v>
      </x:c>
      <x:c r="E3" s="252" t="str">
        <x:v>Контекст</x:v>
      </x:c>
      <x:c r="F3" s="252" t="str">
        <x:v>Prompt</x:v>
      </x:c>
      <x:c r="G3" s="252" t="str">
        <x:v>Контакт</x:v>
      </x:c>
      <x:c r="H3" s="252" t="str">
        <x:v>Следващ контакт</x:v>
      </x:c>
      <x:c r="I3" s="252" t="str">
        <x:v>Статус</x:v>
      </x:c>
      <x:c r="J3" s="252" t="str">
        <x:v>Готов текст от AI</x:v>
      </x:c>
      <x:c r="K3" s="252" t="str">
        <x:v>Бележка</x:v>
      </x:c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268" t="str" cm="1">
        <x:f t="array" ref="A4:A8">FILTER(Leads!A2:A1001,(Leads!AA2:AA1001&lt;&gt;"")*(Leads!O2:O1001="Активен"),"")</x:f>
      </x:c>
      <x:c r="B4" s="268" t="str" cm="1">
        <x:f t="array" ref="B4:B8">FILTER(Leads!C2:C1001,(Leads!AA2:AA1001&lt;&gt;"")*(Leads!O2:O1001="Активен"),"")</x:f>
      </x:c>
      <x:c r="C4" s="268" t="str" cm="1">
        <x:f t="array" ref="C4:C8">FILTER(Leads!N2:N1001,(Leads!AA2:AA1001&lt;&gt;"")*(Leads!O2:O1001="Активен"),"")</x:f>
      </x:c>
      <x:c r="D4" s="268" t="str" cm="1">
        <x:f t="array" ref="D4:D8">FILTER(Leads!AA2:AA1001,(Leads!AA2:AA1001&lt;&gt;"")*(Leads!O2:O1001="Активен"),"")</x:f>
      </x:c>
      <x:c r="E4" s="268" t="str" cm="1">
        <x:f t="array" ref="E4:E8">FILTER(Leads!Z2:Z1001,(Leads!AA2:AA1001&lt;&gt;"")*(Leads!O2:O1001="Активен"),"")</x:f>
      </x:c>
      <x:c r="F4" s="268" t="str" cm="1">
        <x:f t="array" ref="F4:F8">FILTER(Leads!AB2:AB1001,(Leads!AA2:AA1001&lt;&gt;"")*(Leads!O2:O1001="Активен"),"")</x:f>
      </x:c>
      <x:c r="G4" s="268" t="str" cm="1">
        <x:f t="array" ref="G4:G8">FILTER(Leads!G2:G1001,(Leads!AA2:AA1001&lt;&gt;"")*(Leads!O2:O1001="Активен"),"")</x:f>
      </x:c>
      <x:c r="H4" s="268" t="str" cm="1">
        <x:f t="array" ref="H4:H8">FILTER(Leads!U2:U1001,(Leads!AA2:AA1001&lt;&gt;"")*(Leads!O2:O1001="Активен"),"")</x:f>
      </x:c>
      <x:c r="I4" s="268" t="str" cm="1">
        <x:f t="array" ref="I4:I8">FILTER(Leads!O2:O1001,(Leads!AA2:AA1001&lt;&gt;"")*(Leads!O2:O1001="Активен"),"")</x:f>
      </x:c>
      <x:c r="J4" s="268"/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268"/>
      <x:c r="B5" s="268"/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268"/>
      <x:c r="B6" s="268"/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268"/>
      <x:c r="B7" s="268"/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268"/>
      <x:c r="B8" s="268"/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268"/>
      <x:c r="B9" s="268"/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268"/>
      <x:c r="B10" s="268"/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268"/>
      <x:c r="B11" s="268"/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/>
      <x:c r="B12" s="268"/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0" hidden="0" customWidth="1"/>
    <x:col min="6" max="6" width="14" hidden="0" customWidth="1"/>
  </x:cols>
  <x:sheetData>
    <x:row r="1" ht="34" customHeight="1">
      <x:c r="A1" s="24" t="str">
        <x:v>CRM Settings / Dropdown Lists</x:v>
      </x:c>
      <x:c r="B1" s="24" t="str"/>
      <x:c r="C1" s="24" t="str"/>
      <x:c r="D1" s="24" t="str"/>
      <x:c r="E1" s="24" t="str"/>
      <x:c r="F1" s="24" t="str"/>
      <x:c r="G1" s="268"/>
      <x:c r="H1" s="268"/>
      <x:c r="I1" s="268"/>
      <x:c r="J1" s="268"/>
      <x:c r="K1" s="268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 ht="28" customHeight="1">
      <x:c r="A2" s="14" t="str">
        <x:v>Stages</x:v>
      </x:c>
      <x:c r="B2" s="14" t="str">
        <x:v>Statuses</x:v>
      </x:c>
      <x:c r="C2" s="14" t="str">
        <x:v>Business Types</x:v>
      </x:c>
      <x:c r="D2" s="14" t="str">
        <x:v>Services</x:v>
      </x:c>
      <x:c r="E2" s="14" t="str">
        <x:v>Sources</x:v>
      </x:c>
      <x:c r="F2" s="14" t="str">
        <x:v>Priorities</x:v>
      </x:c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>
      <x:c r="A3" s="55" t="str">
        <x:v>Нов</x:v>
      </x:c>
      <x:c r="B3" s="55" t="str">
        <x:v>Активен</x:v>
      </x:c>
      <x:c r="C3" s="55" t="str">
        <x:v>Ресторант</x:v>
      </x:c>
      <x:c r="D3" s="55" t="str">
        <x:v>Сайт</x:v>
      </x:c>
      <x:c r="E3" s="55" t="str">
        <x:v>Google Maps</x:v>
      </x:c>
      <x:c r="F3" s="55" t="str">
        <x:v>Нисък</x:v>
      </x:c>
      <x:c r="G3" s="268"/>
      <x:c r="H3" s="268"/>
      <x:c r="I3" s="268"/>
      <x:c r="J3" s="268"/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>
      <x:c r="A4" s="55" t="str">
        <x:v>Писано</x:v>
      </x:c>
      <x:c r="B4" s="55" t="str">
        <x:v>Спечелен</x:v>
      </x:c>
      <x:c r="C4" s="55" t="str">
        <x:v>Козметично студио</x:v>
      </x:c>
      <x:c r="D4" s="55" t="str">
        <x:v>Дигитално меню</x:v>
      </x:c>
      <x:c r="E4" s="55" t="str">
        <x:v>Instagram</x:v>
      </x:c>
      <x:c r="F4" s="55" t="str">
        <x:v>Среден</x:v>
      </x:c>
      <x:c r="G4" s="268"/>
      <x:c r="H4" s="268"/>
      <x:c r="I4" s="268"/>
      <x:c r="J4" s="268"/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>
      <x:c r="A5" s="55" t="str">
        <x:v>Звъннато</x:v>
      </x:c>
      <x:c r="B5" s="55" t="str">
        <x:v>Загубен</x:v>
      </x:c>
      <x:c r="C5" s="55" t="str">
        <x:v>Фризьорски салон</x:v>
      </x:c>
      <x:c r="D5" s="55" t="str">
        <x:v>Сайт + меню</x:v>
      </x:c>
      <x:c r="E5" s="55" t="str">
        <x:v>Facebook</x:v>
      </x:c>
      <x:c r="F5" s="55" t="str">
        <x:v>Висок</x:v>
      </x:c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>
      <x:c r="A6" s="55" t="str">
        <x:v>Отговорил</x:v>
      </x:c>
      <x:c r="B6" s="55" t="str">
        <x:v>Пауза</x:v>
      </x:c>
      <x:c r="C6" s="55" t="str">
        <x:v>Автосервиз</x:v>
      </x:c>
      <x:c r="D6" s="55" t="str">
        <x:v>Онлайн записване</x:v>
      </x:c>
      <x:c r="E6" s="55" t="str">
        <x:v>Препоръка</x:v>
      </x:c>
      <x:c r="F6" s="55" t="str">
        <x:v>Критичен</x:v>
      </x:c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>
      <x:c r="A7" s="55" t="str">
        <x:v>Интерес има</x:v>
      </x:c>
      <x:c r="B7" s="55" t="str">
        <x:v>Пример</x:v>
      </x:c>
      <x:c r="C7" s="55" t="str">
        <x:v>Автомивка</x:v>
      </x:c>
      <x:c r="D7" s="55" t="str">
        <x:v>Поддръжка</x:v>
      </x:c>
      <x:c r="E7" s="55" t="str">
        <x:v>Уебсайт</x:v>
      </x:c>
      <x:c r="F7" s="55" t="str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>
      <x:c r="A8" s="55" t="str">
        <x:v>Изпратена оферта</x:v>
      </x:c>
      <x:c r="B8" s="55" t="str"/>
      <x:c r="C8" s="55" t="str">
        <x:v>Хотел/къща за гости</x:v>
      </x:c>
      <x:c r="D8" s="55" t="str">
        <x:v>SEO базово</x:v>
      </x:c>
      <x:c r="E8" s="55" t="str">
        <x:v>Студен контакт</x:v>
      </x:c>
      <x:c r="F8" s="55" t="str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>
      <x:c r="A9" s="55" t="str">
        <x:v>Чака отговор</x:v>
      </x:c>
      <x:c r="B9" s="55" t="str"/>
      <x:c r="C9" s="55" t="str">
        <x:v>Магазин</x:v>
      </x:c>
      <x:c r="D9" s="55" t="str">
        <x:v>Google ревю бутон</x:v>
      </x:c>
      <x:c r="E9" s="55" t="str">
        <x:v>Viber</x:v>
      </x:c>
      <x:c r="F9" s="55" t="str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>
      <x:c r="A10" s="55" t="str">
        <x:v>Follow-up</x:v>
      </x:c>
      <x:c r="B10" s="55" t="str"/>
      <x:c r="C10" s="55" t="str">
        <x:v>Фитнес/спорт</x:v>
      </x:c>
      <x:c r="D10" s="55" t="str">
        <x:v>Landing page</x:v>
      </x:c>
      <x:c r="E10" s="55" t="str">
        <x:v>Телефон</x:v>
      </x:c>
      <x:c r="F10" s="55" t="str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>
      <x:c r="A11" s="55" t="str">
        <x:v>Спечелен</x:v>
      </x:c>
      <x:c r="B11" s="55" t="str"/>
      <x:c r="C11" s="55" t="str">
        <x:v>Курс/обучение</x:v>
      </x:c>
      <x:c r="D11" s="55" t="str">
        <x:v>Абонаментна поддръжка</x:v>
      </x:c>
      <x:c r="E11" s="55" t="str">
        <x:v>Друго</x:v>
      </x:c>
      <x:c r="F11" s="55" t="str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55" t="str">
        <x:v>Загубен</x:v>
      </x:c>
      <x:c r="B12" s="55" t="str"/>
      <x:c r="C12" s="55" t="str">
        <x:v>Друго</x:v>
      </x:c>
      <x:c r="D12" s="55" t="str">
        <x:v>Автоматизации</x:v>
      </x:c>
      <x:c r="E12" s="55" t="str"/>
      <x:c r="F12" s="55" t="str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55" t="str"/>
      <x:c r="B13" s="55" t="str"/>
      <x:c r="C13" s="55" t="str"/>
      <x:c r="D13" s="55" t="str"/>
      <x:c r="E13" s="55" t="str"/>
      <x:c r="F13" s="55" t="str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72" t="str">
        <x:v>AI Automation Config</x:v>
      </x:c>
      <x:c r="B14" s="272" t="str"/>
      <x:c r="C14" s="272" t="str"/>
      <x:c r="D14" s="272" t="str"/>
      <x:c r="E14" s="272" t="str"/>
      <x:c r="F14" s="272" t="str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55" t="str">
        <x:v>AI Mode</x:v>
      </x:c>
      <x:c r="B15" s="55" t="str">
        <x:v>Manual / Make.com / Zapier / API</x:v>
      </x:c>
      <x:c r="C15" s="55" t="str"/>
      <x:c r="D15" s="55" t="str"/>
      <x:c r="E15" s="55" t="str"/>
      <x:c r="F15" s="55" t="str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55" t="str">
        <x:v>Default Follow-up Days</x:v>
      </x:c>
      <x:c r="B16" s="55" t="n">
        <x:v>3</x:v>
      </x:c>
      <x:c r="C16" s="55" t="str"/>
      <x:c r="D16" s="55" t="str"/>
      <x:c r="E16" s="55" t="str"/>
      <x:c r="F16" s="55" t="str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55" t="str">
        <x:v>Currency</x:v>
      </x:c>
      <x:c r="B17" s="55" t="str">
        <x:v>лв</x:v>
      </x:c>
      <x:c r="C17" s="55" t="str"/>
      <x:c r="D17" s="55" t="str"/>
      <x:c r="E17" s="55" t="str"/>
      <x:c r="F17" s="55" t="str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40" customHeight="1">
      <x:c r="A1" s="5" t="str">
        <x:v>WEBFORGE CRM — Ръководство за използване</x:v>
      </x:c>
      <x:c r="B1" s="5" t="str"/>
      <x:c r="C1" s="268"/>
      <x:c r="D1" s="268"/>
      <x:c r="E1" s="268"/>
      <x:c r="F1" s="268"/>
      <x:c r="G1" s="268"/>
      <x:c r="H1" s="268"/>
      <x:c r="I1" s="268"/>
      <x:c r="J1" s="268"/>
      <x:c r="K1" s="268"/>
      <x:c r="L1" s="268"/>
      <x:c r="M1" s="268"/>
      <x:c r="N1" s="268"/>
      <x:c r="O1" s="268"/>
      <x:c r="P1" s="268"/>
      <x:c r="Q1" s="268"/>
      <x:c r="R1" s="268"/>
      <x:c r="S1" s="268"/>
      <x:c r="T1" s="268"/>
      <x:c r="U1" s="268"/>
      <x:c r="V1" s="268"/>
      <x:c r="W1" s="268"/>
      <x:c r="X1" s="268"/>
      <x:c r="Y1" s="268"/>
      <x:c r="Z1" s="268"/>
      <x:c r="AA1" s="268"/>
      <x:c r="AB1" s="268"/>
      <x:c r="AC1" s="268"/>
    </x:row>
    <x:row r="2" ht="40" customHeight="1">
      <x:c r="A2" s="272" t="str">
        <x:v>1. Основна работа</x:v>
      </x:c>
      <x:c r="B2" s="55" t="str">
        <x:v>Пиши всички потенциални клиенти в sheet Leads. Най-важни колони: Етап, Следващ контакт, Следващо действие, Бележки.</x:v>
      </x:c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3" ht="40" customHeight="1">
      <x:c r="A3" s="272" t="str">
        <x:v>2. Всеки ден</x:v>
      </x:c>
      <x:c r="B3" s="55" t="str">
        <x:v>Отвори sheet Today. Там излизат lead-овете, които трябва да търсиш днес или вече са просрочени.</x:v>
      </x:c>
      <x:c r="C3" s="268"/>
      <x:c r="D3" s="268"/>
      <x:c r="E3" s="268"/>
      <x:c r="F3" s="268"/>
      <x:c r="G3" s="268"/>
      <x:c r="H3" s="268"/>
      <x:c r="I3" s="268"/>
      <x:c r="J3" s="268"/>
      <x:c r="K3" s="268"/>
      <x:c r="L3" s="268"/>
      <x:c r="M3" s="268"/>
      <x:c r="N3" s="268"/>
      <x:c r="O3" s="268"/>
      <x:c r="P3" s="268"/>
      <x:c r="Q3" s="268"/>
      <x:c r="R3" s="268"/>
      <x:c r="S3" s="268"/>
      <x:c r="T3" s="268"/>
      <x:c r="U3" s="268"/>
      <x:c r="V3" s="268"/>
      <x:c r="W3" s="268"/>
      <x:c r="X3" s="268"/>
      <x:c r="Y3" s="268"/>
      <x:c r="Z3" s="268"/>
      <x:c r="AA3" s="268"/>
      <x:c r="AB3" s="268"/>
      <x:c r="AC3" s="268"/>
    </x:row>
    <x:row r="4" ht="40" customHeight="1">
      <x:c r="A4" s="272" t="str">
        <x:v>3. Follow-up правило</x:v>
      </x:c>
      <x:c r="B4" s="55" t="str">
        <x:v>След първо писане слагай Следващ контакт след 2–3 дни. След оферта — пак след 2–3 дни.</x:v>
      </x:c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8"/>
      <x:c r="O4" s="268"/>
      <x:c r="P4" s="268"/>
      <x:c r="Q4" s="268"/>
      <x:c r="R4" s="268"/>
      <x:c r="S4" s="268"/>
      <x:c r="T4" s="268"/>
      <x:c r="U4" s="268"/>
      <x:c r="V4" s="268"/>
      <x:c r="W4" s="268"/>
      <x:c r="X4" s="268"/>
      <x:c r="Y4" s="268"/>
      <x:c r="Z4" s="268"/>
      <x:c r="AA4" s="268"/>
      <x:c r="AB4" s="268"/>
      <x:c r="AC4" s="268"/>
    </x:row>
    <x:row r="5" ht="40" customHeight="1">
      <x:c r="A5" s="272" t="str">
        <x:v>4. Оферти</x:v>
      </x:c>
      <x:c r="B5" s="55" t="str">
        <x:v>Когато изпратиш цена, сложи етап Изпратена оферта или Чака отговор. Ще се появи автоматично в Offers.</x:v>
      </x:c>
      <x:c r="C5" s="268"/>
      <x:c r="D5" s="268"/>
      <x:c r="E5" s="268"/>
      <x:c r="F5" s="268"/>
      <x:c r="G5" s="268"/>
      <x:c r="H5" s="268"/>
      <x:c r="I5" s="268"/>
      <x:c r="J5" s="268"/>
      <x:c r="K5" s="268"/>
      <x:c r="L5" s="268"/>
      <x:c r="M5" s="268"/>
      <x:c r="N5" s="268"/>
      <x:c r="O5" s="268"/>
      <x:c r="P5" s="268"/>
      <x:c r="Q5" s="268"/>
      <x:c r="R5" s="268"/>
      <x:c r="S5" s="268"/>
      <x:c r="T5" s="268"/>
      <x:c r="U5" s="268"/>
      <x:c r="V5" s="268"/>
      <x:c r="W5" s="268"/>
      <x:c r="X5" s="268"/>
      <x:c r="Y5" s="268"/>
      <x:c r="Z5" s="268"/>
      <x:c r="AA5" s="268"/>
      <x:c r="AB5" s="268"/>
      <x:c r="AC5" s="268"/>
    </x:row>
    <x:row r="6" ht="40" customHeight="1">
      <x:c r="A6" s="272" t="str">
        <x:v>5. Спечелен клиент</x:v>
      </x:c>
      <x:c r="B6" s="55" t="str">
        <x:v>Когато клиентът приеме, смени Етап на Спечелен. Ще се появи в Won Clients.</x:v>
      </x:c>
      <x:c r="C6" s="268"/>
      <x:c r="D6" s="268"/>
      <x:c r="E6" s="268"/>
      <x:c r="F6" s="268"/>
      <x:c r="G6" s="268"/>
      <x:c r="H6" s="268"/>
      <x:c r="I6" s="268"/>
      <x:c r="J6" s="268"/>
      <x:c r="K6" s="268"/>
      <x:c r="L6" s="268"/>
      <x:c r="M6" s="268"/>
      <x:c r="N6" s="268"/>
      <x:c r="O6" s="268"/>
      <x:c r="P6" s="268"/>
      <x:c r="Q6" s="268"/>
      <x:c r="R6" s="268"/>
      <x:c r="S6" s="268"/>
      <x:c r="T6" s="268"/>
      <x:c r="U6" s="268"/>
      <x:c r="V6" s="268"/>
      <x:c r="W6" s="268"/>
      <x:c r="X6" s="268"/>
      <x:c r="Y6" s="268"/>
      <x:c r="Z6" s="268"/>
      <x:c r="AA6" s="268"/>
      <x:c r="AB6" s="268"/>
      <x:c r="AC6" s="268"/>
    </x:row>
    <x:row r="7" ht="40" customHeight="1">
      <x:c r="A7" s="272" t="str">
        <x:v>6. Activity Log</x:v>
      </x:c>
      <x:c r="B7" s="55" t="str">
        <x:v>Записвай всяко важно обаждане/съобщение. Така няма да забравяш кой какво е казал.</x:v>
      </x:c>
      <x:c r="C7" s="268"/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268"/>
      <x:c r="O7" s="268"/>
      <x:c r="P7" s="268"/>
      <x:c r="Q7" s="268"/>
      <x:c r="R7" s="268"/>
      <x:c r="S7" s="268"/>
      <x:c r="T7" s="268"/>
      <x:c r="U7" s="268"/>
      <x:c r="V7" s="268"/>
      <x:c r="W7" s="268"/>
      <x:c r="X7" s="268"/>
      <x:c r="Y7" s="268"/>
      <x:c r="Z7" s="268"/>
      <x:c r="AA7" s="268"/>
      <x:c r="AB7" s="268"/>
      <x:c r="AC7" s="268"/>
    </x:row>
    <x:row r="8" ht="40" customHeight="1">
      <x:c r="A8" s="272" t="str">
        <x:v>7. AI Queue</x:v>
      </x:c>
      <x:c r="B8" s="55" t="str">
        <x:v>Това е подготвено за бъдеща връзка с AI. Взима Prompt от Leads. После Make.com/Zapier/API може да чете тези редове и да връща готов текст.</x:v>
      </x:c>
      <x:c r="C8" s="268"/>
      <x:c r="D8" s="268"/>
      <x:c r="E8" s="268"/>
      <x:c r="F8" s="268"/>
      <x:c r="G8" s="268"/>
      <x:c r="H8" s="268"/>
      <x:c r="I8" s="268"/>
      <x:c r="J8" s="268"/>
      <x:c r="K8" s="268"/>
      <x:c r="L8" s="268"/>
      <x:c r="M8" s="268"/>
      <x:c r="N8" s="268"/>
      <x:c r="O8" s="268"/>
      <x:c r="P8" s="268"/>
      <x:c r="Q8" s="268"/>
      <x:c r="R8" s="268"/>
      <x:c r="S8" s="268"/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8"/>
    </x:row>
    <x:row r="9" ht="40" customHeight="1">
      <x:c r="A9" s="272" t="str">
        <x:v>8. Как да го вържеш с AI по-късно</x:v>
      </x:c>
      <x:c r="B9" s="55" t="str">
        <x:v>Вариант: Google Sheets + Make.com. Trigger: нов/променен ред в AI Queue. Action: OpenAI generate text. Action: върни текста в колоната Готов текст от AI.</x:v>
      </x:c>
      <x:c r="C9" s="268"/>
      <x:c r="D9" s="268"/>
      <x:c r="E9" s="268"/>
      <x:c r="F9" s="268"/>
      <x:c r="G9" s="268"/>
      <x:c r="H9" s="268"/>
      <x:c r="I9" s="268"/>
      <x:c r="J9" s="268"/>
      <x:c r="K9" s="268"/>
      <x:c r="L9" s="268"/>
      <x:c r="M9" s="268"/>
      <x:c r="N9" s="268"/>
      <x:c r="O9" s="268"/>
      <x:c r="P9" s="268"/>
      <x:c r="Q9" s="268"/>
      <x:c r="R9" s="268"/>
      <x:c r="S9" s="268"/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8"/>
    </x:row>
    <x:row r="10" ht="40" customHeight="1">
      <x:c r="A10" s="272" t="str">
        <x:v>9. Какво да не пипаш</x:v>
      </x:c>
      <x:c r="B10" s="55" t="str">
        <x:v>Не трий формулите в Dashboard, Today, Pipeline, Offers, Won Clients и AI Queue. Пиши основно в Leads и Activity Log.</x:v>
      </x:c>
      <x:c r="C10" s="268"/>
      <x:c r="D10" s="268"/>
      <x:c r="E10" s="268"/>
      <x:c r="F10" s="268"/>
      <x:c r="G10" s="268"/>
      <x:c r="H10" s="268"/>
      <x:c r="I10" s="268"/>
      <x:c r="J10" s="268"/>
      <x:c r="K10" s="268"/>
      <x:c r="L10" s="268"/>
      <x:c r="M10" s="268"/>
      <x:c r="N10" s="268"/>
      <x:c r="O10" s="268"/>
      <x:c r="P10" s="268"/>
      <x:c r="Q10" s="268"/>
      <x:c r="R10" s="268"/>
      <x:c r="S10" s="268"/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8"/>
    </x:row>
    <x:row r="11" ht="40" customHeight="1">
      <x:c r="A11" s="272" t="str">
        <x:v>10. Как да го разширим</x:v>
      </x:c>
      <x:c r="B11" s="55" t="str">
        <x:v>Може да добавим автоматични имейли, Viber шаблони, оценка на lead-а, импорт от Google Maps CSV, месечни абонаменти и фактуриране.</x:v>
      </x:c>
      <x:c r="C11" s="268"/>
      <x:c r="D11" s="268"/>
      <x:c r="E11" s="268"/>
      <x:c r="F11" s="268"/>
      <x:c r="G11" s="268"/>
      <x:c r="H11" s="268"/>
      <x:c r="I11" s="268"/>
      <x:c r="J11" s="268"/>
      <x:c r="K11" s="268"/>
      <x:c r="L11" s="268"/>
      <x:c r="M11" s="268"/>
      <x:c r="N11" s="268"/>
      <x:c r="O11" s="268"/>
      <x:c r="P11" s="268"/>
      <x:c r="Q11" s="268"/>
      <x:c r="R11" s="268"/>
      <x:c r="S11" s="268"/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8"/>
    </x:row>
    <x:row r="12">
      <x:c r="A12" s="268" t="str">
        <x:v>11. Примерният ред</x:v>
      </x:c>
      <x:c r="B12" s="268" t="str">
        <x:v>Редът със статус „Пример“ не влиза в Dashboard, Today, Pipeline, Offers или AI Queue. Когато започнеш реално, изтрий го или го замени с първия истински клиент и сложи статус „Активен“.</x:v>
      </x:c>
      <x:c r="C12" s="268"/>
      <x:c r="D12" s="268"/>
      <x:c r="E12" s="268"/>
      <x:c r="F12" s="268"/>
      <x:c r="G12" s="268"/>
      <x:c r="H12" s="268"/>
      <x:c r="I12" s="268"/>
      <x:c r="J12" s="268"/>
      <x:c r="K12" s="268"/>
      <x:c r="L12" s="268"/>
      <x:c r="M12" s="268"/>
      <x:c r="N12" s="268"/>
      <x:c r="O12" s="268"/>
      <x:c r="P12" s="268"/>
      <x:c r="Q12" s="268"/>
      <x:c r="R12" s="268"/>
      <x:c r="S12" s="268"/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8"/>
    </x:row>
    <x:row r="13">
      <x:c r="A13" s="268"/>
      <x:c r="B13" s="268"/>
      <x:c r="C13" s="268"/>
      <x:c r="D13" s="268"/>
      <x:c r="E13" s="268"/>
      <x:c r="F13" s="268"/>
      <x:c r="G13" s="268"/>
      <x:c r="H13" s="268"/>
      <x:c r="I13" s="268"/>
      <x:c r="J13" s="268"/>
      <x:c r="K13" s="268"/>
      <x:c r="L13" s="268"/>
      <x:c r="M13" s="268"/>
      <x:c r="N13" s="268"/>
      <x:c r="O13" s="268"/>
      <x:c r="P13" s="268"/>
      <x:c r="Q13" s="268"/>
      <x:c r="R13" s="268"/>
      <x:c r="S13" s="268"/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8"/>
    </x:row>
    <x:row r="14">
      <x:c r="A14" s="268"/>
      <x:c r="B14" s="268"/>
      <x:c r="C14" s="268"/>
      <x:c r="D14" s="268"/>
      <x:c r="E14" s="268"/>
      <x:c r="F14" s="268"/>
      <x:c r="G14" s="268"/>
      <x:c r="H14" s="268"/>
      <x:c r="I14" s="268"/>
      <x:c r="J14" s="268"/>
      <x:c r="K14" s="268"/>
      <x:c r="L14" s="268"/>
      <x:c r="M14" s="268"/>
      <x:c r="N14" s="268"/>
      <x:c r="O14" s="268"/>
      <x:c r="P14" s="268"/>
      <x:c r="Q14" s="268"/>
      <x:c r="R14" s="268"/>
      <x:c r="S14" s="268"/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8"/>
    </x:row>
    <x:row r="15">
      <x:c r="A15" s="268"/>
      <x:c r="B15" s="268"/>
      <x:c r="C15" s="268"/>
      <x:c r="D15" s="268"/>
      <x:c r="E15" s="268"/>
      <x:c r="F15" s="268"/>
      <x:c r="G15" s="268"/>
      <x:c r="H15" s="268"/>
      <x:c r="I15" s="268"/>
      <x:c r="J15" s="268"/>
      <x:c r="K15" s="268"/>
      <x:c r="L15" s="268"/>
      <x:c r="M15" s="268"/>
      <x:c r="N15" s="268"/>
      <x:c r="O15" s="268"/>
      <x:c r="P15" s="268"/>
      <x:c r="Q15" s="268"/>
      <x:c r="R15" s="268"/>
      <x:c r="S15" s="268"/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8"/>
    </x:row>
    <x:row r="16">
      <x:c r="A16" s="268"/>
      <x:c r="B16" s="268"/>
      <x:c r="C16" s="268"/>
      <x:c r="D16" s="268"/>
      <x:c r="E16" s="268"/>
      <x:c r="F16" s="268"/>
      <x:c r="G16" s="268"/>
      <x:c r="H16" s="268"/>
      <x:c r="I16" s="268"/>
      <x:c r="J16" s="268"/>
      <x:c r="K16" s="268"/>
      <x:c r="L16" s="268"/>
      <x:c r="M16" s="268"/>
      <x:c r="N16" s="268"/>
      <x:c r="O16" s="268"/>
      <x:c r="P16" s="268"/>
      <x:c r="Q16" s="268"/>
      <x:c r="R16" s="268"/>
      <x:c r="S16" s="268"/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8"/>
    </x:row>
    <x:row r="17">
      <x:c r="A17" s="268"/>
      <x:c r="B17" s="268"/>
      <x:c r="C17" s="268"/>
      <x:c r="D17" s="268"/>
      <x:c r="E17" s="268"/>
      <x:c r="F17" s="268"/>
      <x:c r="G17" s="268"/>
      <x:c r="H17" s="268"/>
      <x:c r="I17" s="268"/>
      <x:c r="J17" s="268"/>
      <x:c r="K17" s="268"/>
      <x:c r="L17" s="268"/>
      <x:c r="M17" s="268"/>
      <x:c r="N17" s="268"/>
      <x:c r="O17" s="268"/>
      <x:c r="P17" s="268"/>
      <x:c r="Q17" s="268"/>
      <x:c r="R17" s="268"/>
      <x:c r="S17" s="268"/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8"/>
    </x:row>
    <x:row r="18">
      <x:c r="A18" s="268"/>
      <x:c r="B18" s="268"/>
      <x:c r="C18" s="268"/>
      <x:c r="D18" s="268"/>
      <x:c r="E18" s="268"/>
      <x:c r="F18" s="268"/>
      <x:c r="G18" s="268"/>
      <x:c r="H18" s="268"/>
      <x:c r="I18" s="268"/>
      <x:c r="J18" s="268"/>
      <x:c r="K18" s="268"/>
      <x:c r="L18" s="268"/>
      <x:c r="M18" s="268"/>
      <x:c r="N18" s="268"/>
      <x:c r="O18" s="268"/>
      <x:c r="P18" s="268"/>
      <x:c r="Q18" s="268"/>
      <x:c r="R18" s="268"/>
      <x:c r="S18" s="268"/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8"/>
    </x:row>
    <x:row r="19">
      <x:c r="A19" s="268"/>
      <x:c r="B19" s="268"/>
      <x:c r="C19" s="268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8"/>
      <x:c r="Q19" s="268"/>
      <x:c r="R19" s="268"/>
      <x:c r="S19" s="268"/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8"/>
    </x:row>
    <x:row r="20">
      <x:c r="A20" s="268"/>
      <x:c r="B20" s="268"/>
      <x:c r="C20" s="268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8"/>
      <x:c r="Q20" s="268"/>
      <x:c r="R20" s="268"/>
      <x:c r="S20" s="268"/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8"/>
    </x:row>
    <x:row r="21">
      <x:c r="A21" s="268"/>
      <x:c r="B21" s="268"/>
      <x:c r="C21" s="268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8"/>
      <x:c r="Q21" s="268"/>
      <x:c r="R21" s="268"/>
      <x:c r="S21" s="268"/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8"/>
    </x:row>
    <x:row r="22">
      <x:c r="A22" s="268"/>
      <x:c r="B22" s="268"/>
      <x:c r="C22" s="268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8"/>
      <x:c r="Q22" s="268"/>
      <x:c r="R22" s="268"/>
      <x:c r="S22" s="268"/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8"/>
    </x:row>
    <x:row r="23">
      <x:c r="A23" s="268"/>
      <x:c r="B23" s="268"/>
      <x:c r="C23" s="268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8"/>
      <x:c r="Q23" s="268"/>
      <x:c r="R23" s="268"/>
      <x:c r="S23" s="268"/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8"/>
    </x:row>
    <x:row r="24">
      <x:c r="A24" s="268"/>
      <x:c r="B24" s="268"/>
      <x:c r="C24" s="268"/>
      <x:c r="D24" s="268"/>
      <x:c r="E24" s="268"/>
      <x:c r="F24" s="268"/>
      <x:c r="G24" s="268"/>
      <x:c r="H24" s="268"/>
      <x:c r="I24" s="268"/>
      <x:c r="J24" s="268"/>
      <x:c r="K24" s="268"/>
      <x:c r="L24" s="268"/>
      <x:c r="M24" s="268"/>
      <x:c r="N24" s="268"/>
      <x:c r="O24" s="268"/>
      <x:c r="P24" s="268"/>
      <x:c r="Q24" s="268"/>
      <x:c r="R24" s="268"/>
      <x:c r="S24" s="268"/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8"/>
    </x:row>
    <x:row r="25">
      <x:c r="A25" s="268"/>
      <x:c r="B25" s="268"/>
      <x:c r="C25" s="268"/>
      <x:c r="D25" s="268"/>
      <x:c r="E25" s="268"/>
      <x:c r="F25" s="268"/>
      <x:c r="G25" s="268"/>
      <x:c r="H25" s="268"/>
      <x:c r="I25" s="268"/>
      <x:c r="J25" s="268"/>
      <x:c r="K25" s="268"/>
      <x:c r="L25" s="268"/>
      <x:c r="M25" s="268"/>
      <x:c r="N25" s="268"/>
      <x:c r="O25" s="268"/>
      <x:c r="P25" s="268"/>
      <x:c r="Q25" s="268"/>
      <x:c r="R25" s="268"/>
      <x:c r="S25" s="268"/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8"/>
    </x:row>
    <x:row r="26">
      <x:c r="A26" s="268"/>
      <x:c r="B26" s="268"/>
      <x:c r="C26" s="268"/>
      <x:c r="D26" s="268"/>
      <x:c r="E26" s="268"/>
      <x:c r="F26" s="268"/>
      <x:c r="G26" s="268"/>
      <x:c r="H26" s="268"/>
      <x:c r="I26" s="268"/>
      <x:c r="J26" s="268"/>
      <x:c r="K26" s="268"/>
      <x:c r="L26" s="268"/>
      <x:c r="M26" s="268"/>
      <x:c r="N26" s="268"/>
      <x:c r="O26" s="268"/>
      <x:c r="P26" s="268"/>
      <x:c r="Q26" s="268"/>
      <x:c r="R26" s="268"/>
      <x:c r="S26" s="268"/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8"/>
    </x:row>
    <x:row r="27">
      <x:c r="A27" s="268"/>
      <x:c r="B27" s="268"/>
      <x:c r="C27" s="268"/>
      <x:c r="D27" s="268"/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  <x:c r="O27" s="268"/>
      <x:c r="P27" s="268"/>
      <x:c r="Q27" s="268"/>
      <x:c r="R27" s="268"/>
      <x:c r="S27" s="268"/>
      <x:c r="T27" s="268"/>
      <x:c r="U27" s="268"/>
      <x:c r="V27" s="268"/>
      <x:c r="W27" s="268"/>
      <x:c r="X27" s="268"/>
      <x:c r="Y27" s="268"/>
      <x:c r="Z27" s="268"/>
      <x:c r="AA27" s="268"/>
      <x:c r="AB27" s="268"/>
      <x:c r="AC27" s="268"/>
    </x:row>
    <x:row r="28">
      <x:c r="A28" s="268"/>
      <x:c r="B28" s="268"/>
      <x:c r="C28" s="268"/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  <x:c r="O28" s="268"/>
      <x:c r="P28" s="268"/>
      <x:c r="Q28" s="268"/>
      <x:c r="R28" s="268"/>
      <x:c r="S28" s="268"/>
      <x:c r="T28" s="268"/>
      <x:c r="U28" s="268"/>
      <x:c r="V28" s="268"/>
      <x:c r="W28" s="268"/>
      <x:c r="X28" s="268"/>
      <x:c r="Y28" s="268"/>
      <x:c r="Z28" s="268"/>
      <x:c r="AA28" s="268"/>
      <x:c r="AB28" s="268"/>
      <x:c r="AC28" s="268"/>
    </x:row>
    <x:row r="29">
      <x:c r="A29" s="268"/>
      <x:c r="B29" s="268"/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  <x:c r="O29" s="268"/>
      <x:c r="P29" s="268"/>
      <x:c r="Q29" s="268"/>
      <x:c r="R29" s="268"/>
      <x:c r="S29" s="268"/>
      <x:c r="T29" s="268"/>
      <x:c r="U29" s="268"/>
      <x:c r="V29" s="268"/>
      <x:c r="W29" s="268"/>
      <x:c r="X29" s="268"/>
      <x:c r="Y29" s="268"/>
      <x:c r="Z29" s="268"/>
      <x:c r="AA29" s="268"/>
      <x:c r="AB29" s="268"/>
      <x:c r="AC29" s="268"/>
    </x:row>
    <x:row r="30">
      <x:c r="A30" s="268"/>
      <x:c r="B30" s="268"/>
      <x:c r="C30" s="268"/>
      <x:c r="D30" s="268"/>
      <x:c r="E30" s="268"/>
      <x:c r="F30" s="268"/>
      <x:c r="G30" s="268"/>
      <x:c r="H30" s="268"/>
      <x:c r="I30" s="268"/>
      <x:c r="J30" s="268"/>
      <x:c r="K30" s="268"/>
      <x:c r="L30" s="268"/>
      <x:c r="M30" s="268"/>
      <x:c r="N30" s="268"/>
      <x:c r="O30" s="268"/>
      <x:c r="P30" s="268"/>
      <x:c r="Q30" s="268"/>
      <x:c r="R30" s="268"/>
      <x:c r="S30" s="268"/>
      <x:c r="T30" s="268"/>
      <x:c r="U30" s="268"/>
      <x:c r="V30" s="268"/>
      <x:c r="W30" s="268"/>
      <x:c r="X30" s="268"/>
      <x:c r="Y30" s="268"/>
      <x:c r="Z30" s="268"/>
      <x:c r="AA30" s="268"/>
      <x:c r="AB30" s="268"/>
      <x:c r="AC30" s="268"/>
    </x:row>
    <x:row r="31">
      <x:c r="A31" s="268"/>
      <x:c r="B31" s="268"/>
      <x:c r="C31" s="268"/>
      <x:c r="D31" s="268"/>
      <x:c r="E31" s="268"/>
      <x:c r="F31" s="268"/>
      <x:c r="G31" s="268"/>
      <x:c r="H31" s="268"/>
      <x:c r="I31" s="268"/>
      <x:c r="J31" s="268"/>
      <x:c r="K31" s="268"/>
      <x:c r="L31" s="268"/>
      <x:c r="M31" s="268"/>
      <x:c r="N31" s="268"/>
      <x:c r="O31" s="268"/>
      <x:c r="P31" s="268"/>
      <x:c r="Q31" s="268"/>
      <x:c r="R31" s="268"/>
      <x:c r="S31" s="268"/>
      <x:c r="T31" s="268"/>
      <x:c r="U31" s="268"/>
      <x:c r="V31" s="268"/>
      <x:c r="W31" s="268"/>
      <x:c r="X31" s="268"/>
      <x:c r="Y31" s="268"/>
      <x:c r="Z31" s="268"/>
      <x:c r="AA31" s="268"/>
      <x:c r="AB31" s="268"/>
      <x:c r="AC31" s="268"/>
    </x:row>
    <x:row r="32">
      <x:c r="A32" s="268"/>
      <x:c r="B32" s="268"/>
      <x:c r="C32" s="268"/>
      <x:c r="D32" s="268"/>
      <x:c r="E32" s="268"/>
      <x:c r="F32" s="268"/>
      <x:c r="G32" s="268"/>
      <x:c r="H32" s="268"/>
      <x:c r="I32" s="268"/>
      <x:c r="J32" s="268"/>
      <x:c r="K32" s="268"/>
      <x:c r="L32" s="268"/>
      <x:c r="M32" s="268"/>
      <x:c r="N32" s="268"/>
      <x:c r="O32" s="268"/>
      <x:c r="P32" s="268"/>
      <x:c r="Q32" s="268"/>
      <x:c r="R32" s="268"/>
      <x:c r="S32" s="268"/>
      <x:c r="T32" s="268"/>
      <x:c r="U32" s="268"/>
      <x:c r="V32" s="268"/>
      <x:c r="W32" s="268"/>
      <x:c r="X32" s="268"/>
      <x:c r="Y32" s="268"/>
      <x:c r="Z32" s="268"/>
      <x:c r="AA32" s="268"/>
      <x:c r="AB32" s="268"/>
      <x:c r="AC32" s="268"/>
    </x:row>
    <x:row r="33">
      <x:c r="A33" s="268"/>
      <x:c r="B33" s="268"/>
      <x:c r="C33" s="268"/>
      <x:c r="D33" s="268"/>
      <x:c r="E33" s="268"/>
      <x:c r="F33" s="268"/>
      <x:c r="G33" s="268"/>
      <x:c r="H33" s="268"/>
      <x:c r="I33" s="268"/>
      <x:c r="J33" s="268"/>
      <x:c r="K33" s="268"/>
      <x:c r="L33" s="268"/>
      <x:c r="M33" s="268"/>
      <x:c r="N33" s="268"/>
      <x:c r="O33" s="268"/>
      <x:c r="P33" s="268"/>
      <x:c r="Q33" s="268"/>
      <x:c r="R33" s="268"/>
      <x:c r="S33" s="268"/>
      <x:c r="T33" s="268"/>
      <x:c r="U33" s="268"/>
      <x:c r="V33" s="268"/>
      <x:c r="W33" s="268"/>
      <x:c r="X33" s="268"/>
      <x:c r="Y33" s="268"/>
      <x:c r="Z33" s="268"/>
      <x:c r="AA33" s="268"/>
      <x:c r="AB33" s="268"/>
      <x:c r="AC33" s="268"/>
    </x:row>
    <x:row r="34">
      <x:c r="A34" s="268"/>
      <x:c r="B34" s="268"/>
      <x:c r="C34" s="268"/>
      <x:c r="D34" s="268"/>
      <x:c r="E34" s="268"/>
      <x:c r="F34" s="268"/>
      <x:c r="G34" s="268"/>
      <x:c r="H34" s="268"/>
      <x:c r="I34" s="268"/>
      <x:c r="J34" s="268"/>
      <x:c r="K34" s="268"/>
      <x:c r="L34" s="268"/>
      <x:c r="M34" s="268"/>
      <x:c r="N34" s="268"/>
      <x:c r="O34" s="268"/>
      <x:c r="P34" s="268"/>
      <x:c r="Q34" s="268"/>
      <x:c r="R34" s="268"/>
      <x:c r="S34" s="268"/>
      <x:c r="T34" s="268"/>
      <x:c r="U34" s="268"/>
      <x:c r="V34" s="268"/>
      <x:c r="W34" s="268"/>
      <x:c r="X34" s="268"/>
      <x:c r="Y34" s="268"/>
      <x:c r="Z34" s="268"/>
      <x:c r="AA34" s="268"/>
      <x:c r="AB34" s="268"/>
      <x:c r="AC34" s="268"/>
    </x:row>
    <x:row r="35">
      <x:c r="A35" s="268"/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  <x:c r="O35" s="268"/>
      <x:c r="P35" s="268"/>
      <x:c r="Q35" s="268"/>
      <x:c r="R35" s="268"/>
      <x:c r="S35" s="268"/>
      <x:c r="T35" s="268"/>
      <x:c r="U35" s="268"/>
      <x:c r="V35" s="268"/>
      <x:c r="W35" s="268"/>
      <x:c r="X35" s="268"/>
      <x:c r="Y35" s="268"/>
      <x:c r="Z35" s="268"/>
      <x:c r="AA35" s="268"/>
      <x:c r="AB35" s="268"/>
      <x:c r="AC35" s="268"/>
    </x:row>
    <x:row r="36">
      <x:c r="A36" s="268"/>
      <x:c r="B36" s="268"/>
      <x:c r="C36" s="268"/>
      <x:c r="D36" s="268"/>
      <x:c r="E36" s="268"/>
      <x:c r="F36" s="268"/>
      <x:c r="G36" s="268"/>
      <x:c r="H36" s="268"/>
      <x:c r="I36" s="268"/>
      <x:c r="J36" s="268"/>
      <x:c r="K36" s="268"/>
      <x:c r="L36" s="268"/>
      <x:c r="M36" s="268"/>
      <x:c r="N36" s="268"/>
      <x:c r="O36" s="268"/>
      <x:c r="P36" s="268"/>
      <x:c r="Q36" s="268"/>
      <x:c r="R36" s="268"/>
      <x:c r="S36" s="268"/>
      <x:c r="T36" s="268"/>
      <x:c r="U36" s="268"/>
      <x:c r="V36" s="268"/>
      <x:c r="W36" s="268"/>
      <x:c r="X36" s="268"/>
      <x:c r="Y36" s="268"/>
      <x:c r="Z36" s="268"/>
      <x:c r="AA36" s="268"/>
      <x:c r="AB36" s="268"/>
      <x:c r="AC36" s="268"/>
    </x:row>
    <x:row r="37">
      <x:c r="A37" s="268"/>
      <x:c r="B37" s="268"/>
      <x:c r="C37" s="268"/>
      <x:c r="D37" s="268"/>
      <x:c r="E37" s="268"/>
      <x:c r="F37" s="268"/>
      <x:c r="G37" s="268"/>
      <x:c r="H37" s="268"/>
      <x:c r="I37" s="268"/>
      <x:c r="J37" s="268"/>
      <x:c r="K37" s="268"/>
      <x:c r="L37" s="268"/>
      <x:c r="M37" s="268"/>
      <x:c r="N37" s="268"/>
      <x:c r="O37" s="268"/>
      <x:c r="P37" s="268"/>
      <x:c r="Q37" s="268"/>
      <x:c r="R37" s="268"/>
      <x:c r="S37" s="268"/>
      <x:c r="T37" s="268"/>
      <x:c r="U37" s="268"/>
      <x:c r="V37" s="268"/>
      <x:c r="W37" s="268"/>
      <x:c r="X37" s="268"/>
      <x:c r="Y37" s="268"/>
      <x:c r="Z37" s="268"/>
      <x:c r="AA37" s="268"/>
      <x:c r="AB37" s="268"/>
      <x:c r="AC37" s="268"/>
    </x:row>
    <x:row r="38">
      <x:c r="A38" s="268"/>
      <x:c r="B38" s="268"/>
      <x:c r="C38" s="268"/>
      <x:c r="D38" s="268"/>
      <x:c r="E38" s="268"/>
      <x:c r="F38" s="268"/>
      <x:c r="G38" s="268"/>
      <x:c r="H38" s="268"/>
      <x:c r="I38" s="268"/>
      <x:c r="J38" s="268"/>
      <x:c r="K38" s="268"/>
      <x:c r="L38" s="268"/>
      <x:c r="M38" s="268"/>
      <x:c r="N38" s="268"/>
      <x:c r="O38" s="268"/>
      <x:c r="P38" s="268"/>
      <x:c r="Q38" s="268"/>
      <x:c r="R38" s="268"/>
      <x:c r="S38" s="268"/>
      <x:c r="T38" s="268"/>
      <x:c r="U38" s="268"/>
      <x:c r="V38" s="268"/>
      <x:c r="W38" s="268"/>
      <x:c r="X38" s="268"/>
      <x:c r="Y38" s="268"/>
      <x:c r="Z38" s="268"/>
      <x:c r="AA38" s="268"/>
      <x:c r="AB38" s="268"/>
      <x:c r="AC38" s="268"/>
    </x:row>
    <x:row r="39">
      <x:c r="A39" s="268"/>
      <x:c r="B39" s="268"/>
      <x:c r="C39" s="268"/>
      <x:c r="D39" s="268"/>
      <x:c r="E39" s="268"/>
      <x:c r="F39" s="268"/>
      <x:c r="G39" s="268"/>
      <x:c r="H39" s="268"/>
      <x:c r="I39" s="268"/>
      <x:c r="J39" s="268"/>
      <x:c r="K39" s="268"/>
      <x:c r="L39" s="268"/>
      <x:c r="M39" s="268"/>
      <x:c r="N39" s="268"/>
      <x:c r="O39" s="268"/>
      <x:c r="P39" s="268"/>
      <x:c r="Q39" s="268"/>
      <x:c r="R39" s="268"/>
      <x:c r="S39" s="268"/>
      <x:c r="T39" s="268"/>
      <x:c r="U39" s="268"/>
      <x:c r="V39" s="268"/>
      <x:c r="W39" s="268"/>
      <x:c r="X39" s="268"/>
      <x:c r="Y39" s="268"/>
      <x:c r="Z39" s="268"/>
      <x:c r="AA39" s="268"/>
      <x:c r="AB39" s="268"/>
      <x:c r="AC39" s="268"/>
    </x:row>
    <x:row r="40">
      <x:c r="A40" s="268"/>
      <x:c r="B40" s="268"/>
      <x:c r="C40" s="268"/>
      <x:c r="D40" s="268"/>
      <x:c r="E40" s="268"/>
      <x:c r="F40" s="268"/>
      <x:c r="G40" s="268"/>
      <x:c r="H40" s="268"/>
      <x:c r="I40" s="268"/>
      <x:c r="J40" s="268"/>
      <x:c r="K40" s="268"/>
      <x:c r="L40" s="268"/>
      <x:c r="M40" s="268"/>
      <x:c r="N40" s="268"/>
      <x:c r="O40" s="268"/>
      <x:c r="P40" s="268"/>
      <x:c r="Q40" s="268"/>
      <x:c r="R40" s="268"/>
      <x:c r="S40" s="268"/>
      <x:c r="T40" s="268"/>
      <x:c r="U40" s="268"/>
      <x:c r="V40" s="268"/>
      <x:c r="W40" s="268"/>
      <x:c r="X40" s="268"/>
      <x:c r="Y40" s="268"/>
      <x:c r="Z40" s="268"/>
      <x:c r="AA40" s="268"/>
      <x:c r="AB40" s="268"/>
      <x:c r="AC40" s="268"/>
    </x:row>
    <x:row r="41">
      <x:c r="A41" s="268"/>
      <x:c r="B41" s="268"/>
      <x:c r="C41" s="268"/>
      <x:c r="D41" s="268"/>
      <x:c r="E41" s="268"/>
      <x:c r="F41" s="268"/>
      <x:c r="G41" s="268"/>
      <x:c r="H41" s="268"/>
      <x:c r="I41" s="268"/>
      <x:c r="J41" s="268"/>
      <x:c r="K41" s="268"/>
      <x:c r="L41" s="268"/>
      <x:c r="M41" s="268"/>
      <x:c r="N41" s="268"/>
      <x:c r="O41" s="268"/>
      <x:c r="P41" s="268"/>
      <x:c r="Q41" s="268"/>
      <x:c r="R41" s="268"/>
      <x:c r="S41" s="268"/>
      <x:c r="T41" s="268"/>
      <x:c r="U41" s="268"/>
      <x:c r="V41" s="268"/>
      <x:c r="W41" s="268"/>
      <x:c r="X41" s="268"/>
      <x:c r="Y41" s="268"/>
      <x:c r="Z41" s="268"/>
      <x:c r="AA41" s="268"/>
      <x:c r="AB41" s="268"/>
      <x:c r="AC41" s="268"/>
    </x:row>
    <x:row r="42">
      <x:c r="A42" s="268"/>
      <x:c r="B42" s="268"/>
      <x:c r="C42" s="268"/>
      <x:c r="D42" s="268"/>
      <x:c r="E42" s="268"/>
      <x:c r="F42" s="268"/>
      <x:c r="G42" s="268"/>
      <x:c r="H42" s="268"/>
      <x:c r="I42" s="268"/>
      <x:c r="J42" s="268"/>
      <x:c r="K42" s="268"/>
      <x:c r="L42" s="268"/>
      <x:c r="M42" s="268"/>
      <x:c r="N42" s="268"/>
      <x:c r="O42" s="268"/>
      <x:c r="P42" s="268"/>
      <x:c r="Q42" s="268"/>
      <x:c r="R42" s="268"/>
      <x:c r="S42" s="268"/>
      <x:c r="T42" s="268"/>
      <x:c r="U42" s="268"/>
      <x:c r="V42" s="268"/>
      <x:c r="W42" s="268"/>
      <x:c r="X42" s="268"/>
      <x:c r="Y42" s="268"/>
      <x:c r="Z42" s="268"/>
      <x:c r="AA42" s="268"/>
      <x:c r="AB42" s="268"/>
      <x:c r="AC42" s="268"/>
    </x:row>
    <x:row r="43">
      <x:c r="A43" s="268"/>
      <x:c r="B43" s="268"/>
      <x:c r="C43" s="268"/>
      <x:c r="D43" s="268"/>
      <x:c r="E43" s="268"/>
      <x:c r="F43" s="268"/>
      <x:c r="G43" s="268"/>
      <x:c r="H43" s="268"/>
      <x:c r="I43" s="268"/>
      <x:c r="J43" s="268"/>
      <x:c r="K43" s="268"/>
      <x:c r="L43" s="268"/>
      <x:c r="M43" s="268"/>
      <x:c r="N43" s="268"/>
      <x:c r="O43" s="268"/>
      <x:c r="P43" s="268"/>
      <x:c r="Q43" s="268"/>
      <x:c r="R43" s="268"/>
      <x:c r="S43" s="268"/>
      <x:c r="T43" s="268"/>
      <x:c r="U43" s="268"/>
      <x:c r="V43" s="268"/>
      <x:c r="W43" s="268"/>
      <x:c r="X43" s="268"/>
      <x:c r="Y43" s="268"/>
      <x:c r="Z43" s="268"/>
      <x:c r="AA43" s="268"/>
      <x:c r="AB43" s="268"/>
      <x:c r="AC43" s="268"/>
    </x:row>
    <x:row r="44">
      <x:c r="A44" s="268"/>
      <x:c r="B44" s="268"/>
      <x:c r="C44" s="268"/>
      <x:c r="D44" s="268"/>
      <x:c r="E44" s="268"/>
      <x:c r="F44" s="268"/>
      <x:c r="G44" s="268"/>
      <x:c r="H44" s="268"/>
      <x:c r="I44" s="268"/>
      <x:c r="J44" s="268"/>
      <x:c r="K44" s="268"/>
      <x:c r="L44" s="268"/>
      <x:c r="M44" s="268"/>
      <x:c r="N44" s="268"/>
      <x:c r="O44" s="268"/>
      <x:c r="P44" s="268"/>
      <x:c r="Q44" s="268"/>
      <x:c r="R44" s="268"/>
      <x:c r="S44" s="268"/>
      <x:c r="T44" s="268"/>
      <x:c r="U44" s="268"/>
      <x:c r="V44" s="268"/>
      <x:c r="W44" s="268"/>
      <x:c r="X44" s="268"/>
      <x:c r="Y44" s="268"/>
      <x:c r="Z44" s="268"/>
      <x:c r="AA44" s="268"/>
      <x:c r="AB44" s="268"/>
      <x:c r="AC44" s="268"/>
    </x:row>
    <x:row r="45">
      <x:c r="A45" s="268"/>
      <x:c r="B45" s="268"/>
      <x:c r="C45" s="268"/>
      <x:c r="D45" s="268"/>
      <x:c r="E45" s="268"/>
      <x:c r="F45" s="268"/>
      <x:c r="G45" s="268"/>
      <x:c r="H45" s="268"/>
      <x:c r="I45" s="268"/>
      <x:c r="J45" s="268"/>
      <x:c r="K45" s="268"/>
      <x:c r="L45" s="268"/>
      <x:c r="M45" s="268"/>
      <x:c r="N45" s="268"/>
      <x:c r="O45" s="268"/>
      <x:c r="P45" s="268"/>
      <x:c r="Q45" s="268"/>
      <x:c r="R45" s="268"/>
      <x:c r="S45" s="268"/>
      <x:c r="T45" s="268"/>
      <x:c r="U45" s="268"/>
      <x:c r="V45" s="268"/>
      <x:c r="W45" s="268"/>
      <x:c r="X45" s="268"/>
      <x:c r="Y45" s="268"/>
      <x:c r="Z45" s="268"/>
      <x:c r="AA45" s="268"/>
      <x:c r="AB45" s="268"/>
      <x:c r="AC45" s="268"/>
    </x:row>
    <x:row r="46">
      <x:c r="A46" s="268"/>
      <x:c r="B46" s="268"/>
      <x:c r="C46" s="268"/>
      <x:c r="D46" s="268"/>
      <x:c r="E46" s="268"/>
      <x:c r="F46" s="268"/>
      <x:c r="G46" s="268"/>
      <x:c r="H46" s="268"/>
      <x:c r="I46" s="268"/>
      <x:c r="J46" s="268"/>
      <x:c r="K46" s="268"/>
      <x:c r="L46" s="268"/>
      <x:c r="M46" s="268"/>
      <x:c r="N46" s="268"/>
      <x:c r="O46" s="268"/>
      <x:c r="P46" s="268"/>
      <x:c r="Q46" s="268"/>
      <x:c r="R46" s="268"/>
      <x:c r="S46" s="268"/>
      <x:c r="T46" s="268"/>
      <x:c r="U46" s="268"/>
      <x:c r="V46" s="268"/>
      <x:c r="W46" s="268"/>
      <x:c r="X46" s="268"/>
      <x:c r="Y46" s="268"/>
      <x:c r="Z46" s="268"/>
      <x:c r="AA46" s="268"/>
      <x:c r="AB46" s="268"/>
      <x:c r="AC46" s="268"/>
    </x:row>
    <x:row r="47">
      <x:c r="A47" s="268"/>
      <x:c r="B47" s="268"/>
      <x:c r="C47" s="268"/>
      <x:c r="D47" s="268"/>
      <x:c r="E47" s="268"/>
      <x:c r="F47" s="268"/>
      <x:c r="G47" s="268"/>
      <x:c r="H47" s="268"/>
      <x:c r="I47" s="268"/>
      <x:c r="J47" s="268"/>
      <x:c r="K47" s="268"/>
      <x:c r="L47" s="268"/>
      <x:c r="M47" s="268"/>
      <x:c r="N47" s="268"/>
      <x:c r="O47" s="268"/>
      <x:c r="P47" s="268"/>
      <x:c r="Q47" s="268"/>
      <x:c r="R47" s="268"/>
      <x:c r="S47" s="268"/>
      <x:c r="T47" s="268"/>
      <x:c r="U47" s="268"/>
      <x:c r="V47" s="268"/>
      <x:c r="W47" s="268"/>
      <x:c r="X47" s="268"/>
      <x:c r="Y47" s="268"/>
      <x:c r="Z47" s="268"/>
      <x:c r="AA47" s="268"/>
      <x:c r="AB47" s="268"/>
      <x:c r="AC47" s="268"/>
    </x:row>
    <x:row r="48">
      <x:c r="A48" s="268"/>
      <x:c r="B48" s="268"/>
      <x:c r="C48" s="268"/>
      <x:c r="D48" s="268"/>
      <x:c r="E48" s="268"/>
      <x:c r="F48" s="268"/>
      <x:c r="G48" s="268"/>
      <x:c r="H48" s="268"/>
      <x:c r="I48" s="268"/>
      <x:c r="J48" s="268"/>
      <x:c r="K48" s="268"/>
      <x:c r="L48" s="268"/>
      <x:c r="M48" s="268"/>
      <x:c r="N48" s="268"/>
      <x:c r="O48" s="268"/>
      <x:c r="P48" s="268"/>
      <x:c r="Q48" s="268"/>
      <x:c r="R48" s="268"/>
      <x:c r="S48" s="268"/>
      <x:c r="T48" s="268"/>
      <x:c r="U48" s="268"/>
      <x:c r="V48" s="268"/>
      <x:c r="W48" s="268"/>
      <x:c r="X48" s="268"/>
      <x:c r="Y48" s="268"/>
      <x:c r="Z48" s="268"/>
      <x:c r="AA48" s="268"/>
      <x:c r="AB48" s="268"/>
      <x:c r="AC48" s="268"/>
    </x:row>
    <x:row r="49">
      <x:c r="A49" s="268"/>
      <x:c r="B49" s="268"/>
      <x:c r="C49" s="268"/>
      <x:c r="D49" s="268"/>
      <x:c r="E49" s="268"/>
      <x:c r="F49" s="268"/>
      <x:c r="G49" s="268"/>
      <x:c r="H49" s="268"/>
      <x:c r="I49" s="268"/>
      <x:c r="J49" s="268"/>
      <x:c r="K49" s="268"/>
      <x:c r="L49" s="268"/>
      <x:c r="M49" s="268"/>
      <x:c r="N49" s="268"/>
      <x:c r="O49" s="268"/>
      <x:c r="P49" s="268"/>
      <x:c r="Q49" s="268"/>
      <x:c r="R49" s="268"/>
      <x:c r="S49" s="268"/>
      <x:c r="T49" s="268"/>
      <x:c r="U49" s="268"/>
      <x:c r="V49" s="268"/>
      <x:c r="W49" s="268"/>
      <x:c r="X49" s="268"/>
      <x:c r="Y49" s="268"/>
      <x:c r="Z49" s="268"/>
      <x:c r="AA49" s="268"/>
      <x:c r="AB49" s="268"/>
      <x:c r="AC49" s="268"/>
    </x:row>
    <x:row r="50">
      <x:c r="A50" s="268"/>
      <x:c r="B50" s="268"/>
      <x:c r="C50" s="268"/>
      <x:c r="D50" s="268"/>
      <x:c r="E50" s="268"/>
      <x:c r="F50" s="268"/>
      <x:c r="G50" s="268"/>
      <x:c r="H50" s="268"/>
      <x:c r="I50" s="268"/>
      <x:c r="J50" s="268"/>
      <x:c r="K50" s="268"/>
      <x:c r="L50" s="268"/>
      <x:c r="M50" s="268"/>
      <x:c r="N50" s="268"/>
      <x:c r="O50" s="268"/>
      <x:c r="P50" s="268"/>
      <x:c r="Q50" s="268"/>
      <x:c r="R50" s="268"/>
      <x:c r="S50" s="268"/>
      <x:c r="T50" s="268"/>
      <x:c r="U50" s="268"/>
      <x:c r="V50" s="268"/>
      <x:c r="W50" s="268"/>
      <x:c r="X50" s="268"/>
      <x:c r="Y50" s="268"/>
      <x:c r="Z50" s="268"/>
      <x:c r="AA50" s="268"/>
      <x:c r="AB50" s="268"/>
      <x:c r="AC50" s="268"/>
    </x:row>
    <x:row r="51">
      <x:c r="A51" s="268"/>
      <x:c r="B51" s="268"/>
      <x:c r="C51" s="268"/>
      <x:c r="D51" s="268"/>
      <x:c r="E51" s="268"/>
      <x:c r="F51" s="268"/>
      <x:c r="G51" s="268"/>
      <x:c r="H51" s="268"/>
      <x:c r="I51" s="268"/>
      <x:c r="J51" s="268"/>
      <x:c r="K51" s="268"/>
      <x:c r="L51" s="268"/>
      <x:c r="M51" s="268"/>
      <x:c r="N51" s="268"/>
      <x:c r="O51" s="268"/>
      <x:c r="P51" s="268"/>
      <x:c r="Q51" s="268"/>
      <x:c r="R51" s="268"/>
      <x:c r="S51" s="268"/>
      <x:c r="T51" s="268"/>
      <x:c r="U51" s="268"/>
      <x:c r="V51" s="268"/>
      <x:c r="W51" s="268"/>
      <x:c r="X51" s="268"/>
      <x:c r="Y51" s="268"/>
      <x:c r="Z51" s="268"/>
      <x:c r="AA51" s="268"/>
      <x:c r="AB51" s="268"/>
      <x:c r="AC51" s="268"/>
    </x:row>
    <x:row r="52">
      <x:c r="A52" s="268"/>
      <x:c r="B52" s="268"/>
      <x:c r="C52" s="268"/>
      <x:c r="D52" s="268"/>
      <x:c r="E52" s="268"/>
      <x:c r="F52" s="268"/>
      <x:c r="G52" s="268"/>
      <x:c r="H52" s="268"/>
      <x:c r="I52" s="268"/>
      <x:c r="J52" s="268"/>
      <x:c r="K52" s="268"/>
      <x:c r="L52" s="268"/>
      <x:c r="M52" s="268"/>
      <x:c r="N52" s="268"/>
      <x:c r="O52" s="268"/>
      <x:c r="P52" s="268"/>
      <x:c r="Q52" s="268"/>
      <x:c r="R52" s="268"/>
      <x:c r="S52" s="268"/>
      <x:c r="T52" s="268"/>
      <x:c r="U52" s="268"/>
      <x:c r="V52" s="268"/>
      <x:c r="W52" s="268"/>
      <x:c r="X52" s="268"/>
      <x:c r="Y52" s="268"/>
      <x:c r="Z52" s="268"/>
      <x:c r="AA52" s="268"/>
      <x:c r="AB52" s="268"/>
      <x:c r="AC52" s="268"/>
    </x:row>
    <x:row r="53">
      <x:c r="A53" s="268"/>
      <x:c r="B53" s="268"/>
      <x:c r="C53" s="268"/>
      <x:c r="D53" s="268"/>
      <x:c r="E53" s="268"/>
      <x:c r="F53" s="268"/>
      <x:c r="G53" s="268"/>
      <x:c r="H53" s="268"/>
      <x:c r="I53" s="268"/>
      <x:c r="J53" s="268"/>
      <x:c r="K53" s="268"/>
      <x:c r="L53" s="268"/>
      <x:c r="M53" s="268"/>
      <x:c r="N53" s="268"/>
      <x:c r="O53" s="268"/>
      <x:c r="P53" s="268"/>
      <x:c r="Q53" s="268"/>
      <x:c r="R53" s="268"/>
      <x:c r="S53" s="268"/>
      <x:c r="T53" s="268"/>
      <x:c r="U53" s="268"/>
      <x:c r="V53" s="268"/>
      <x:c r="W53" s="268"/>
      <x:c r="X53" s="268"/>
      <x:c r="Y53" s="268"/>
      <x:c r="Z53" s="268"/>
      <x:c r="AA53" s="268"/>
      <x:c r="AB53" s="268"/>
      <x:c r="AC53" s="268"/>
    </x:row>
    <x:row r="54">
      <x:c r="A54" s="268"/>
      <x:c r="B54" s="268"/>
      <x:c r="C54" s="268"/>
      <x:c r="D54" s="268"/>
      <x:c r="E54" s="268"/>
      <x:c r="F54" s="268"/>
      <x:c r="G54" s="268"/>
      <x:c r="H54" s="268"/>
      <x:c r="I54" s="268"/>
      <x:c r="J54" s="268"/>
      <x:c r="K54" s="268"/>
      <x:c r="L54" s="268"/>
      <x:c r="M54" s="268"/>
      <x:c r="N54" s="268"/>
      <x:c r="O54" s="268"/>
      <x:c r="P54" s="268"/>
      <x:c r="Q54" s="268"/>
      <x:c r="R54" s="268"/>
      <x:c r="S54" s="268"/>
      <x:c r="T54" s="268"/>
      <x:c r="U54" s="268"/>
      <x:c r="V54" s="268"/>
      <x:c r="W54" s="268"/>
      <x:c r="X54" s="268"/>
      <x:c r="Y54" s="268"/>
      <x:c r="Z54" s="268"/>
      <x:c r="AA54" s="268"/>
      <x:c r="AB54" s="268"/>
      <x:c r="AC54" s="268"/>
    </x:row>
    <x:row r="55">
      <x:c r="A55" s="268"/>
      <x:c r="B55" s="268"/>
      <x:c r="C55" s="268"/>
      <x:c r="D55" s="268"/>
      <x:c r="E55" s="268"/>
      <x:c r="F55" s="268"/>
      <x:c r="G55" s="268"/>
      <x:c r="H55" s="268"/>
      <x:c r="I55" s="268"/>
      <x:c r="J55" s="268"/>
      <x:c r="K55" s="268"/>
      <x:c r="L55" s="268"/>
      <x:c r="M55" s="268"/>
      <x:c r="N55" s="268"/>
      <x:c r="O55" s="268"/>
      <x:c r="P55" s="268"/>
      <x:c r="Q55" s="268"/>
      <x:c r="R55" s="268"/>
      <x:c r="S55" s="268"/>
      <x:c r="T55" s="268"/>
      <x:c r="U55" s="268"/>
      <x:c r="V55" s="268"/>
      <x:c r="W55" s="268"/>
      <x:c r="X55" s="268"/>
      <x:c r="Y55" s="268"/>
      <x:c r="Z55" s="268"/>
      <x:c r="AA55" s="268"/>
      <x:c r="AB55" s="268"/>
      <x:c r="AC55" s="268"/>
    </x:row>
    <x:row r="56">
      <x:c r="A56" s="268"/>
      <x:c r="B56" s="268"/>
      <x:c r="C56" s="268"/>
      <x:c r="D56" s="268"/>
      <x:c r="E56" s="268"/>
      <x:c r="F56" s="268"/>
      <x:c r="G56" s="268"/>
      <x:c r="H56" s="268"/>
      <x:c r="I56" s="268"/>
      <x:c r="J56" s="268"/>
      <x:c r="K56" s="268"/>
      <x:c r="L56" s="268"/>
      <x:c r="M56" s="268"/>
      <x:c r="N56" s="268"/>
      <x:c r="O56" s="268"/>
      <x:c r="P56" s="268"/>
      <x:c r="Q56" s="268"/>
      <x:c r="R56" s="268"/>
      <x:c r="S56" s="268"/>
      <x:c r="T56" s="268"/>
      <x:c r="U56" s="268"/>
      <x:c r="V56" s="268"/>
      <x:c r="W56" s="268"/>
      <x:c r="X56" s="268"/>
      <x:c r="Y56" s="268"/>
      <x:c r="Z56" s="268"/>
      <x:c r="AA56" s="268"/>
      <x:c r="AB56" s="268"/>
      <x:c r="AC56" s="268"/>
    </x:row>
    <x:row r="57">
      <x:c r="A57" s="268"/>
      <x:c r="B57" s="268"/>
      <x:c r="C57" s="268"/>
      <x:c r="D57" s="268"/>
      <x:c r="E57" s="268"/>
      <x:c r="F57" s="268"/>
      <x:c r="G57" s="268"/>
      <x:c r="H57" s="268"/>
      <x:c r="I57" s="268"/>
      <x:c r="J57" s="268"/>
      <x:c r="K57" s="268"/>
      <x:c r="L57" s="268"/>
      <x:c r="M57" s="268"/>
      <x:c r="N57" s="268"/>
      <x:c r="O57" s="268"/>
      <x:c r="P57" s="268"/>
      <x:c r="Q57" s="268"/>
      <x:c r="R57" s="268"/>
      <x:c r="S57" s="268"/>
      <x:c r="T57" s="268"/>
      <x:c r="U57" s="268"/>
      <x:c r="V57" s="268"/>
      <x:c r="W57" s="268"/>
      <x:c r="X57" s="268"/>
      <x:c r="Y57" s="268"/>
      <x:c r="Z57" s="268"/>
      <x:c r="AA57" s="268"/>
      <x:c r="AB57" s="268"/>
      <x:c r="AC57" s="268"/>
    </x:row>
    <x:row r="58">
      <x:c r="A58" s="268"/>
      <x:c r="B58" s="268"/>
      <x:c r="C58" s="268"/>
      <x:c r="D58" s="268"/>
      <x:c r="E58" s="268"/>
      <x:c r="F58" s="268"/>
      <x:c r="G58" s="268"/>
      <x:c r="H58" s="268"/>
      <x:c r="I58" s="268"/>
      <x:c r="J58" s="268"/>
      <x:c r="K58" s="268"/>
      <x:c r="L58" s="268"/>
      <x:c r="M58" s="268"/>
      <x:c r="N58" s="268"/>
      <x:c r="O58" s="268"/>
      <x:c r="P58" s="268"/>
      <x:c r="Q58" s="268"/>
      <x:c r="R58" s="268"/>
      <x:c r="S58" s="268"/>
      <x:c r="T58" s="268"/>
      <x:c r="U58" s="268"/>
      <x:c r="V58" s="268"/>
      <x:c r="W58" s="268"/>
      <x:c r="X58" s="268"/>
      <x:c r="Y58" s="268"/>
      <x:c r="Z58" s="268"/>
      <x:c r="AA58" s="268"/>
      <x:c r="AB58" s="268"/>
      <x:c r="AC58" s="268"/>
    </x:row>
    <x:row r="59">
      <x:c r="A59" s="268"/>
      <x:c r="B59" s="268"/>
      <x:c r="C59" s="268"/>
      <x:c r="D59" s="268"/>
      <x:c r="E59" s="268"/>
      <x:c r="F59" s="268"/>
      <x:c r="G59" s="268"/>
      <x:c r="H59" s="268"/>
      <x:c r="I59" s="268"/>
      <x:c r="J59" s="268"/>
      <x:c r="K59" s="268"/>
      <x:c r="L59" s="268"/>
      <x:c r="M59" s="268"/>
      <x:c r="N59" s="268"/>
      <x:c r="O59" s="268"/>
      <x:c r="P59" s="268"/>
      <x:c r="Q59" s="268"/>
      <x:c r="R59" s="268"/>
      <x:c r="S59" s="268"/>
      <x:c r="T59" s="268"/>
      <x:c r="U59" s="268"/>
      <x:c r="V59" s="268"/>
      <x:c r="W59" s="268"/>
      <x:c r="X59" s="268"/>
      <x:c r="Y59" s="268"/>
      <x:c r="Z59" s="268"/>
      <x:c r="AA59" s="268"/>
      <x:c r="AB59" s="268"/>
      <x:c r="AC59" s="268"/>
    </x:row>
    <x:row r="60">
      <x:c r="A60" s="268"/>
      <x:c r="B60" s="268"/>
      <x:c r="C60" s="268"/>
      <x:c r="D60" s="268"/>
      <x:c r="E60" s="268"/>
      <x:c r="F60" s="268"/>
      <x:c r="G60" s="268"/>
      <x:c r="H60" s="268"/>
      <x:c r="I60" s="268"/>
      <x:c r="J60" s="268"/>
      <x:c r="K60" s="268"/>
      <x:c r="L60" s="268"/>
      <x:c r="M60" s="268"/>
      <x:c r="N60" s="268"/>
      <x:c r="O60" s="268"/>
      <x:c r="P60" s="268"/>
      <x:c r="Q60" s="268"/>
      <x:c r="R60" s="268"/>
      <x:c r="S60" s="268"/>
      <x:c r="T60" s="268"/>
      <x:c r="U60" s="268"/>
      <x:c r="V60" s="268"/>
      <x:c r="W60" s="268"/>
      <x:c r="X60" s="268"/>
      <x:c r="Y60" s="268"/>
      <x:c r="Z60" s="268"/>
      <x:c r="AA60" s="268"/>
      <x:c r="AB60" s="268"/>
      <x:c r="AC60" s="268"/>
    </x:row>
    <x:row r="61">
      <x:c r="A61" s="268"/>
      <x:c r="B61" s="268"/>
      <x:c r="C61" s="268"/>
      <x:c r="D61" s="268"/>
      <x:c r="E61" s="268"/>
      <x:c r="F61" s="268"/>
      <x:c r="G61" s="268"/>
      <x:c r="H61" s="268"/>
      <x:c r="I61" s="268"/>
      <x:c r="J61" s="268"/>
      <x:c r="K61" s="268"/>
      <x:c r="L61" s="268"/>
      <x:c r="M61" s="268"/>
      <x:c r="N61" s="268"/>
      <x:c r="O61" s="268"/>
      <x:c r="P61" s="268"/>
      <x:c r="Q61" s="268"/>
      <x:c r="R61" s="268"/>
      <x:c r="S61" s="268"/>
      <x:c r="T61" s="268"/>
      <x:c r="U61" s="268"/>
      <x:c r="V61" s="268"/>
      <x:c r="W61" s="268"/>
      <x:c r="X61" s="268"/>
      <x:c r="Y61" s="268"/>
      <x:c r="Z61" s="268"/>
      <x:c r="AA61" s="268"/>
      <x:c r="AB61" s="268"/>
      <x:c r="AC61" s="268"/>
    </x:row>
    <x:row r="62">
      <x:c r="A62" s="268"/>
      <x:c r="B62" s="268"/>
      <x:c r="C62" s="268"/>
      <x:c r="D62" s="268"/>
      <x:c r="E62" s="268"/>
      <x:c r="F62" s="268"/>
      <x:c r="G62" s="268"/>
      <x:c r="H62" s="268"/>
      <x:c r="I62" s="268"/>
      <x:c r="J62" s="268"/>
      <x:c r="K62" s="268"/>
      <x:c r="L62" s="268"/>
      <x:c r="M62" s="268"/>
      <x:c r="N62" s="268"/>
      <x:c r="O62" s="268"/>
      <x:c r="P62" s="268"/>
      <x:c r="Q62" s="268"/>
      <x:c r="R62" s="268"/>
      <x:c r="S62" s="268"/>
      <x:c r="T62" s="268"/>
      <x:c r="U62" s="268"/>
      <x:c r="V62" s="268"/>
      <x:c r="W62" s="268"/>
      <x:c r="X62" s="268"/>
      <x:c r="Y62" s="268"/>
      <x:c r="Z62" s="268"/>
      <x:c r="AA62" s="268"/>
      <x:c r="AB62" s="268"/>
      <x:c r="AC62" s="268"/>
    </x:row>
    <x:row r="63">
      <x:c r="A63" s="268"/>
      <x:c r="B63" s="268"/>
      <x:c r="C63" s="268"/>
      <x:c r="D63" s="268"/>
      <x:c r="E63" s="268"/>
      <x:c r="F63" s="268"/>
      <x:c r="G63" s="268"/>
      <x:c r="H63" s="268"/>
      <x:c r="I63" s="268"/>
      <x:c r="J63" s="268"/>
      <x:c r="K63" s="268"/>
      <x:c r="L63" s="268"/>
      <x:c r="M63" s="268"/>
      <x:c r="N63" s="268"/>
      <x:c r="O63" s="268"/>
      <x:c r="P63" s="268"/>
      <x:c r="Q63" s="268"/>
      <x:c r="R63" s="268"/>
      <x:c r="S63" s="268"/>
      <x:c r="T63" s="268"/>
      <x:c r="U63" s="268"/>
      <x:c r="V63" s="268"/>
      <x:c r="W63" s="268"/>
      <x:c r="X63" s="268"/>
      <x:c r="Y63" s="268"/>
      <x:c r="Z63" s="268"/>
      <x:c r="AA63" s="268"/>
      <x:c r="AB63" s="268"/>
      <x:c r="AC63" s="268"/>
    </x:row>
    <x:row r="64">
      <x:c r="A64" s="268"/>
      <x:c r="B64" s="268"/>
      <x:c r="C64" s="268"/>
      <x:c r="D64" s="268"/>
      <x:c r="E64" s="268"/>
      <x:c r="F64" s="268"/>
      <x:c r="G64" s="268"/>
      <x:c r="H64" s="268"/>
      <x:c r="I64" s="268"/>
      <x:c r="J64" s="268"/>
      <x:c r="K64" s="268"/>
      <x:c r="L64" s="268"/>
      <x:c r="M64" s="268"/>
      <x:c r="N64" s="268"/>
      <x:c r="O64" s="268"/>
      <x:c r="P64" s="268"/>
      <x:c r="Q64" s="268"/>
      <x:c r="R64" s="268"/>
      <x:c r="S64" s="268"/>
      <x:c r="T64" s="268"/>
      <x:c r="U64" s="268"/>
      <x:c r="V64" s="268"/>
      <x:c r="W64" s="268"/>
      <x:c r="X64" s="268"/>
      <x:c r="Y64" s="268"/>
      <x:c r="Z64" s="268"/>
      <x:c r="AA64" s="268"/>
      <x:c r="AB64" s="268"/>
      <x:c r="AC64" s="268"/>
    </x:row>
    <x:row r="65">
      <x:c r="A65" s="268"/>
      <x:c r="B65" s="268"/>
      <x:c r="C65" s="268"/>
      <x:c r="D65" s="268"/>
      <x:c r="E65" s="268"/>
      <x:c r="F65" s="268"/>
      <x:c r="G65" s="268"/>
      <x:c r="H65" s="268"/>
      <x:c r="I65" s="268"/>
      <x:c r="J65" s="268"/>
      <x:c r="K65" s="268"/>
      <x:c r="L65" s="268"/>
      <x:c r="M65" s="268"/>
      <x:c r="N65" s="268"/>
      <x:c r="O65" s="268"/>
      <x:c r="P65" s="268"/>
      <x:c r="Q65" s="268"/>
      <x:c r="R65" s="268"/>
      <x:c r="S65" s="268"/>
      <x:c r="T65" s="268"/>
      <x:c r="U65" s="268"/>
      <x:c r="V65" s="268"/>
      <x:c r="W65" s="268"/>
      <x:c r="X65" s="268"/>
      <x:c r="Y65" s="268"/>
      <x:c r="Z65" s="268"/>
      <x:c r="AA65" s="268"/>
      <x:c r="AB65" s="268"/>
      <x:c r="AC65" s="268"/>
    </x:row>
    <x:row r="66">
      <x:c r="A66" s="268"/>
      <x:c r="B66" s="268"/>
      <x:c r="C66" s="268"/>
      <x:c r="D66" s="268"/>
      <x:c r="E66" s="268"/>
      <x:c r="F66" s="268"/>
      <x:c r="G66" s="268"/>
      <x:c r="H66" s="268"/>
      <x:c r="I66" s="268"/>
      <x:c r="J66" s="268"/>
      <x:c r="K66" s="268"/>
      <x:c r="L66" s="268"/>
      <x:c r="M66" s="268"/>
      <x:c r="N66" s="268"/>
      <x:c r="O66" s="268"/>
      <x:c r="P66" s="268"/>
      <x:c r="Q66" s="268"/>
      <x:c r="R66" s="268"/>
      <x:c r="S66" s="268"/>
      <x:c r="T66" s="268"/>
      <x:c r="U66" s="268"/>
      <x:c r="V66" s="268"/>
      <x:c r="W66" s="268"/>
      <x:c r="X66" s="268"/>
      <x:c r="Y66" s="268"/>
      <x:c r="Z66" s="268"/>
      <x:c r="AA66" s="268"/>
      <x:c r="AB66" s="268"/>
      <x:c r="AC66" s="268"/>
    </x:row>
    <x:row r="67">
      <x:c r="A67" s="268"/>
      <x:c r="B67" s="268"/>
      <x:c r="C67" s="268"/>
      <x:c r="D67" s="268"/>
      <x:c r="E67" s="268"/>
      <x:c r="F67" s="268"/>
      <x:c r="G67" s="268"/>
      <x:c r="H67" s="268"/>
      <x:c r="I67" s="268"/>
      <x:c r="J67" s="268"/>
      <x:c r="K67" s="268"/>
      <x:c r="L67" s="268"/>
      <x:c r="M67" s="268"/>
      <x:c r="N67" s="268"/>
      <x:c r="O67" s="268"/>
      <x:c r="P67" s="268"/>
      <x:c r="Q67" s="268"/>
      <x:c r="R67" s="268"/>
      <x:c r="S67" s="268"/>
      <x:c r="T67" s="268"/>
      <x:c r="U67" s="268"/>
      <x:c r="V67" s="268"/>
      <x:c r="W67" s="268"/>
      <x:c r="X67" s="268"/>
      <x:c r="Y67" s="268"/>
      <x:c r="Z67" s="268"/>
      <x:c r="AA67" s="268"/>
      <x:c r="AB67" s="268"/>
      <x:c r="AC67" s="268"/>
    </x:row>
    <x:row r="68">
      <x:c r="A68" s="268"/>
      <x:c r="B68" s="268"/>
      <x:c r="C68" s="268"/>
      <x:c r="D68" s="268"/>
      <x:c r="E68" s="268"/>
      <x:c r="F68" s="268"/>
      <x:c r="G68" s="268"/>
      <x:c r="H68" s="268"/>
      <x:c r="I68" s="268"/>
      <x:c r="J68" s="268"/>
      <x:c r="K68" s="268"/>
      <x:c r="L68" s="268"/>
      <x:c r="M68" s="268"/>
      <x:c r="N68" s="268"/>
      <x:c r="O68" s="268"/>
      <x:c r="P68" s="268"/>
      <x:c r="Q68" s="268"/>
      <x:c r="R68" s="268"/>
      <x:c r="S68" s="268"/>
      <x:c r="T68" s="268"/>
      <x:c r="U68" s="268"/>
      <x:c r="V68" s="268"/>
      <x:c r="W68" s="268"/>
      <x:c r="X68" s="268"/>
      <x:c r="Y68" s="268"/>
      <x:c r="Z68" s="268"/>
      <x:c r="AA68" s="268"/>
      <x:c r="AB68" s="268"/>
      <x:c r="AC68" s="268"/>
    </x:row>
    <x:row r="69">
      <x:c r="A69" s="268"/>
      <x:c r="B69" s="268"/>
      <x:c r="C69" s="268"/>
      <x:c r="D69" s="268"/>
      <x:c r="E69" s="268"/>
      <x:c r="F69" s="268"/>
      <x:c r="G69" s="268"/>
      <x:c r="H69" s="268"/>
      <x:c r="I69" s="268"/>
      <x:c r="J69" s="268"/>
      <x:c r="K69" s="268"/>
      <x:c r="L69" s="268"/>
      <x:c r="M69" s="268"/>
      <x:c r="N69" s="268"/>
      <x:c r="O69" s="268"/>
      <x:c r="P69" s="268"/>
      <x:c r="Q69" s="268"/>
      <x:c r="R69" s="268"/>
      <x:c r="S69" s="268"/>
      <x:c r="T69" s="268"/>
      <x:c r="U69" s="268"/>
      <x:c r="V69" s="268"/>
      <x:c r="W69" s="268"/>
      <x:c r="X69" s="268"/>
      <x:c r="Y69" s="268"/>
      <x:c r="Z69" s="268"/>
      <x:c r="AA69" s="268"/>
      <x:c r="AB69" s="268"/>
      <x:c r="AC69" s="268"/>
    </x:row>
    <x:row r="70">
      <x:c r="A70" s="268"/>
      <x:c r="B70" s="268"/>
      <x:c r="C70" s="268"/>
      <x:c r="D70" s="268"/>
      <x:c r="E70" s="268"/>
      <x:c r="F70" s="268"/>
      <x:c r="G70" s="268"/>
      <x:c r="H70" s="268"/>
      <x:c r="I70" s="268"/>
      <x:c r="J70" s="268"/>
      <x:c r="K70" s="268"/>
      <x:c r="L70" s="268"/>
      <x:c r="M70" s="268"/>
      <x:c r="N70" s="268"/>
      <x:c r="O70" s="268"/>
      <x:c r="P70" s="268"/>
      <x:c r="Q70" s="268"/>
      <x:c r="R70" s="268"/>
      <x:c r="S70" s="268"/>
      <x:c r="T70" s="268"/>
      <x:c r="U70" s="268"/>
      <x:c r="V70" s="268"/>
      <x:c r="W70" s="268"/>
      <x:c r="X70" s="268"/>
      <x:c r="Y70" s="268"/>
      <x:c r="Z70" s="268"/>
      <x:c r="AA70" s="268"/>
      <x:c r="AB70" s="268"/>
      <x:c r="AC70" s="268"/>
    </x:row>
    <x:row r="71">
      <x:c r="A71" s="268"/>
      <x:c r="B71" s="268"/>
      <x:c r="C71" s="268"/>
      <x:c r="D71" s="268"/>
      <x:c r="E71" s="268"/>
      <x:c r="F71" s="268"/>
      <x:c r="G71" s="268"/>
      <x:c r="H71" s="268"/>
      <x:c r="I71" s="268"/>
      <x:c r="J71" s="268"/>
      <x:c r="K71" s="268"/>
      <x:c r="L71" s="268"/>
      <x:c r="M71" s="268"/>
      <x:c r="N71" s="268"/>
      <x:c r="O71" s="268"/>
      <x:c r="P71" s="268"/>
      <x:c r="Q71" s="268"/>
      <x:c r="R71" s="268"/>
      <x:c r="S71" s="268"/>
      <x:c r="T71" s="268"/>
      <x:c r="U71" s="268"/>
      <x:c r="V71" s="268"/>
      <x:c r="W71" s="268"/>
      <x:c r="X71" s="268"/>
      <x:c r="Y71" s="268"/>
      <x:c r="Z71" s="268"/>
      <x:c r="AA71" s="268"/>
      <x:c r="AB71" s="268"/>
      <x:c r="AC71" s="268"/>
    </x:row>
    <x:row r="72">
      <x:c r="A72" s="268"/>
      <x:c r="B72" s="268"/>
      <x:c r="C72" s="268"/>
      <x:c r="D72" s="268"/>
      <x:c r="E72" s="268"/>
      <x:c r="F72" s="268"/>
      <x:c r="G72" s="268"/>
      <x:c r="H72" s="268"/>
      <x:c r="I72" s="268"/>
      <x:c r="J72" s="268"/>
      <x:c r="K72" s="268"/>
      <x:c r="L72" s="268"/>
      <x:c r="M72" s="268"/>
      <x:c r="N72" s="268"/>
      <x:c r="O72" s="268"/>
      <x:c r="P72" s="268"/>
      <x:c r="Q72" s="268"/>
      <x:c r="R72" s="268"/>
      <x:c r="S72" s="268"/>
      <x:c r="T72" s="268"/>
      <x:c r="U72" s="268"/>
      <x:c r="V72" s="268"/>
      <x:c r="W72" s="268"/>
      <x:c r="X72" s="268"/>
      <x:c r="Y72" s="268"/>
      <x:c r="Z72" s="268"/>
      <x:c r="AA72" s="268"/>
      <x:c r="AB72" s="268"/>
      <x:c r="AC72" s="268"/>
    </x:row>
    <x:row r="73">
      <x:c r="A73" s="268"/>
      <x:c r="B73" s="268"/>
      <x:c r="C73" s="268"/>
      <x:c r="D73" s="268"/>
      <x:c r="E73" s="268"/>
      <x:c r="F73" s="268"/>
      <x:c r="G73" s="268"/>
      <x:c r="H73" s="268"/>
      <x:c r="I73" s="268"/>
      <x:c r="J73" s="268"/>
      <x:c r="K73" s="268"/>
      <x:c r="L73" s="268"/>
      <x:c r="M73" s="268"/>
      <x:c r="N73" s="268"/>
      <x:c r="O73" s="268"/>
      <x:c r="P73" s="268"/>
      <x:c r="Q73" s="268"/>
      <x:c r="R73" s="268"/>
      <x:c r="S73" s="268"/>
      <x:c r="T73" s="268"/>
      <x:c r="U73" s="268"/>
      <x:c r="V73" s="268"/>
      <x:c r="W73" s="268"/>
      <x:c r="X73" s="268"/>
      <x:c r="Y73" s="268"/>
      <x:c r="Z73" s="268"/>
      <x:c r="AA73" s="268"/>
      <x:c r="AB73" s="268"/>
      <x:c r="AC73" s="268"/>
    </x:row>
    <x:row r="74">
      <x:c r="A74" s="268"/>
      <x:c r="B74" s="268"/>
      <x:c r="C74" s="268"/>
      <x:c r="D74" s="268"/>
      <x:c r="E74" s="268"/>
      <x:c r="F74" s="268"/>
      <x:c r="G74" s="268"/>
      <x:c r="H74" s="268"/>
      <x:c r="I74" s="268"/>
      <x:c r="J74" s="268"/>
      <x:c r="K74" s="268"/>
      <x:c r="L74" s="268"/>
      <x:c r="M74" s="268"/>
      <x:c r="N74" s="268"/>
      <x:c r="O74" s="268"/>
      <x:c r="P74" s="268"/>
      <x:c r="Q74" s="268"/>
      <x:c r="R74" s="268"/>
      <x:c r="S74" s="268"/>
      <x:c r="T74" s="268"/>
      <x:c r="U74" s="268"/>
      <x:c r="V74" s="268"/>
      <x:c r="W74" s="268"/>
      <x:c r="X74" s="268"/>
      <x:c r="Y74" s="268"/>
      <x:c r="Z74" s="268"/>
      <x:c r="AA74" s="268"/>
      <x:c r="AB74" s="268"/>
      <x:c r="AC74" s="268"/>
    </x:row>
    <x:row r="75">
      <x:c r="A75" s="268"/>
      <x:c r="B75" s="268"/>
      <x:c r="C75" s="268"/>
      <x:c r="D75" s="268"/>
      <x:c r="E75" s="268"/>
      <x:c r="F75" s="268"/>
      <x:c r="G75" s="268"/>
      <x:c r="H75" s="268"/>
      <x:c r="I75" s="268"/>
      <x:c r="J75" s="268"/>
      <x:c r="K75" s="268"/>
      <x:c r="L75" s="268"/>
      <x:c r="M75" s="268"/>
      <x:c r="N75" s="268"/>
      <x:c r="O75" s="268"/>
      <x:c r="P75" s="268"/>
      <x:c r="Q75" s="268"/>
      <x:c r="R75" s="268"/>
      <x:c r="S75" s="268"/>
      <x:c r="T75" s="268"/>
      <x:c r="U75" s="268"/>
      <x:c r="V75" s="268"/>
      <x:c r="W75" s="268"/>
      <x:c r="X75" s="268"/>
      <x:c r="Y75" s="268"/>
      <x:c r="Z75" s="268"/>
      <x:c r="AA75" s="268"/>
      <x:c r="AB75" s="268"/>
      <x:c r="AC75" s="268"/>
    </x:row>
    <x:row r="76">
      <x:c r="A76" s="268"/>
      <x:c r="B76" s="268"/>
      <x:c r="C76" s="268"/>
      <x:c r="D76" s="268"/>
      <x:c r="E76" s="268"/>
      <x:c r="F76" s="268"/>
      <x:c r="G76" s="268"/>
      <x:c r="H76" s="268"/>
      <x:c r="I76" s="268"/>
      <x:c r="J76" s="268"/>
      <x:c r="K76" s="268"/>
      <x:c r="L76" s="268"/>
      <x:c r="M76" s="268"/>
      <x:c r="N76" s="268"/>
      <x:c r="O76" s="268"/>
      <x:c r="P76" s="268"/>
      <x:c r="Q76" s="268"/>
      <x:c r="R76" s="268"/>
      <x:c r="S76" s="268"/>
      <x:c r="T76" s="268"/>
      <x:c r="U76" s="268"/>
      <x:c r="V76" s="268"/>
      <x:c r="W76" s="268"/>
      <x:c r="X76" s="268"/>
      <x:c r="Y76" s="268"/>
      <x:c r="Z76" s="268"/>
      <x:c r="AA76" s="268"/>
      <x:c r="AB76" s="268"/>
      <x:c r="AC76" s="268"/>
    </x:row>
    <x:row r="77">
      <x:c r="A77" s="268"/>
      <x:c r="B77" s="268"/>
      <x:c r="C77" s="268"/>
      <x:c r="D77" s="268"/>
      <x:c r="E77" s="268"/>
      <x:c r="F77" s="268"/>
      <x:c r="G77" s="268"/>
      <x:c r="H77" s="268"/>
      <x:c r="I77" s="268"/>
      <x:c r="J77" s="268"/>
      <x:c r="K77" s="268"/>
      <x:c r="L77" s="268"/>
      <x:c r="M77" s="268"/>
      <x:c r="N77" s="268"/>
      <x:c r="O77" s="268"/>
      <x:c r="P77" s="268"/>
      <x:c r="Q77" s="268"/>
      <x:c r="R77" s="268"/>
      <x:c r="S77" s="268"/>
      <x:c r="T77" s="268"/>
      <x:c r="U77" s="268"/>
      <x:c r="V77" s="268"/>
      <x:c r="W77" s="268"/>
      <x:c r="X77" s="268"/>
      <x:c r="Y77" s="268"/>
      <x:c r="Z77" s="268"/>
      <x:c r="AA77" s="268"/>
      <x:c r="AB77" s="268"/>
      <x:c r="AC77" s="268"/>
    </x:row>
    <x:row r="78">
      <x:c r="A78" s="268"/>
      <x:c r="B78" s="268"/>
      <x:c r="C78" s="268"/>
      <x:c r="D78" s="268"/>
      <x:c r="E78" s="268"/>
      <x:c r="F78" s="268"/>
      <x:c r="G78" s="268"/>
      <x:c r="H78" s="268"/>
      <x:c r="I78" s="268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268"/>
      <x:c r="X78" s="268"/>
      <x:c r="Y78" s="268"/>
      <x:c r="Z78" s="268"/>
      <x:c r="AA78" s="268"/>
      <x:c r="AB78" s="268"/>
      <x:c r="AC78" s="268"/>
    </x:row>
    <x:row r="79">
      <x:c r="A79" s="268"/>
      <x:c r="B79" s="268"/>
      <x:c r="C79" s="268"/>
      <x:c r="D79" s="268"/>
      <x:c r="E79" s="268"/>
      <x:c r="F79" s="268"/>
      <x:c r="G79" s="268"/>
      <x:c r="H79" s="268"/>
      <x:c r="I79" s="268"/>
      <x:c r="J79" s="268"/>
      <x:c r="K79" s="268"/>
      <x:c r="L79" s="268"/>
      <x:c r="M79" s="268"/>
      <x:c r="N79" s="268"/>
      <x:c r="O79" s="268"/>
      <x:c r="P79" s="268"/>
      <x:c r="Q79" s="268"/>
      <x:c r="R79" s="268"/>
      <x:c r="S79" s="268"/>
      <x:c r="T79" s="268"/>
      <x:c r="U79" s="268"/>
      <x:c r="V79" s="268"/>
      <x:c r="W79" s="268"/>
      <x:c r="X79" s="268"/>
      <x:c r="Y79" s="268"/>
      <x:c r="Z79" s="268"/>
      <x:c r="AA79" s="268"/>
      <x:c r="AB79" s="268"/>
      <x:c r="AC79" s="268"/>
    </x:row>
    <x:row r="80">
      <x:c r="A80" s="268"/>
      <x:c r="B80" s="268"/>
      <x:c r="C80" s="268"/>
      <x:c r="D80" s="268"/>
      <x:c r="E80" s="268"/>
      <x:c r="F80" s="268"/>
      <x:c r="G80" s="268"/>
      <x:c r="H80" s="268"/>
      <x:c r="I80" s="268"/>
      <x:c r="J80" s="268"/>
      <x:c r="K80" s="268"/>
      <x:c r="L80" s="268"/>
      <x:c r="M80" s="268"/>
      <x:c r="N80" s="268"/>
      <x:c r="O80" s="268"/>
      <x:c r="P80" s="268"/>
      <x:c r="Q80" s="268"/>
      <x:c r="R80" s="268"/>
      <x:c r="S80" s="268"/>
      <x:c r="T80" s="268"/>
      <x:c r="U80" s="268"/>
      <x:c r="V80" s="268"/>
      <x:c r="W80" s="268"/>
      <x:c r="X80" s="268"/>
      <x:c r="Y80" s="268"/>
      <x:c r="Z80" s="268"/>
      <x:c r="AA80" s="268"/>
      <x:c r="AB80" s="268"/>
      <x:c r="AC80" s="268"/>
    </x:row>
    <x:row r="81">
      <x:c r="A81" s="268"/>
      <x:c r="B81" s="268"/>
      <x:c r="C81" s="268"/>
      <x:c r="D81" s="268"/>
      <x:c r="E81" s="268"/>
      <x:c r="F81" s="268"/>
      <x:c r="G81" s="268"/>
      <x:c r="H81" s="268"/>
      <x:c r="I81" s="268"/>
      <x:c r="J81" s="268"/>
      <x:c r="K81" s="268"/>
      <x:c r="L81" s="268"/>
      <x:c r="M81" s="268"/>
      <x:c r="N81" s="268"/>
      <x:c r="O81" s="268"/>
      <x:c r="P81" s="268"/>
      <x:c r="Q81" s="268"/>
      <x:c r="R81" s="268"/>
      <x:c r="S81" s="268"/>
      <x:c r="T81" s="268"/>
      <x:c r="U81" s="268"/>
      <x:c r="V81" s="268"/>
      <x:c r="W81" s="268"/>
      <x:c r="X81" s="268"/>
      <x:c r="Y81" s="268"/>
      <x:c r="Z81" s="268"/>
      <x:c r="AA81" s="268"/>
      <x:c r="AB81" s="268"/>
      <x:c r="AC81" s="268"/>
    </x:row>
    <x:row r="82">
      <x:c r="A82" s="268"/>
      <x:c r="B82" s="268"/>
      <x:c r="C82" s="268"/>
      <x:c r="D82" s="268"/>
      <x:c r="E82" s="268"/>
      <x:c r="F82" s="268"/>
      <x:c r="G82" s="268"/>
      <x:c r="H82" s="268"/>
      <x:c r="I82" s="268"/>
      <x:c r="J82" s="268"/>
      <x:c r="K82" s="268"/>
      <x:c r="L82" s="268"/>
      <x:c r="M82" s="268"/>
      <x:c r="N82" s="268"/>
      <x:c r="O82" s="268"/>
      <x:c r="P82" s="268"/>
      <x:c r="Q82" s="268"/>
      <x:c r="R82" s="268"/>
      <x:c r="S82" s="268"/>
      <x:c r="T82" s="268"/>
      <x:c r="U82" s="268"/>
      <x:c r="V82" s="268"/>
      <x:c r="W82" s="268"/>
      <x:c r="X82" s="268"/>
      <x:c r="Y82" s="268"/>
      <x:c r="Z82" s="268"/>
      <x:c r="AA82" s="268"/>
      <x:c r="AB82" s="268"/>
      <x:c r="AC82" s="268"/>
    </x:row>
    <x:row r="83">
      <x:c r="A83" s="268"/>
      <x:c r="B83" s="268"/>
      <x:c r="C83" s="268"/>
      <x:c r="D83" s="268"/>
      <x:c r="E83" s="268"/>
      <x:c r="F83" s="268"/>
      <x:c r="G83" s="268"/>
      <x:c r="H83" s="268"/>
      <x:c r="I83" s="268"/>
      <x:c r="J83" s="268"/>
      <x:c r="K83" s="268"/>
      <x:c r="L83" s="268"/>
      <x:c r="M83" s="268"/>
      <x:c r="N83" s="268"/>
      <x:c r="O83" s="268"/>
      <x:c r="P83" s="268"/>
      <x:c r="Q83" s="268"/>
      <x:c r="R83" s="268"/>
      <x:c r="S83" s="268"/>
      <x:c r="T83" s="268"/>
      <x:c r="U83" s="268"/>
      <x:c r="V83" s="268"/>
      <x:c r="W83" s="268"/>
      <x:c r="X83" s="268"/>
      <x:c r="Y83" s="268"/>
      <x:c r="Z83" s="268"/>
      <x:c r="AA83" s="268"/>
      <x:c r="AB83" s="268"/>
      <x:c r="AC83" s="268"/>
    </x:row>
    <x:row r="84">
      <x:c r="A84" s="268"/>
      <x:c r="B84" s="268"/>
      <x:c r="C84" s="268"/>
      <x:c r="D84" s="268"/>
      <x:c r="E84" s="268"/>
      <x:c r="F84" s="268"/>
      <x:c r="G84" s="268"/>
      <x:c r="H84" s="268"/>
      <x:c r="I84" s="268"/>
      <x:c r="J84" s="268"/>
      <x:c r="K84" s="268"/>
      <x:c r="L84" s="268"/>
      <x:c r="M84" s="268"/>
      <x:c r="N84" s="268"/>
      <x:c r="O84" s="268"/>
      <x:c r="P84" s="268"/>
      <x:c r="Q84" s="268"/>
      <x:c r="R84" s="268"/>
      <x:c r="S84" s="268"/>
      <x:c r="T84" s="268"/>
      <x:c r="U84" s="268"/>
      <x:c r="V84" s="268"/>
      <x:c r="W84" s="268"/>
      <x:c r="X84" s="268"/>
      <x:c r="Y84" s="268"/>
      <x:c r="Z84" s="268"/>
      <x:c r="AA84" s="268"/>
      <x:c r="AB84" s="268"/>
      <x:c r="AC84" s="268"/>
    </x:row>
    <x:row r="85">
      <x:c r="A85" s="268"/>
      <x:c r="B85" s="268"/>
      <x:c r="C85" s="268"/>
      <x:c r="D85" s="268"/>
      <x:c r="E85" s="268"/>
      <x:c r="F85" s="268"/>
      <x:c r="G85" s="268"/>
      <x:c r="H85" s="268"/>
      <x:c r="I85" s="268"/>
      <x:c r="J85" s="268"/>
      <x:c r="K85" s="268"/>
      <x:c r="L85" s="268"/>
      <x:c r="M85" s="268"/>
      <x:c r="N85" s="268"/>
      <x:c r="O85" s="268"/>
      <x:c r="P85" s="268"/>
      <x:c r="Q85" s="268"/>
      <x:c r="R85" s="268"/>
      <x:c r="S85" s="268"/>
      <x:c r="T85" s="268"/>
      <x:c r="U85" s="268"/>
      <x:c r="V85" s="268"/>
      <x:c r="W85" s="268"/>
      <x:c r="X85" s="268"/>
      <x:c r="Y85" s="268"/>
      <x:c r="Z85" s="268"/>
      <x:c r="AA85" s="268"/>
      <x:c r="AB85" s="268"/>
      <x:c r="AC85" s="268"/>
    </x:row>
    <x:row r="86">
      <x:c r="A86" s="268"/>
      <x:c r="B86" s="268"/>
      <x:c r="C86" s="268"/>
      <x:c r="D86" s="268"/>
      <x:c r="E86" s="268"/>
      <x:c r="F86" s="268"/>
      <x:c r="G86" s="268"/>
      <x:c r="H86" s="268"/>
      <x:c r="I86" s="268"/>
      <x:c r="J86" s="268"/>
      <x:c r="K86" s="268"/>
      <x:c r="L86" s="268"/>
      <x:c r="M86" s="268"/>
      <x:c r="N86" s="268"/>
      <x:c r="O86" s="268"/>
      <x:c r="P86" s="268"/>
      <x:c r="Q86" s="268"/>
      <x:c r="R86" s="268"/>
      <x:c r="S86" s="268"/>
      <x:c r="T86" s="268"/>
      <x:c r="U86" s="268"/>
      <x:c r="V86" s="268"/>
      <x:c r="W86" s="268"/>
      <x:c r="X86" s="268"/>
      <x:c r="Y86" s="268"/>
      <x:c r="Z86" s="268"/>
      <x:c r="AA86" s="268"/>
      <x:c r="AB86" s="268"/>
      <x:c r="AC86" s="268"/>
    </x:row>
    <x:row r="87">
      <x:c r="A87" s="268"/>
      <x:c r="B87" s="268"/>
      <x:c r="C87" s="268"/>
      <x:c r="D87" s="268"/>
      <x:c r="E87" s="268"/>
      <x:c r="F87" s="268"/>
      <x:c r="G87" s="268"/>
      <x:c r="H87" s="268"/>
      <x:c r="I87" s="268"/>
      <x:c r="J87" s="268"/>
      <x:c r="K87" s="268"/>
      <x:c r="L87" s="268"/>
      <x:c r="M87" s="268"/>
      <x:c r="N87" s="268"/>
      <x:c r="O87" s="268"/>
      <x:c r="P87" s="268"/>
      <x:c r="Q87" s="268"/>
      <x:c r="R87" s="268"/>
      <x:c r="S87" s="268"/>
      <x:c r="T87" s="268"/>
      <x:c r="U87" s="268"/>
      <x:c r="V87" s="268"/>
      <x:c r="W87" s="268"/>
      <x:c r="X87" s="268"/>
      <x:c r="Y87" s="268"/>
      <x:c r="Z87" s="268"/>
      <x:c r="AA87" s="268"/>
      <x:c r="AB87" s="268"/>
      <x:c r="AC87" s="268"/>
    </x:row>
    <x:row r="88">
      <x:c r="A88" s="268"/>
      <x:c r="B88" s="268"/>
      <x:c r="C88" s="268"/>
      <x:c r="D88" s="268"/>
      <x:c r="E88" s="268"/>
      <x:c r="F88" s="268"/>
      <x:c r="G88" s="268"/>
      <x:c r="H88" s="268"/>
      <x:c r="I88" s="268"/>
      <x:c r="J88" s="268"/>
      <x:c r="K88" s="268"/>
      <x:c r="L88" s="268"/>
      <x:c r="M88" s="268"/>
      <x:c r="N88" s="268"/>
      <x:c r="O88" s="268"/>
      <x:c r="P88" s="268"/>
      <x:c r="Q88" s="268"/>
      <x:c r="R88" s="268"/>
      <x:c r="S88" s="268"/>
      <x:c r="T88" s="268"/>
      <x:c r="U88" s="268"/>
      <x:c r="V88" s="268"/>
      <x:c r="W88" s="268"/>
      <x:c r="X88" s="268"/>
      <x:c r="Y88" s="268"/>
      <x:c r="Z88" s="268"/>
      <x:c r="AA88" s="268"/>
      <x:c r="AB88" s="268"/>
      <x:c r="AC88" s="268"/>
    </x:row>
    <x:row r="89">
      <x:c r="A89" s="268"/>
      <x:c r="B89" s="268"/>
      <x:c r="C89" s="268"/>
      <x:c r="D89" s="268"/>
      <x:c r="E89" s="268"/>
      <x:c r="F89" s="268"/>
      <x:c r="G89" s="268"/>
      <x:c r="H89" s="268"/>
      <x:c r="I89" s="268"/>
      <x:c r="J89" s="268"/>
      <x:c r="K89" s="268"/>
      <x:c r="L89" s="268"/>
      <x:c r="M89" s="268"/>
      <x:c r="N89" s="268"/>
      <x:c r="O89" s="268"/>
      <x:c r="P89" s="268"/>
      <x:c r="Q89" s="268"/>
      <x:c r="R89" s="268"/>
      <x:c r="S89" s="268"/>
      <x:c r="T89" s="268"/>
      <x:c r="U89" s="268"/>
      <x:c r="V89" s="268"/>
      <x:c r="W89" s="268"/>
      <x:c r="X89" s="268"/>
      <x:c r="Y89" s="268"/>
      <x:c r="Z89" s="268"/>
      <x:c r="AA89" s="268"/>
      <x:c r="AB89" s="268"/>
      <x:c r="AC89" s="268"/>
    </x:row>
    <x:row r="90">
      <x:c r="A90" s="268"/>
      <x:c r="B90" s="268"/>
      <x:c r="C90" s="268"/>
      <x:c r="D90" s="268"/>
      <x:c r="E90" s="268"/>
      <x:c r="F90" s="268"/>
      <x:c r="G90" s="268"/>
      <x:c r="H90" s="268"/>
      <x:c r="I90" s="268"/>
      <x:c r="J90" s="268"/>
      <x:c r="K90" s="268"/>
      <x:c r="L90" s="268"/>
      <x:c r="M90" s="268"/>
      <x:c r="N90" s="268"/>
      <x:c r="O90" s="268"/>
      <x:c r="P90" s="268"/>
      <x:c r="Q90" s="268"/>
      <x:c r="R90" s="268"/>
      <x:c r="S90" s="268"/>
      <x:c r="T90" s="268"/>
      <x:c r="U90" s="268"/>
      <x:c r="V90" s="268"/>
      <x:c r="W90" s="268"/>
      <x:c r="X90" s="268"/>
      <x:c r="Y90" s="268"/>
      <x:c r="Z90" s="268"/>
      <x:c r="AA90" s="268"/>
      <x:c r="AB90" s="268"/>
      <x:c r="AC90" s="268"/>
    </x:row>
    <x:row r="91">
      <x:c r="A91" s="268"/>
      <x:c r="B91" s="268"/>
      <x:c r="C91" s="268"/>
      <x:c r="D91" s="268"/>
      <x:c r="E91" s="268"/>
      <x:c r="F91" s="268"/>
      <x:c r="G91" s="268"/>
      <x:c r="H91" s="268"/>
      <x:c r="I91" s="268"/>
      <x:c r="J91" s="268"/>
      <x:c r="K91" s="268"/>
      <x:c r="L91" s="268"/>
      <x:c r="M91" s="268"/>
      <x:c r="N91" s="268"/>
      <x:c r="O91" s="268"/>
      <x:c r="P91" s="268"/>
      <x:c r="Q91" s="268"/>
      <x:c r="R91" s="268"/>
      <x:c r="S91" s="268"/>
      <x:c r="T91" s="268"/>
      <x:c r="U91" s="268"/>
      <x:c r="V91" s="268"/>
      <x:c r="W91" s="268"/>
      <x:c r="X91" s="268"/>
      <x:c r="Y91" s="268"/>
      <x:c r="Z91" s="268"/>
      <x:c r="AA91" s="268"/>
      <x:c r="AB91" s="268"/>
      <x:c r="AC91" s="268"/>
    </x:row>
    <x:row r="92">
      <x:c r="A92" s="268"/>
      <x:c r="B92" s="268"/>
      <x:c r="C92" s="268"/>
      <x:c r="D92" s="268"/>
      <x:c r="E92" s="268"/>
      <x:c r="F92" s="268"/>
      <x:c r="G92" s="268"/>
      <x:c r="H92" s="268"/>
      <x:c r="I92" s="268"/>
      <x:c r="J92" s="268"/>
      <x:c r="K92" s="268"/>
      <x:c r="L92" s="268"/>
      <x:c r="M92" s="268"/>
      <x:c r="N92" s="268"/>
      <x:c r="O92" s="268"/>
      <x:c r="P92" s="268"/>
      <x:c r="Q92" s="268"/>
      <x:c r="R92" s="268"/>
      <x:c r="S92" s="268"/>
      <x:c r="T92" s="268"/>
      <x:c r="U92" s="268"/>
      <x:c r="V92" s="268"/>
      <x:c r="W92" s="268"/>
      <x:c r="X92" s="268"/>
      <x:c r="Y92" s="268"/>
      <x:c r="Z92" s="268"/>
      <x:c r="AA92" s="268"/>
      <x:c r="AB92" s="268"/>
      <x:c r="AC92" s="268"/>
    </x:row>
    <x:row r="93">
      <x:c r="A93" s="268"/>
      <x:c r="B93" s="268"/>
      <x:c r="C93" s="268"/>
      <x:c r="D93" s="268"/>
      <x:c r="E93" s="268"/>
      <x:c r="F93" s="268"/>
      <x:c r="G93" s="268"/>
      <x:c r="H93" s="268"/>
      <x:c r="I93" s="268"/>
      <x:c r="J93" s="268"/>
      <x:c r="K93" s="268"/>
      <x:c r="L93" s="268"/>
      <x:c r="M93" s="268"/>
      <x:c r="N93" s="268"/>
      <x:c r="O93" s="268"/>
      <x:c r="P93" s="268"/>
      <x:c r="Q93" s="268"/>
      <x:c r="R93" s="268"/>
      <x:c r="S93" s="268"/>
      <x:c r="T93" s="268"/>
      <x:c r="U93" s="268"/>
      <x:c r="V93" s="268"/>
      <x:c r="W93" s="268"/>
      <x:c r="X93" s="268"/>
      <x:c r="Y93" s="268"/>
      <x:c r="Z93" s="268"/>
      <x:c r="AA93" s="268"/>
      <x:c r="AB93" s="268"/>
      <x:c r="AC93" s="268"/>
    </x:row>
    <x:row r="94">
      <x:c r="A94" s="268"/>
      <x:c r="B94" s="268"/>
      <x:c r="C94" s="268"/>
      <x:c r="D94" s="268"/>
      <x:c r="E94" s="268"/>
      <x:c r="F94" s="268"/>
      <x:c r="G94" s="268"/>
      <x:c r="H94" s="268"/>
      <x:c r="I94" s="268"/>
      <x:c r="J94" s="268"/>
      <x:c r="K94" s="268"/>
      <x:c r="L94" s="268"/>
      <x:c r="M94" s="268"/>
      <x:c r="N94" s="268"/>
      <x:c r="O94" s="268"/>
      <x:c r="P94" s="268"/>
      <x:c r="Q94" s="268"/>
      <x:c r="R94" s="268"/>
      <x:c r="S94" s="268"/>
      <x:c r="T94" s="268"/>
      <x:c r="U94" s="268"/>
      <x:c r="V94" s="268"/>
      <x:c r="W94" s="268"/>
      <x:c r="X94" s="268"/>
      <x:c r="Y94" s="268"/>
      <x:c r="Z94" s="268"/>
      <x:c r="AA94" s="268"/>
      <x:c r="AB94" s="268"/>
      <x:c r="AC94" s="268"/>
    </x:row>
    <x:row r="95">
      <x:c r="A95" s="268"/>
      <x:c r="B95" s="268"/>
      <x:c r="C95" s="268"/>
      <x:c r="D95" s="268"/>
      <x:c r="E95" s="268"/>
      <x:c r="F95" s="268"/>
      <x:c r="G95" s="268"/>
      <x:c r="H95" s="268"/>
      <x:c r="I95" s="268"/>
      <x:c r="J95" s="268"/>
      <x:c r="K95" s="268"/>
      <x:c r="L95" s="268"/>
      <x:c r="M95" s="268"/>
      <x:c r="N95" s="268"/>
      <x:c r="O95" s="268"/>
      <x:c r="P95" s="268"/>
      <x:c r="Q95" s="268"/>
      <x:c r="R95" s="268"/>
      <x:c r="S95" s="268"/>
      <x:c r="T95" s="268"/>
      <x:c r="U95" s="268"/>
      <x:c r="V95" s="268"/>
      <x:c r="W95" s="268"/>
      <x:c r="X95" s="268"/>
      <x:c r="Y95" s="268"/>
      <x:c r="Z95" s="268"/>
      <x:c r="AA95" s="268"/>
      <x:c r="AB95" s="268"/>
      <x:c r="AC95" s="268"/>
    </x:row>
    <x:row r="96">
      <x:c r="A96" s="268"/>
      <x:c r="B96" s="268"/>
      <x:c r="C96" s="268"/>
      <x:c r="D96" s="268"/>
      <x:c r="E96" s="268"/>
      <x:c r="F96" s="268"/>
      <x:c r="G96" s="268"/>
      <x:c r="H96" s="268"/>
      <x:c r="I96" s="268"/>
      <x:c r="J96" s="268"/>
      <x:c r="K96" s="268"/>
      <x:c r="L96" s="268"/>
      <x:c r="M96" s="268"/>
      <x:c r="N96" s="268"/>
      <x:c r="O96" s="268"/>
      <x:c r="P96" s="268"/>
      <x:c r="Q96" s="268"/>
      <x:c r="R96" s="268"/>
      <x:c r="S96" s="268"/>
      <x:c r="T96" s="268"/>
      <x:c r="U96" s="268"/>
      <x:c r="V96" s="268"/>
      <x:c r="W96" s="268"/>
      <x:c r="X96" s="268"/>
      <x:c r="Y96" s="268"/>
      <x:c r="Z96" s="268"/>
      <x:c r="AA96" s="268"/>
      <x:c r="AB96" s="268"/>
      <x:c r="AC96" s="268"/>
    </x:row>
    <x:row r="97">
      <x:c r="A97" s="268"/>
      <x:c r="B97" s="268"/>
      <x:c r="C97" s="268"/>
      <x:c r="D97" s="268"/>
      <x:c r="E97" s="268"/>
      <x:c r="F97" s="268"/>
      <x:c r="G97" s="268"/>
      <x:c r="H97" s="268"/>
      <x:c r="I97" s="268"/>
      <x:c r="J97" s="268"/>
      <x:c r="K97" s="268"/>
      <x:c r="L97" s="268"/>
      <x:c r="M97" s="268"/>
      <x:c r="N97" s="268"/>
      <x:c r="O97" s="268"/>
      <x:c r="P97" s="268"/>
      <x:c r="Q97" s="268"/>
      <x:c r="R97" s="268"/>
      <x:c r="S97" s="268"/>
      <x:c r="T97" s="268"/>
      <x:c r="U97" s="268"/>
      <x:c r="V97" s="268"/>
      <x:c r="W97" s="268"/>
      <x:c r="X97" s="268"/>
      <x:c r="Y97" s="268"/>
      <x:c r="Z97" s="268"/>
      <x:c r="AA97" s="268"/>
      <x:c r="AB97" s="268"/>
      <x:c r="AC97" s="268"/>
    </x:row>
    <x:row r="98">
      <x:c r="A98" s="268"/>
      <x:c r="B98" s="268"/>
      <x:c r="C98" s="268"/>
      <x:c r="D98" s="268"/>
      <x:c r="E98" s="268"/>
      <x:c r="F98" s="268"/>
      <x:c r="G98" s="268"/>
      <x:c r="H98" s="268"/>
      <x:c r="I98" s="268"/>
      <x:c r="J98" s="268"/>
      <x:c r="K98" s="268"/>
      <x:c r="L98" s="268"/>
      <x:c r="M98" s="268"/>
      <x:c r="N98" s="268"/>
      <x:c r="O98" s="268"/>
      <x:c r="P98" s="268"/>
      <x:c r="Q98" s="268"/>
      <x:c r="R98" s="268"/>
      <x:c r="S98" s="268"/>
      <x:c r="T98" s="268"/>
      <x:c r="U98" s="268"/>
      <x:c r="V98" s="268"/>
      <x:c r="W98" s="268"/>
      <x:c r="X98" s="268"/>
      <x:c r="Y98" s="268"/>
      <x:c r="Z98" s="268"/>
      <x:c r="AA98" s="268"/>
      <x:c r="AB98" s="268"/>
      <x:c r="AC98" s="268"/>
    </x:row>
    <x:row r="99">
      <x:c r="A99" s="268"/>
      <x:c r="B99" s="268"/>
      <x:c r="C99" s="268"/>
      <x:c r="D99" s="268"/>
      <x:c r="E99" s="268"/>
      <x:c r="F99" s="268"/>
      <x:c r="G99" s="268"/>
      <x:c r="H99" s="268"/>
      <x:c r="I99" s="268"/>
      <x:c r="J99" s="268"/>
      <x:c r="K99" s="268"/>
      <x:c r="L99" s="268"/>
      <x:c r="M99" s="268"/>
      <x:c r="N99" s="268"/>
      <x:c r="O99" s="268"/>
      <x:c r="P99" s="268"/>
      <x:c r="Q99" s="268"/>
      <x:c r="R99" s="268"/>
      <x:c r="S99" s="268"/>
      <x:c r="T99" s="268"/>
      <x:c r="U99" s="268"/>
      <x:c r="V99" s="268"/>
      <x:c r="W99" s="268"/>
      <x:c r="X99" s="268"/>
      <x:c r="Y99" s="268"/>
      <x:c r="Z99" s="268"/>
      <x:c r="AA99" s="268"/>
      <x:c r="AB99" s="268"/>
      <x:c r="AC99" s="268"/>
    </x:row>
    <x:row r="100">
      <x:c r="A100" s="268"/>
      <x:c r="B100" s="268"/>
      <x:c r="C100" s="268"/>
      <x:c r="D100" s="268"/>
      <x:c r="E100" s="268"/>
      <x:c r="F100" s="268"/>
      <x:c r="G100" s="268"/>
      <x:c r="H100" s="268"/>
      <x:c r="I100" s="268"/>
      <x:c r="J100" s="268"/>
      <x:c r="K100" s="268"/>
      <x:c r="L100" s="268"/>
      <x:c r="M100" s="268"/>
      <x:c r="N100" s="268"/>
      <x:c r="O100" s="268"/>
      <x:c r="P100" s="268"/>
      <x:c r="Q100" s="268"/>
      <x:c r="R100" s="268"/>
      <x:c r="S100" s="268"/>
      <x:c r="T100" s="268"/>
      <x:c r="U100" s="268"/>
      <x:c r="V100" s="268"/>
      <x:c r="W100" s="268"/>
      <x:c r="X100" s="268"/>
      <x:c r="Y100" s="268"/>
      <x:c r="Z100" s="268"/>
      <x:c r="AA100" s="268"/>
      <x:c r="AB100" s="268"/>
      <x:c r="AC100" s="268"/>
    </x:row>
    <x:row r="101">
      <x:c r="A101" s="268"/>
      <x:c r="B101" s="268"/>
      <x:c r="C101" s="268"/>
      <x:c r="D101" s="268"/>
      <x:c r="E101" s="268"/>
      <x:c r="F101" s="268"/>
      <x:c r="G101" s="268"/>
      <x:c r="H101" s="268"/>
      <x:c r="I101" s="268"/>
      <x:c r="J101" s="268"/>
      <x:c r="K101" s="268"/>
      <x:c r="L101" s="268"/>
      <x:c r="M101" s="268"/>
      <x:c r="N101" s="268"/>
      <x:c r="O101" s="268"/>
      <x:c r="P101" s="268"/>
      <x:c r="Q101" s="268"/>
      <x:c r="R101" s="268"/>
      <x:c r="S101" s="268"/>
      <x:c r="T101" s="268"/>
      <x:c r="U101" s="268"/>
      <x:c r="V101" s="268"/>
      <x:c r="W101" s="268"/>
      <x:c r="X101" s="268"/>
      <x:c r="Y101" s="268"/>
      <x:c r="Z101" s="268"/>
      <x:c r="AA101" s="268"/>
      <x:c r="AB101" s="268"/>
      <x:c r="AC101" s="268"/>
    </x:row>
    <x:row r="102">
      <x:c r="A102" s="268"/>
      <x:c r="B102" s="268"/>
      <x:c r="C102" s="268"/>
      <x:c r="D102" s="268"/>
      <x:c r="E102" s="268"/>
      <x:c r="F102" s="268"/>
      <x:c r="G102" s="268"/>
      <x:c r="H102" s="268"/>
      <x:c r="I102" s="268"/>
      <x:c r="J102" s="268"/>
      <x:c r="K102" s="268"/>
      <x:c r="L102" s="268"/>
      <x:c r="M102" s="268"/>
      <x:c r="N102" s="268"/>
      <x:c r="O102" s="268"/>
      <x:c r="P102" s="268"/>
      <x:c r="Q102" s="268"/>
      <x:c r="R102" s="268"/>
      <x:c r="S102" s="268"/>
      <x:c r="T102" s="268"/>
      <x:c r="U102" s="268"/>
      <x:c r="V102" s="268"/>
      <x:c r="W102" s="268"/>
      <x:c r="X102" s="268"/>
      <x:c r="Y102" s="268"/>
      <x:c r="Z102" s="268"/>
      <x:c r="AA102" s="268"/>
      <x:c r="AB102" s="268"/>
      <x:c r="AC102" s="268"/>
    </x:row>
    <x:row r="103">
      <x:c r="A103" s="268"/>
      <x:c r="B103" s="268"/>
      <x:c r="C103" s="268"/>
      <x:c r="D103" s="268"/>
      <x:c r="E103" s="268"/>
      <x:c r="F103" s="268"/>
      <x:c r="G103" s="268"/>
      <x:c r="H103" s="268"/>
      <x:c r="I103" s="268"/>
      <x:c r="J103" s="268"/>
      <x:c r="K103" s="268"/>
      <x:c r="L103" s="268"/>
      <x:c r="M103" s="268"/>
      <x:c r="N103" s="268"/>
      <x:c r="O103" s="268"/>
      <x:c r="P103" s="268"/>
      <x:c r="Q103" s="268"/>
      <x:c r="R103" s="268"/>
      <x:c r="S103" s="268"/>
      <x:c r="T103" s="268"/>
      <x:c r="U103" s="268"/>
      <x:c r="V103" s="268"/>
      <x:c r="W103" s="268"/>
      <x:c r="X103" s="268"/>
      <x:c r="Y103" s="268"/>
      <x:c r="Z103" s="268"/>
      <x:c r="AA103" s="268"/>
      <x:c r="AB103" s="268"/>
      <x:c r="AC103" s="268"/>
    </x:row>
    <x:row r="104">
      <x:c r="A104" s="268"/>
      <x:c r="B104" s="268"/>
      <x:c r="C104" s="268"/>
      <x:c r="D104" s="268"/>
      <x:c r="E104" s="268"/>
      <x:c r="F104" s="268"/>
      <x:c r="G104" s="268"/>
      <x:c r="H104" s="268"/>
      <x:c r="I104" s="268"/>
      <x:c r="J104" s="268"/>
      <x:c r="K104" s="268"/>
      <x:c r="L104" s="268"/>
      <x:c r="M104" s="268"/>
      <x:c r="N104" s="268"/>
      <x:c r="O104" s="268"/>
      <x:c r="P104" s="268"/>
      <x:c r="Q104" s="268"/>
      <x:c r="R104" s="268"/>
      <x:c r="S104" s="268"/>
      <x:c r="T104" s="268"/>
      <x:c r="U104" s="268"/>
      <x:c r="V104" s="268"/>
      <x:c r="W104" s="268"/>
      <x:c r="X104" s="268"/>
      <x:c r="Y104" s="268"/>
      <x:c r="Z104" s="268"/>
      <x:c r="AA104" s="268"/>
      <x:c r="AB104" s="268"/>
      <x:c r="AC104" s="268"/>
    </x:row>
    <x:row r="105">
      <x:c r="A105" s="268"/>
      <x:c r="B105" s="268"/>
      <x:c r="C105" s="268"/>
      <x:c r="D105" s="268"/>
      <x:c r="E105" s="268"/>
      <x:c r="F105" s="268"/>
      <x:c r="G105" s="268"/>
      <x:c r="H105" s="268"/>
      <x:c r="I105" s="268"/>
      <x:c r="J105" s="268"/>
      <x:c r="K105" s="268"/>
      <x:c r="L105" s="268"/>
      <x:c r="M105" s="268"/>
      <x:c r="N105" s="268"/>
      <x:c r="O105" s="268"/>
      <x:c r="P105" s="268"/>
      <x:c r="Q105" s="268"/>
      <x:c r="R105" s="268"/>
      <x:c r="S105" s="268"/>
      <x:c r="T105" s="268"/>
      <x:c r="U105" s="268"/>
      <x:c r="V105" s="268"/>
      <x:c r="W105" s="268"/>
      <x:c r="X105" s="268"/>
      <x:c r="Y105" s="268"/>
      <x:c r="Z105" s="268"/>
      <x:c r="AA105" s="268"/>
      <x:c r="AB105" s="268"/>
      <x:c r="AC105" s="268"/>
    </x:row>
    <x:row r="106">
      <x:c r="A106" s="268"/>
      <x:c r="B106" s="268"/>
      <x:c r="C106" s="268"/>
      <x:c r="D106" s="268"/>
      <x:c r="E106" s="268"/>
      <x:c r="F106" s="268"/>
      <x:c r="G106" s="268"/>
      <x:c r="H106" s="268"/>
      <x:c r="I106" s="268"/>
      <x:c r="J106" s="268"/>
      <x:c r="K106" s="268"/>
      <x:c r="L106" s="268"/>
      <x:c r="M106" s="268"/>
      <x:c r="N106" s="268"/>
      <x:c r="O106" s="268"/>
      <x:c r="P106" s="268"/>
      <x:c r="Q106" s="268"/>
      <x:c r="R106" s="268"/>
      <x:c r="S106" s="268"/>
      <x:c r="T106" s="268"/>
      <x:c r="U106" s="268"/>
      <x:c r="V106" s="268"/>
      <x:c r="W106" s="268"/>
      <x:c r="X106" s="268"/>
      <x:c r="Y106" s="268"/>
      <x:c r="Z106" s="268"/>
      <x:c r="AA106" s="268"/>
      <x:c r="AB106" s="268"/>
      <x:c r="AC106" s="268"/>
    </x:row>
    <x:row r="107">
      <x:c r="A107" s="268"/>
      <x:c r="B107" s="268"/>
      <x:c r="C107" s="268"/>
      <x:c r="D107" s="268"/>
      <x:c r="E107" s="268"/>
      <x:c r="F107" s="268"/>
      <x:c r="G107" s="268"/>
      <x:c r="H107" s="268"/>
      <x:c r="I107" s="268"/>
      <x:c r="J107" s="268"/>
      <x:c r="K107" s="268"/>
      <x:c r="L107" s="268"/>
      <x:c r="M107" s="268"/>
      <x:c r="N107" s="268"/>
      <x:c r="O107" s="268"/>
      <x:c r="P107" s="268"/>
      <x:c r="Q107" s="268"/>
      <x:c r="R107" s="268"/>
      <x:c r="S107" s="268"/>
      <x:c r="T107" s="268"/>
      <x:c r="U107" s="268"/>
      <x:c r="V107" s="268"/>
      <x:c r="W107" s="268"/>
      <x:c r="X107" s="268"/>
      <x:c r="Y107" s="268"/>
      <x:c r="Z107" s="268"/>
      <x:c r="AA107" s="268"/>
      <x:c r="AB107" s="268"/>
      <x:c r="AC107" s="268"/>
    </x:row>
    <x:row r="108">
      <x:c r="A108" s="268"/>
      <x:c r="B108" s="268"/>
      <x:c r="C108" s="268"/>
      <x:c r="D108" s="268"/>
      <x:c r="E108" s="268"/>
      <x:c r="F108" s="268"/>
      <x:c r="G108" s="268"/>
      <x:c r="H108" s="268"/>
      <x:c r="I108" s="268"/>
      <x:c r="J108" s="268"/>
      <x:c r="K108" s="268"/>
      <x:c r="L108" s="268"/>
      <x:c r="M108" s="268"/>
      <x:c r="N108" s="268"/>
      <x:c r="O108" s="268"/>
      <x:c r="P108" s="268"/>
      <x:c r="Q108" s="268"/>
      <x:c r="R108" s="268"/>
      <x:c r="S108" s="268"/>
      <x:c r="T108" s="268"/>
      <x:c r="U108" s="268"/>
      <x:c r="V108" s="268"/>
      <x:c r="W108" s="268"/>
      <x:c r="X108" s="268"/>
      <x:c r="Y108" s="268"/>
      <x:c r="Z108" s="268"/>
      <x:c r="AA108" s="268"/>
      <x:c r="AB108" s="268"/>
      <x:c r="AC108" s="268"/>
    </x:row>
    <x:row r="109">
      <x:c r="A109" s="268"/>
      <x:c r="B109" s="268"/>
      <x:c r="C109" s="268"/>
      <x:c r="D109" s="268"/>
      <x:c r="E109" s="268"/>
      <x:c r="F109" s="268"/>
      <x:c r="G109" s="268"/>
      <x:c r="H109" s="268"/>
      <x:c r="I109" s="268"/>
      <x:c r="J109" s="268"/>
      <x:c r="K109" s="268"/>
      <x:c r="L109" s="268"/>
      <x:c r="M109" s="268"/>
      <x:c r="N109" s="268"/>
      <x:c r="O109" s="268"/>
      <x:c r="P109" s="268"/>
      <x:c r="Q109" s="268"/>
      <x:c r="R109" s="268"/>
      <x:c r="S109" s="268"/>
      <x:c r="T109" s="268"/>
      <x:c r="U109" s="268"/>
      <x:c r="V109" s="268"/>
      <x:c r="W109" s="268"/>
      <x:c r="X109" s="268"/>
      <x:c r="Y109" s="268"/>
      <x:c r="Z109" s="268"/>
      <x:c r="AA109" s="268"/>
      <x:c r="AB109" s="268"/>
      <x:c r="AC109" s="268"/>
    </x:row>
    <x:row r="110">
      <x:c r="A110" s="268"/>
      <x:c r="B110" s="268"/>
      <x:c r="C110" s="268"/>
      <x:c r="D110" s="268"/>
      <x:c r="E110" s="268"/>
      <x:c r="F110" s="268"/>
      <x:c r="G110" s="268"/>
      <x:c r="H110" s="268"/>
      <x:c r="I110" s="268"/>
      <x:c r="J110" s="268"/>
      <x:c r="K110" s="268"/>
      <x:c r="L110" s="268"/>
      <x:c r="M110" s="268"/>
      <x:c r="N110" s="268"/>
      <x:c r="O110" s="268"/>
      <x:c r="P110" s="268"/>
      <x:c r="Q110" s="268"/>
      <x:c r="R110" s="268"/>
      <x:c r="S110" s="268"/>
      <x:c r="T110" s="268"/>
      <x:c r="U110" s="268"/>
      <x:c r="V110" s="268"/>
      <x:c r="W110" s="268"/>
      <x:c r="X110" s="268"/>
      <x:c r="Y110" s="268"/>
      <x:c r="Z110" s="268"/>
      <x:c r="AA110" s="268"/>
      <x:c r="AB110" s="268"/>
      <x:c r="AC110" s="268"/>
    </x:row>
    <x:row r="111">
      <x:c r="A111" s="268"/>
      <x:c r="B111" s="268"/>
      <x:c r="C111" s="268"/>
      <x:c r="D111" s="268"/>
      <x:c r="E111" s="268"/>
      <x:c r="F111" s="268"/>
      <x:c r="G111" s="268"/>
      <x:c r="H111" s="268"/>
      <x:c r="I111" s="268"/>
      <x:c r="J111" s="268"/>
      <x:c r="K111" s="268"/>
      <x:c r="L111" s="268"/>
      <x:c r="M111" s="268"/>
      <x:c r="N111" s="268"/>
      <x:c r="O111" s="268"/>
      <x:c r="P111" s="268"/>
      <x:c r="Q111" s="268"/>
      <x:c r="R111" s="268"/>
      <x:c r="S111" s="268"/>
      <x:c r="T111" s="268"/>
      <x:c r="U111" s="268"/>
      <x:c r="V111" s="268"/>
      <x:c r="W111" s="268"/>
      <x:c r="X111" s="268"/>
      <x:c r="Y111" s="268"/>
      <x:c r="Z111" s="268"/>
      <x:c r="AA111" s="268"/>
      <x:c r="AB111" s="268"/>
      <x:c r="AC111" s="268"/>
    </x:row>
    <x:row r="112">
      <x:c r="A112" s="268"/>
      <x:c r="B112" s="268"/>
      <x:c r="C112" s="268"/>
      <x:c r="D112" s="268"/>
      <x:c r="E112" s="268"/>
      <x:c r="F112" s="268"/>
      <x:c r="G112" s="268"/>
      <x:c r="H112" s="268"/>
      <x:c r="I112" s="268"/>
      <x:c r="J112" s="268"/>
      <x:c r="K112" s="268"/>
      <x:c r="L112" s="268"/>
      <x:c r="M112" s="268"/>
      <x:c r="N112" s="268"/>
      <x:c r="O112" s="268"/>
      <x:c r="P112" s="268"/>
      <x:c r="Q112" s="268"/>
      <x:c r="R112" s="268"/>
      <x:c r="S112" s="268"/>
      <x:c r="T112" s="268"/>
      <x:c r="U112" s="268"/>
      <x:c r="V112" s="268"/>
      <x:c r="W112" s="268"/>
      <x:c r="X112" s="268"/>
      <x:c r="Y112" s="268"/>
      <x:c r="Z112" s="268"/>
      <x:c r="AA112" s="268"/>
      <x:c r="AB112" s="268"/>
      <x:c r="AC112" s="268"/>
    </x:row>
    <x:row r="113">
      <x:c r="A113" s="268"/>
      <x:c r="B113" s="268"/>
      <x:c r="C113" s="268"/>
      <x:c r="D113" s="268"/>
      <x:c r="E113" s="268"/>
      <x:c r="F113" s="268"/>
      <x:c r="G113" s="268"/>
      <x:c r="H113" s="268"/>
      <x:c r="I113" s="268"/>
      <x:c r="J113" s="268"/>
      <x:c r="K113" s="268"/>
      <x:c r="L113" s="268"/>
      <x:c r="M113" s="268"/>
      <x:c r="N113" s="268"/>
      <x:c r="O113" s="268"/>
      <x:c r="P113" s="268"/>
      <x:c r="Q113" s="268"/>
      <x:c r="R113" s="268"/>
      <x:c r="S113" s="268"/>
      <x:c r="T113" s="268"/>
      <x:c r="U113" s="268"/>
      <x:c r="V113" s="268"/>
      <x:c r="W113" s="268"/>
      <x:c r="X113" s="268"/>
      <x:c r="Y113" s="268"/>
      <x:c r="Z113" s="268"/>
      <x:c r="AA113" s="268"/>
      <x:c r="AB113" s="268"/>
      <x:c r="AC113" s="268"/>
    </x:row>
    <x:row r="114">
      <x:c r="A114" s="268"/>
      <x:c r="B114" s="268"/>
      <x:c r="C114" s="268"/>
      <x:c r="D114" s="268"/>
      <x:c r="E114" s="268"/>
      <x:c r="F114" s="268"/>
      <x:c r="G114" s="268"/>
      <x:c r="H114" s="268"/>
      <x:c r="I114" s="268"/>
      <x:c r="J114" s="268"/>
      <x:c r="K114" s="268"/>
      <x:c r="L114" s="268"/>
      <x:c r="M114" s="268"/>
      <x:c r="N114" s="268"/>
      <x:c r="O114" s="268"/>
      <x:c r="P114" s="268"/>
      <x:c r="Q114" s="268"/>
      <x:c r="R114" s="268"/>
      <x:c r="S114" s="268"/>
      <x:c r="T114" s="268"/>
      <x:c r="U114" s="268"/>
      <x:c r="V114" s="268"/>
      <x:c r="W114" s="268"/>
      <x:c r="X114" s="268"/>
      <x:c r="Y114" s="268"/>
      <x:c r="Z114" s="268"/>
      <x:c r="AA114" s="268"/>
      <x:c r="AB114" s="268"/>
      <x:c r="AC114" s="268"/>
    </x:row>
    <x:row r="115">
      <x:c r="A115" s="268"/>
      <x:c r="B115" s="268"/>
      <x:c r="C115" s="268"/>
      <x:c r="D115" s="268"/>
      <x:c r="E115" s="268"/>
      <x:c r="F115" s="268"/>
      <x:c r="G115" s="268"/>
      <x:c r="H115" s="268"/>
      <x:c r="I115" s="268"/>
      <x:c r="J115" s="268"/>
      <x:c r="K115" s="268"/>
      <x:c r="L115" s="268"/>
      <x:c r="M115" s="268"/>
      <x:c r="N115" s="268"/>
      <x:c r="O115" s="268"/>
      <x:c r="P115" s="268"/>
      <x:c r="Q115" s="268"/>
      <x:c r="R115" s="268"/>
      <x:c r="S115" s="268"/>
      <x:c r="T115" s="268"/>
      <x:c r="U115" s="268"/>
      <x:c r="V115" s="268"/>
      <x:c r="W115" s="268"/>
      <x:c r="X115" s="268"/>
      <x:c r="Y115" s="268"/>
      <x:c r="Z115" s="268"/>
      <x:c r="AA115" s="268"/>
      <x:c r="AB115" s="268"/>
      <x:c r="AC115" s="268"/>
    </x:row>
    <x:row r="116">
      <x:c r="A116" s="268"/>
      <x:c r="B116" s="268"/>
      <x:c r="C116" s="268"/>
      <x:c r="D116" s="268"/>
      <x:c r="E116" s="268"/>
      <x:c r="F116" s="268"/>
      <x:c r="G116" s="268"/>
      <x:c r="H116" s="268"/>
      <x:c r="I116" s="268"/>
      <x:c r="J116" s="268"/>
      <x:c r="K116" s="268"/>
      <x:c r="L116" s="268"/>
      <x:c r="M116" s="268"/>
      <x:c r="N116" s="268"/>
      <x:c r="O116" s="268"/>
      <x:c r="P116" s="268"/>
      <x:c r="Q116" s="268"/>
      <x:c r="R116" s="268"/>
      <x:c r="S116" s="268"/>
      <x:c r="T116" s="268"/>
      <x:c r="U116" s="268"/>
      <x:c r="V116" s="268"/>
      <x:c r="W116" s="268"/>
      <x:c r="X116" s="268"/>
      <x:c r="Y116" s="268"/>
      <x:c r="Z116" s="268"/>
      <x:c r="AA116" s="268"/>
      <x:c r="AB116" s="268"/>
      <x:c r="AC116" s="268"/>
    </x:row>
    <x:row r="117">
      <x:c r="A117" s="268"/>
      <x:c r="B117" s="268"/>
      <x:c r="C117" s="268"/>
      <x:c r="D117" s="268"/>
      <x:c r="E117" s="268"/>
      <x:c r="F117" s="268"/>
      <x:c r="G117" s="268"/>
      <x:c r="H117" s="268"/>
      <x:c r="I117" s="268"/>
      <x:c r="J117" s="268"/>
      <x:c r="K117" s="268"/>
      <x:c r="L117" s="268"/>
      <x:c r="M117" s="268"/>
      <x:c r="N117" s="268"/>
      <x:c r="O117" s="268"/>
      <x:c r="P117" s="268"/>
      <x:c r="Q117" s="268"/>
      <x:c r="R117" s="268"/>
      <x:c r="S117" s="268"/>
      <x:c r="T117" s="268"/>
      <x:c r="U117" s="268"/>
      <x:c r="V117" s="268"/>
      <x:c r="W117" s="268"/>
      <x:c r="X117" s="268"/>
      <x:c r="Y117" s="268"/>
      <x:c r="Z117" s="268"/>
      <x:c r="AA117" s="268"/>
      <x:c r="AB117" s="268"/>
      <x:c r="AC117" s="268"/>
    </x:row>
    <x:row r="118">
      <x:c r="A118" s="268"/>
      <x:c r="B118" s="268"/>
      <x:c r="C118" s="268"/>
      <x:c r="D118" s="268"/>
      <x:c r="E118" s="268"/>
      <x:c r="F118" s="268"/>
      <x:c r="G118" s="268"/>
      <x:c r="H118" s="268"/>
      <x:c r="I118" s="268"/>
      <x:c r="J118" s="268"/>
      <x:c r="K118" s="268"/>
      <x:c r="L118" s="268"/>
      <x:c r="M118" s="268"/>
      <x:c r="N118" s="268"/>
      <x:c r="O118" s="268"/>
      <x:c r="P118" s="268"/>
      <x:c r="Q118" s="268"/>
      <x:c r="R118" s="268"/>
      <x:c r="S118" s="268"/>
      <x:c r="T118" s="268"/>
      <x:c r="U118" s="268"/>
      <x:c r="V118" s="268"/>
      <x:c r="W118" s="268"/>
      <x:c r="X118" s="268"/>
      <x:c r="Y118" s="268"/>
      <x:c r="Z118" s="268"/>
      <x:c r="AA118" s="268"/>
      <x:c r="AB118" s="268"/>
      <x:c r="AC118" s="268"/>
    </x:row>
    <x:row r="119">
      <x:c r="A119" s="268"/>
      <x:c r="B119" s="268"/>
      <x:c r="C119" s="268"/>
      <x:c r="D119" s="268"/>
      <x:c r="E119" s="268"/>
      <x:c r="F119" s="268"/>
      <x:c r="G119" s="268"/>
      <x:c r="H119" s="268"/>
      <x:c r="I119" s="268"/>
      <x:c r="J119" s="268"/>
      <x:c r="K119" s="268"/>
      <x:c r="L119" s="268"/>
      <x:c r="M119" s="268"/>
      <x:c r="N119" s="268"/>
      <x:c r="O119" s="268"/>
      <x:c r="P119" s="268"/>
      <x:c r="Q119" s="268"/>
      <x:c r="R119" s="268"/>
      <x:c r="S119" s="268"/>
      <x:c r="T119" s="268"/>
      <x:c r="U119" s="268"/>
      <x:c r="V119" s="268"/>
      <x:c r="W119" s="268"/>
      <x:c r="X119" s="268"/>
      <x:c r="Y119" s="268"/>
      <x:c r="Z119" s="268"/>
      <x:c r="AA119" s="268"/>
      <x:c r="AB119" s="268"/>
      <x:c r="AC119" s="268"/>
    </x:row>
    <x:row r="120">
      <x:c r="A120" s="268"/>
      <x:c r="B120" s="268"/>
      <x:c r="C120" s="268"/>
      <x:c r="D120" s="268"/>
      <x:c r="E120" s="268"/>
      <x:c r="F120" s="268"/>
      <x:c r="G120" s="268"/>
      <x:c r="H120" s="268"/>
      <x:c r="I120" s="268"/>
      <x:c r="J120" s="268"/>
      <x:c r="K120" s="268"/>
      <x:c r="L120" s="268"/>
      <x:c r="M120" s="268"/>
      <x:c r="N120" s="268"/>
      <x:c r="O120" s="268"/>
      <x:c r="P120" s="268"/>
      <x:c r="Q120" s="268"/>
      <x:c r="R120" s="268"/>
      <x:c r="S120" s="268"/>
      <x:c r="T120" s="268"/>
      <x:c r="U120" s="268"/>
      <x:c r="V120" s="268"/>
      <x:c r="W120" s="268"/>
      <x:c r="X120" s="268"/>
      <x:c r="Y120" s="268"/>
      <x:c r="Z120" s="268"/>
      <x:c r="AA120" s="268"/>
      <x:c r="AB120" s="268"/>
      <x:c r="AC120" s="268"/>
    </x:row>
    <x:row r="121">
      <x:c r="A121" s="268"/>
      <x:c r="B121" s="268"/>
      <x:c r="C121" s="268"/>
      <x:c r="D121" s="268"/>
      <x:c r="E121" s="268"/>
      <x:c r="F121" s="268"/>
      <x:c r="G121" s="268"/>
      <x:c r="H121" s="268"/>
      <x:c r="I121" s="268"/>
      <x:c r="J121" s="268"/>
      <x:c r="K121" s="268"/>
      <x:c r="L121" s="268"/>
      <x:c r="M121" s="268"/>
      <x:c r="N121" s="268"/>
      <x:c r="O121" s="268"/>
      <x:c r="P121" s="268"/>
      <x:c r="Q121" s="268"/>
      <x:c r="R121" s="268"/>
      <x:c r="S121" s="268"/>
      <x:c r="T121" s="268"/>
      <x:c r="U121" s="268"/>
      <x:c r="V121" s="268"/>
      <x:c r="W121" s="268"/>
      <x:c r="X121" s="268"/>
      <x:c r="Y121" s="268"/>
      <x:c r="Z121" s="268"/>
      <x:c r="AA121" s="268"/>
      <x:c r="AB121" s="268"/>
      <x:c r="AC121" s="268"/>
    </x:row>
    <x:row r="122">
      <x:c r="A122" s="268"/>
      <x:c r="B122" s="268"/>
      <x:c r="C122" s="268"/>
      <x:c r="D122" s="268"/>
      <x:c r="E122" s="268"/>
      <x:c r="F122" s="268"/>
      <x:c r="G122" s="268"/>
      <x:c r="H122" s="268"/>
      <x:c r="I122" s="268"/>
      <x:c r="J122" s="268"/>
      <x:c r="K122" s="268"/>
      <x:c r="L122" s="268"/>
      <x:c r="M122" s="268"/>
      <x:c r="N122" s="268"/>
      <x:c r="O122" s="268"/>
      <x:c r="P122" s="268"/>
      <x:c r="Q122" s="268"/>
      <x:c r="R122" s="268"/>
      <x:c r="S122" s="268"/>
      <x:c r="T122" s="268"/>
      <x:c r="U122" s="268"/>
      <x:c r="V122" s="268"/>
      <x:c r="W122" s="268"/>
      <x:c r="X122" s="268"/>
      <x:c r="Y122" s="268"/>
      <x:c r="Z122" s="268"/>
      <x:c r="AA122" s="268"/>
      <x:c r="AB122" s="268"/>
      <x:c r="AC122" s="268"/>
    </x:row>
    <x:row r="123">
      <x:c r="A123" s="268"/>
      <x:c r="B123" s="268"/>
      <x:c r="C123" s="268"/>
      <x:c r="D123" s="268"/>
      <x:c r="E123" s="268"/>
      <x:c r="F123" s="268"/>
      <x:c r="G123" s="268"/>
      <x:c r="H123" s="268"/>
      <x:c r="I123" s="268"/>
      <x:c r="J123" s="268"/>
      <x:c r="K123" s="268"/>
      <x:c r="L123" s="268"/>
      <x:c r="M123" s="268"/>
      <x:c r="N123" s="268"/>
      <x:c r="O123" s="268"/>
      <x:c r="P123" s="268"/>
      <x:c r="Q123" s="268"/>
      <x:c r="R123" s="268"/>
      <x:c r="S123" s="268"/>
      <x:c r="T123" s="268"/>
      <x:c r="U123" s="268"/>
      <x:c r="V123" s="268"/>
      <x:c r="W123" s="268"/>
      <x:c r="X123" s="268"/>
      <x:c r="Y123" s="268"/>
      <x:c r="Z123" s="268"/>
      <x:c r="AA123" s="268"/>
      <x:c r="AB123" s="268"/>
      <x:c r="AC123" s="268"/>
    </x:row>
    <x:row r="124">
      <x:c r="A124" s="268"/>
      <x:c r="B124" s="268"/>
      <x:c r="C124" s="268"/>
      <x:c r="D124" s="268"/>
      <x:c r="E124" s="268"/>
      <x:c r="F124" s="268"/>
      <x:c r="G124" s="268"/>
      <x:c r="H124" s="268"/>
      <x:c r="I124" s="268"/>
      <x:c r="J124" s="268"/>
      <x:c r="K124" s="268"/>
      <x:c r="L124" s="268"/>
      <x:c r="M124" s="268"/>
      <x:c r="N124" s="268"/>
      <x:c r="O124" s="268"/>
      <x:c r="P124" s="268"/>
      <x:c r="Q124" s="268"/>
      <x:c r="R124" s="268"/>
      <x:c r="S124" s="268"/>
      <x:c r="T124" s="268"/>
      <x:c r="U124" s="268"/>
      <x:c r="V124" s="268"/>
      <x:c r="W124" s="268"/>
      <x:c r="X124" s="268"/>
      <x:c r="Y124" s="268"/>
      <x:c r="Z124" s="268"/>
      <x:c r="AA124" s="268"/>
      <x:c r="AB124" s="268"/>
      <x:c r="AC124" s="268"/>
    </x:row>
    <x:row r="125">
      <x:c r="A125" s="268"/>
      <x:c r="B125" s="268"/>
      <x:c r="C125" s="268"/>
      <x:c r="D125" s="268"/>
      <x:c r="E125" s="268"/>
      <x:c r="F125" s="268"/>
      <x:c r="G125" s="268"/>
      <x:c r="H125" s="268"/>
      <x:c r="I125" s="268"/>
      <x:c r="J125" s="268"/>
      <x:c r="K125" s="268"/>
      <x:c r="L125" s="268"/>
      <x:c r="M125" s="268"/>
      <x:c r="N125" s="268"/>
      <x:c r="O125" s="268"/>
      <x:c r="P125" s="268"/>
      <x:c r="Q125" s="268"/>
      <x:c r="R125" s="268"/>
      <x:c r="S125" s="268"/>
      <x:c r="T125" s="268"/>
      <x:c r="U125" s="268"/>
      <x:c r="V125" s="268"/>
      <x:c r="W125" s="268"/>
      <x:c r="X125" s="268"/>
      <x:c r="Y125" s="268"/>
      <x:c r="Z125" s="268"/>
      <x:c r="AA125" s="268"/>
      <x:c r="AB125" s="268"/>
      <x:c r="AC125" s="268"/>
    </x:row>
    <x:row r="126">
      <x:c r="A126" s="268"/>
      <x:c r="B126" s="268"/>
      <x:c r="C126" s="268"/>
      <x:c r="D126" s="268"/>
      <x:c r="E126" s="268"/>
      <x:c r="F126" s="268"/>
      <x:c r="G126" s="268"/>
      <x:c r="H126" s="268"/>
      <x:c r="I126" s="268"/>
      <x:c r="J126" s="268"/>
      <x:c r="K126" s="268"/>
      <x:c r="L126" s="268"/>
      <x:c r="M126" s="268"/>
      <x:c r="N126" s="268"/>
      <x:c r="O126" s="268"/>
      <x:c r="P126" s="268"/>
      <x:c r="Q126" s="268"/>
      <x:c r="R126" s="268"/>
      <x:c r="S126" s="268"/>
      <x:c r="T126" s="268"/>
      <x:c r="U126" s="268"/>
      <x:c r="V126" s="268"/>
      <x:c r="W126" s="268"/>
      <x:c r="X126" s="268"/>
      <x:c r="Y126" s="268"/>
      <x:c r="Z126" s="268"/>
      <x:c r="AA126" s="268"/>
      <x:c r="AB126" s="268"/>
      <x:c r="AC126" s="268"/>
    </x:row>
    <x:row r="127">
      <x:c r="A127" s="268"/>
      <x:c r="B127" s="268"/>
      <x:c r="C127" s="268"/>
      <x:c r="D127" s="268"/>
      <x:c r="E127" s="268"/>
      <x:c r="F127" s="268"/>
      <x:c r="G127" s="268"/>
      <x:c r="H127" s="268"/>
      <x:c r="I127" s="268"/>
      <x:c r="J127" s="268"/>
      <x:c r="K127" s="268"/>
      <x:c r="L127" s="268"/>
      <x:c r="M127" s="268"/>
      <x:c r="N127" s="268"/>
      <x:c r="O127" s="268"/>
      <x:c r="P127" s="268"/>
      <x:c r="Q127" s="268"/>
      <x:c r="R127" s="268"/>
      <x:c r="S127" s="268"/>
      <x:c r="T127" s="268"/>
      <x:c r="U127" s="268"/>
      <x:c r="V127" s="268"/>
      <x:c r="W127" s="268"/>
      <x:c r="X127" s="268"/>
      <x:c r="Y127" s="268"/>
      <x:c r="Z127" s="268"/>
      <x:c r="AA127" s="268"/>
      <x:c r="AB127" s="268"/>
      <x:c r="AC127" s="268"/>
    </x:row>
    <x:row r="128">
      <x:c r="A128" s="268"/>
      <x:c r="B128" s="268"/>
      <x:c r="C128" s="268"/>
      <x:c r="D128" s="268"/>
      <x:c r="E128" s="268"/>
      <x:c r="F128" s="268"/>
      <x:c r="G128" s="268"/>
      <x:c r="H128" s="268"/>
      <x:c r="I128" s="268"/>
      <x:c r="J128" s="268"/>
      <x:c r="K128" s="268"/>
      <x:c r="L128" s="268"/>
      <x:c r="M128" s="268"/>
      <x:c r="N128" s="268"/>
      <x:c r="O128" s="268"/>
      <x:c r="P128" s="268"/>
      <x:c r="Q128" s="268"/>
      <x:c r="R128" s="268"/>
      <x:c r="S128" s="268"/>
      <x:c r="T128" s="268"/>
      <x:c r="U128" s="268"/>
      <x:c r="V128" s="268"/>
      <x:c r="W128" s="268"/>
      <x:c r="X128" s="268"/>
      <x:c r="Y128" s="268"/>
      <x:c r="Z128" s="268"/>
      <x:c r="AA128" s="268"/>
      <x:c r="AB128" s="268"/>
      <x:c r="AC128" s="268"/>
    </x:row>
    <x:row r="129">
      <x:c r="A129" s="268"/>
      <x:c r="B129" s="268"/>
      <x:c r="C129" s="268"/>
      <x:c r="D129" s="268"/>
      <x:c r="E129" s="268"/>
      <x:c r="F129" s="268"/>
      <x:c r="G129" s="268"/>
      <x:c r="H129" s="268"/>
      <x:c r="I129" s="268"/>
      <x:c r="J129" s="268"/>
      <x:c r="K129" s="268"/>
      <x:c r="L129" s="268"/>
      <x:c r="M129" s="268"/>
      <x:c r="N129" s="268"/>
      <x:c r="O129" s="268"/>
      <x:c r="P129" s="268"/>
      <x:c r="Q129" s="268"/>
      <x:c r="R129" s="268"/>
      <x:c r="S129" s="268"/>
      <x:c r="T129" s="268"/>
      <x:c r="U129" s="268"/>
      <x:c r="V129" s="268"/>
      <x:c r="W129" s="268"/>
      <x:c r="X129" s="268"/>
      <x:c r="Y129" s="268"/>
      <x:c r="Z129" s="268"/>
      <x:c r="AA129" s="268"/>
      <x:c r="AB129" s="268"/>
      <x:c r="AC129" s="268"/>
    </x:row>
    <x:row r="130">
      <x:c r="A130" s="268"/>
      <x:c r="B130" s="268"/>
      <x:c r="C130" s="268"/>
      <x:c r="D130" s="268"/>
      <x:c r="E130" s="268"/>
      <x:c r="F130" s="268"/>
      <x:c r="G130" s="268"/>
      <x:c r="H130" s="268"/>
      <x:c r="I130" s="268"/>
      <x:c r="J130" s="268"/>
      <x:c r="K130" s="268"/>
      <x:c r="L130" s="268"/>
      <x:c r="M130" s="268"/>
      <x:c r="N130" s="268"/>
      <x:c r="O130" s="268"/>
      <x:c r="P130" s="268"/>
      <x:c r="Q130" s="268"/>
      <x:c r="R130" s="268"/>
      <x:c r="S130" s="268"/>
      <x:c r="T130" s="268"/>
      <x:c r="U130" s="268"/>
      <x:c r="V130" s="268"/>
      <x:c r="W130" s="268"/>
      <x:c r="X130" s="268"/>
      <x:c r="Y130" s="268"/>
      <x:c r="Z130" s="268"/>
      <x:c r="AA130" s="268"/>
      <x:c r="AB130" s="268"/>
      <x:c r="AC130" s="268"/>
    </x:row>
    <x:row r="131">
      <x:c r="A131" s="268"/>
      <x:c r="B131" s="268"/>
      <x:c r="C131" s="268"/>
      <x:c r="D131" s="268"/>
      <x:c r="E131" s="268"/>
      <x:c r="F131" s="268"/>
      <x:c r="G131" s="268"/>
      <x:c r="H131" s="268"/>
      <x:c r="I131" s="268"/>
      <x:c r="J131" s="268"/>
      <x:c r="K131" s="268"/>
      <x:c r="L131" s="268"/>
      <x:c r="M131" s="268"/>
      <x:c r="N131" s="268"/>
      <x:c r="O131" s="268"/>
      <x:c r="P131" s="268"/>
      <x:c r="Q131" s="268"/>
      <x:c r="R131" s="268"/>
      <x:c r="S131" s="268"/>
      <x:c r="T131" s="268"/>
      <x:c r="U131" s="268"/>
      <x:c r="V131" s="268"/>
      <x:c r="W131" s="268"/>
      <x:c r="X131" s="268"/>
      <x:c r="Y131" s="268"/>
      <x:c r="Z131" s="268"/>
      <x:c r="AA131" s="268"/>
      <x:c r="AB131" s="268"/>
      <x:c r="AC131" s="268"/>
    </x:row>
    <x:row r="132">
      <x:c r="A132" s="268"/>
      <x:c r="B132" s="268"/>
      <x:c r="C132" s="268"/>
      <x:c r="D132" s="268"/>
      <x:c r="E132" s="268"/>
      <x:c r="F132" s="268"/>
      <x:c r="G132" s="268"/>
      <x:c r="H132" s="268"/>
      <x:c r="I132" s="268"/>
      <x:c r="J132" s="268"/>
      <x:c r="K132" s="268"/>
      <x:c r="L132" s="268"/>
      <x:c r="M132" s="268"/>
      <x:c r="N132" s="268"/>
      <x:c r="O132" s="268"/>
      <x:c r="P132" s="268"/>
      <x:c r="Q132" s="268"/>
      <x:c r="R132" s="268"/>
      <x:c r="S132" s="268"/>
      <x:c r="T132" s="268"/>
      <x:c r="U132" s="268"/>
      <x:c r="V132" s="268"/>
      <x:c r="W132" s="268"/>
      <x:c r="X132" s="268"/>
      <x:c r="Y132" s="268"/>
      <x:c r="Z132" s="268"/>
      <x:c r="AA132" s="268"/>
      <x:c r="AB132" s="268"/>
      <x:c r="AC132" s="268"/>
    </x:row>
    <x:row r="133">
      <x:c r="A133" s="268"/>
      <x:c r="B133" s="268"/>
      <x:c r="C133" s="268"/>
      <x:c r="D133" s="268"/>
      <x:c r="E133" s="268"/>
      <x:c r="F133" s="268"/>
      <x:c r="G133" s="268"/>
      <x:c r="H133" s="268"/>
      <x:c r="I133" s="268"/>
      <x:c r="J133" s="268"/>
      <x:c r="K133" s="268"/>
      <x:c r="L133" s="268"/>
      <x:c r="M133" s="268"/>
      <x:c r="N133" s="268"/>
      <x:c r="O133" s="268"/>
      <x:c r="P133" s="268"/>
      <x:c r="Q133" s="268"/>
      <x:c r="R133" s="268"/>
      <x:c r="S133" s="268"/>
      <x:c r="T133" s="268"/>
      <x:c r="U133" s="268"/>
      <x:c r="V133" s="268"/>
      <x:c r="W133" s="268"/>
      <x:c r="X133" s="268"/>
      <x:c r="Y133" s="268"/>
      <x:c r="Z133" s="268"/>
      <x:c r="AA133" s="268"/>
      <x:c r="AB133" s="268"/>
      <x:c r="AC133" s="268"/>
    </x:row>
    <x:row r="134">
      <x:c r="A134" s="268"/>
      <x:c r="B134" s="268"/>
      <x:c r="C134" s="268"/>
      <x:c r="D134" s="268"/>
      <x:c r="E134" s="268"/>
      <x:c r="F134" s="268"/>
      <x:c r="G134" s="268"/>
      <x:c r="H134" s="268"/>
      <x:c r="I134" s="268"/>
      <x:c r="J134" s="268"/>
      <x:c r="K134" s="268"/>
      <x:c r="L134" s="268"/>
      <x:c r="M134" s="268"/>
      <x:c r="N134" s="268"/>
      <x:c r="O134" s="268"/>
      <x:c r="P134" s="268"/>
      <x:c r="Q134" s="268"/>
      <x:c r="R134" s="268"/>
      <x:c r="S134" s="268"/>
      <x:c r="T134" s="268"/>
      <x:c r="U134" s="268"/>
      <x:c r="V134" s="268"/>
      <x:c r="W134" s="268"/>
      <x:c r="X134" s="268"/>
      <x:c r="Y134" s="268"/>
      <x:c r="Z134" s="268"/>
      <x:c r="AA134" s="268"/>
      <x:c r="AB134" s="268"/>
      <x:c r="AC134" s="268"/>
    </x:row>
    <x:row r="135">
      <x:c r="A135" s="268"/>
      <x:c r="B135" s="268"/>
      <x:c r="C135" s="268"/>
      <x:c r="D135" s="268"/>
      <x:c r="E135" s="268"/>
      <x:c r="F135" s="268"/>
      <x:c r="G135" s="268"/>
      <x:c r="H135" s="268"/>
      <x:c r="I135" s="268"/>
      <x:c r="J135" s="268"/>
      <x:c r="K135" s="268"/>
      <x:c r="L135" s="268"/>
      <x:c r="M135" s="268"/>
      <x:c r="N135" s="268"/>
      <x:c r="O135" s="268"/>
      <x:c r="P135" s="268"/>
      <x:c r="Q135" s="268"/>
      <x:c r="R135" s="268"/>
      <x:c r="S135" s="268"/>
      <x:c r="T135" s="268"/>
      <x:c r="U135" s="268"/>
      <x:c r="V135" s="268"/>
      <x:c r="W135" s="268"/>
      <x:c r="X135" s="268"/>
      <x:c r="Y135" s="268"/>
      <x:c r="Z135" s="268"/>
      <x:c r="AA135" s="268"/>
      <x:c r="AB135" s="268"/>
      <x:c r="AC135" s="268"/>
    </x:row>
    <x:row r="136">
      <x:c r="A136" s="268"/>
      <x:c r="B136" s="268"/>
      <x:c r="C136" s="268"/>
      <x:c r="D136" s="268"/>
      <x:c r="E136" s="268"/>
      <x:c r="F136" s="268"/>
      <x:c r="G136" s="268"/>
      <x:c r="H136" s="268"/>
      <x:c r="I136" s="268"/>
      <x:c r="J136" s="268"/>
      <x:c r="K136" s="268"/>
      <x:c r="L136" s="268"/>
      <x:c r="M136" s="268"/>
      <x:c r="N136" s="268"/>
      <x:c r="O136" s="268"/>
      <x:c r="P136" s="268"/>
      <x:c r="Q136" s="268"/>
      <x:c r="R136" s="268"/>
      <x:c r="S136" s="268"/>
      <x:c r="T136" s="268"/>
      <x:c r="U136" s="268"/>
      <x:c r="V136" s="268"/>
      <x:c r="W136" s="268"/>
      <x:c r="X136" s="268"/>
      <x:c r="Y136" s="268"/>
      <x:c r="Z136" s="268"/>
      <x:c r="AA136" s="268"/>
      <x:c r="AB136" s="268"/>
      <x:c r="AC136" s="268"/>
    </x:row>
    <x:row r="137">
      <x:c r="A137" s="268"/>
      <x:c r="B137" s="268"/>
      <x:c r="C137" s="268"/>
      <x:c r="D137" s="268"/>
      <x:c r="E137" s="268"/>
      <x:c r="F137" s="268"/>
      <x:c r="G137" s="268"/>
      <x:c r="H137" s="268"/>
      <x:c r="I137" s="268"/>
      <x:c r="J137" s="268"/>
      <x:c r="K137" s="268"/>
      <x:c r="L137" s="268"/>
      <x:c r="M137" s="268"/>
      <x:c r="N137" s="268"/>
      <x:c r="O137" s="268"/>
      <x:c r="P137" s="268"/>
      <x:c r="Q137" s="268"/>
      <x:c r="R137" s="268"/>
      <x:c r="S137" s="268"/>
      <x:c r="T137" s="268"/>
      <x:c r="U137" s="268"/>
      <x:c r="V137" s="268"/>
      <x:c r="W137" s="268"/>
      <x:c r="X137" s="268"/>
      <x:c r="Y137" s="268"/>
      <x:c r="Z137" s="268"/>
      <x:c r="AA137" s="268"/>
      <x:c r="AB137" s="268"/>
      <x:c r="AC137" s="268"/>
    </x:row>
    <x:row r="138">
      <x:c r="A138" s="268"/>
      <x:c r="B138" s="268"/>
      <x:c r="C138" s="268"/>
      <x:c r="D138" s="268"/>
      <x:c r="E138" s="268"/>
      <x:c r="F138" s="268"/>
      <x:c r="G138" s="268"/>
      <x:c r="H138" s="268"/>
      <x:c r="I138" s="268"/>
      <x:c r="J138" s="268"/>
      <x:c r="K138" s="268"/>
      <x:c r="L138" s="268"/>
      <x:c r="M138" s="268"/>
      <x:c r="N138" s="268"/>
      <x:c r="O138" s="268"/>
      <x:c r="P138" s="268"/>
      <x:c r="Q138" s="268"/>
      <x:c r="R138" s="268"/>
      <x:c r="S138" s="268"/>
      <x:c r="T138" s="268"/>
      <x:c r="U138" s="268"/>
      <x:c r="V138" s="268"/>
      <x:c r="W138" s="268"/>
      <x:c r="X138" s="268"/>
      <x:c r="Y138" s="268"/>
      <x:c r="Z138" s="268"/>
      <x:c r="AA138" s="268"/>
      <x:c r="AB138" s="268"/>
      <x:c r="AC138" s="268"/>
    </x:row>
    <x:row r="139">
      <x:c r="A139" s="268"/>
      <x:c r="B139" s="268"/>
      <x:c r="C139" s="268"/>
      <x:c r="D139" s="268"/>
      <x:c r="E139" s="268"/>
      <x:c r="F139" s="268"/>
      <x:c r="G139" s="268"/>
      <x:c r="H139" s="268"/>
      <x:c r="I139" s="268"/>
      <x:c r="J139" s="268"/>
      <x:c r="K139" s="268"/>
      <x:c r="L139" s="268"/>
      <x:c r="M139" s="268"/>
      <x:c r="N139" s="268"/>
      <x:c r="O139" s="268"/>
      <x:c r="P139" s="268"/>
      <x:c r="Q139" s="268"/>
      <x:c r="R139" s="268"/>
      <x:c r="S139" s="268"/>
      <x:c r="T139" s="268"/>
      <x:c r="U139" s="268"/>
      <x:c r="V139" s="268"/>
      <x:c r="W139" s="268"/>
      <x:c r="X139" s="268"/>
      <x:c r="Y139" s="268"/>
      <x:c r="Z139" s="268"/>
      <x:c r="AA139" s="268"/>
      <x:c r="AB139" s="268"/>
      <x:c r="AC139" s="268"/>
    </x:row>
    <x:row r="140">
      <x:c r="A140" s="268"/>
      <x:c r="B140" s="268"/>
      <x:c r="C140" s="268"/>
      <x:c r="D140" s="268"/>
      <x:c r="E140" s="268"/>
      <x:c r="F140" s="268"/>
      <x:c r="G140" s="268"/>
      <x:c r="H140" s="268"/>
      <x:c r="I140" s="268"/>
      <x:c r="J140" s="268"/>
      <x:c r="K140" s="268"/>
      <x:c r="L140" s="268"/>
      <x:c r="M140" s="268"/>
      <x:c r="N140" s="268"/>
      <x:c r="O140" s="268"/>
      <x:c r="P140" s="268"/>
      <x:c r="Q140" s="268"/>
      <x:c r="R140" s="268"/>
      <x:c r="S140" s="268"/>
      <x:c r="T140" s="268"/>
      <x:c r="U140" s="268"/>
      <x:c r="V140" s="268"/>
      <x:c r="W140" s="268"/>
      <x:c r="X140" s="268"/>
      <x:c r="Y140" s="268"/>
      <x:c r="Z140" s="268"/>
      <x:c r="AA140" s="268"/>
      <x:c r="AB140" s="268"/>
      <x:c r="AC140" s="268"/>
    </x:row>
    <x:row r="141">
      <x:c r="A141" s="268"/>
      <x:c r="B141" s="268"/>
      <x:c r="C141" s="268"/>
      <x:c r="D141" s="268"/>
      <x:c r="E141" s="268"/>
      <x:c r="F141" s="268"/>
      <x:c r="G141" s="268"/>
      <x:c r="H141" s="268"/>
      <x:c r="I141" s="268"/>
      <x:c r="J141" s="268"/>
      <x:c r="K141" s="268"/>
      <x:c r="L141" s="268"/>
      <x:c r="M141" s="268"/>
      <x:c r="N141" s="268"/>
      <x:c r="O141" s="268"/>
      <x:c r="P141" s="268"/>
      <x:c r="Q141" s="268"/>
      <x:c r="R141" s="268"/>
      <x:c r="S141" s="268"/>
      <x:c r="T141" s="268"/>
      <x:c r="U141" s="268"/>
      <x:c r="V141" s="268"/>
      <x:c r="W141" s="268"/>
      <x:c r="X141" s="268"/>
      <x:c r="Y141" s="268"/>
      <x:c r="Z141" s="268"/>
      <x:c r="AA141" s="268"/>
      <x:c r="AB141" s="268"/>
      <x:c r="AC141" s="268"/>
    </x:row>
    <x:row r="142">
      <x:c r="A142" s="268"/>
      <x:c r="B142" s="268"/>
      <x:c r="C142" s="268"/>
      <x:c r="D142" s="268"/>
      <x:c r="E142" s="268"/>
      <x:c r="F142" s="268"/>
      <x:c r="G142" s="268"/>
      <x:c r="H142" s="268"/>
      <x:c r="I142" s="268"/>
      <x:c r="J142" s="268"/>
      <x:c r="K142" s="268"/>
      <x:c r="L142" s="268"/>
      <x:c r="M142" s="268"/>
      <x:c r="N142" s="268"/>
      <x:c r="O142" s="268"/>
      <x:c r="P142" s="268"/>
      <x:c r="Q142" s="268"/>
      <x:c r="R142" s="268"/>
      <x:c r="S142" s="268"/>
      <x:c r="T142" s="268"/>
      <x:c r="U142" s="268"/>
      <x:c r="V142" s="268"/>
      <x:c r="W142" s="268"/>
      <x:c r="X142" s="268"/>
      <x:c r="Y142" s="268"/>
      <x:c r="Z142" s="268"/>
      <x:c r="AA142" s="268"/>
      <x:c r="AB142" s="268"/>
      <x:c r="AC142" s="268"/>
    </x:row>
    <x:row r="143">
      <x:c r="A143" s="268"/>
      <x:c r="B143" s="268"/>
      <x:c r="C143" s="268"/>
      <x:c r="D143" s="268"/>
      <x:c r="E143" s="268"/>
      <x:c r="F143" s="268"/>
      <x:c r="G143" s="268"/>
      <x:c r="H143" s="268"/>
      <x:c r="I143" s="268"/>
      <x:c r="J143" s="268"/>
      <x:c r="K143" s="268"/>
      <x:c r="L143" s="268"/>
      <x:c r="M143" s="268"/>
      <x:c r="N143" s="268"/>
      <x:c r="O143" s="268"/>
      <x:c r="P143" s="268"/>
      <x:c r="Q143" s="268"/>
      <x:c r="R143" s="268"/>
      <x:c r="S143" s="268"/>
      <x:c r="T143" s="268"/>
      <x:c r="U143" s="268"/>
      <x:c r="V143" s="268"/>
      <x:c r="W143" s="268"/>
      <x:c r="X143" s="268"/>
      <x:c r="Y143" s="268"/>
      <x:c r="Z143" s="268"/>
      <x:c r="AA143" s="268"/>
      <x:c r="AB143" s="268"/>
      <x:c r="AC143" s="268"/>
    </x:row>
    <x:row r="144">
      <x:c r="A144" s="268"/>
      <x:c r="B144" s="268"/>
      <x:c r="C144" s="268"/>
      <x:c r="D144" s="268"/>
      <x:c r="E144" s="268"/>
      <x:c r="F144" s="268"/>
      <x:c r="G144" s="268"/>
      <x:c r="H144" s="268"/>
      <x:c r="I144" s="268"/>
      <x:c r="J144" s="268"/>
      <x:c r="K144" s="268"/>
      <x:c r="L144" s="268"/>
      <x:c r="M144" s="268"/>
      <x:c r="N144" s="268"/>
      <x:c r="O144" s="268"/>
      <x:c r="P144" s="268"/>
      <x:c r="Q144" s="268"/>
      <x:c r="R144" s="268"/>
      <x:c r="S144" s="268"/>
      <x:c r="T144" s="268"/>
      <x:c r="U144" s="268"/>
      <x:c r="V144" s="268"/>
      <x:c r="W144" s="268"/>
      <x:c r="X144" s="268"/>
      <x:c r="Y144" s="268"/>
      <x:c r="Z144" s="268"/>
      <x:c r="AA144" s="268"/>
      <x:c r="AB144" s="268"/>
      <x:c r="AC144" s="268"/>
    </x:row>
    <x:row r="145">
      <x:c r="A145" s="268"/>
      <x:c r="B145" s="268"/>
      <x:c r="C145" s="268"/>
      <x:c r="D145" s="268"/>
      <x:c r="E145" s="268"/>
      <x:c r="F145" s="268"/>
      <x:c r="G145" s="268"/>
      <x:c r="H145" s="268"/>
      <x:c r="I145" s="268"/>
      <x:c r="J145" s="268"/>
      <x:c r="K145" s="268"/>
      <x:c r="L145" s="268"/>
      <x:c r="M145" s="268"/>
      <x:c r="N145" s="268"/>
      <x:c r="O145" s="268"/>
      <x:c r="P145" s="268"/>
      <x:c r="Q145" s="268"/>
      <x:c r="R145" s="268"/>
      <x:c r="S145" s="268"/>
      <x:c r="T145" s="268"/>
      <x:c r="U145" s="268"/>
      <x:c r="V145" s="268"/>
      <x:c r="W145" s="268"/>
      <x:c r="X145" s="268"/>
      <x:c r="Y145" s="268"/>
      <x:c r="Z145" s="268"/>
      <x:c r="AA145" s="268"/>
      <x:c r="AB145" s="268"/>
      <x:c r="AC145" s="268"/>
    </x:row>
    <x:row r="146">
      <x:c r="A146" s="268"/>
      <x:c r="B146" s="268"/>
      <x:c r="C146" s="268"/>
      <x:c r="D146" s="268"/>
      <x:c r="E146" s="268"/>
      <x:c r="F146" s="268"/>
      <x:c r="G146" s="268"/>
      <x:c r="H146" s="268"/>
      <x:c r="I146" s="268"/>
      <x:c r="J146" s="268"/>
      <x:c r="K146" s="268"/>
      <x:c r="L146" s="268"/>
      <x:c r="M146" s="268"/>
      <x:c r="N146" s="268"/>
      <x:c r="O146" s="268"/>
      <x:c r="P146" s="268"/>
      <x:c r="Q146" s="268"/>
      <x:c r="R146" s="268"/>
      <x:c r="S146" s="268"/>
      <x:c r="T146" s="268"/>
      <x:c r="U146" s="268"/>
      <x:c r="V146" s="268"/>
      <x:c r="W146" s="268"/>
      <x:c r="X146" s="268"/>
      <x:c r="Y146" s="268"/>
      <x:c r="Z146" s="268"/>
      <x:c r="AA146" s="268"/>
      <x:c r="AB146" s="268"/>
      <x:c r="AC146" s="268"/>
    </x:row>
    <x:row r="147">
      <x:c r="A147" s="268"/>
      <x:c r="B147" s="268"/>
      <x:c r="C147" s="268"/>
      <x:c r="D147" s="268"/>
      <x:c r="E147" s="268"/>
      <x:c r="F147" s="268"/>
      <x:c r="G147" s="268"/>
      <x:c r="H147" s="268"/>
      <x:c r="I147" s="268"/>
      <x:c r="J147" s="268"/>
      <x:c r="K147" s="268"/>
      <x:c r="L147" s="268"/>
      <x:c r="M147" s="268"/>
      <x:c r="N147" s="268"/>
      <x:c r="O147" s="268"/>
      <x:c r="P147" s="268"/>
      <x:c r="Q147" s="268"/>
      <x:c r="R147" s="268"/>
      <x:c r="S147" s="268"/>
      <x:c r="T147" s="268"/>
      <x:c r="U147" s="268"/>
      <x:c r="V147" s="268"/>
      <x:c r="W147" s="268"/>
      <x:c r="X147" s="268"/>
      <x:c r="Y147" s="268"/>
      <x:c r="Z147" s="268"/>
      <x:c r="AA147" s="268"/>
      <x:c r="AB147" s="268"/>
      <x:c r="AC147" s="268"/>
    </x:row>
    <x:row r="148">
      <x:c r="A148" s="268"/>
      <x:c r="B148" s="268"/>
      <x:c r="C148" s="268"/>
      <x:c r="D148" s="268"/>
      <x:c r="E148" s="268"/>
      <x:c r="F148" s="268"/>
      <x:c r="G148" s="268"/>
      <x:c r="H148" s="268"/>
      <x:c r="I148" s="268"/>
      <x:c r="J148" s="268"/>
      <x:c r="K148" s="268"/>
      <x:c r="L148" s="268"/>
      <x:c r="M148" s="268"/>
      <x:c r="N148" s="268"/>
      <x:c r="O148" s="268"/>
      <x:c r="P148" s="268"/>
      <x:c r="Q148" s="268"/>
      <x:c r="R148" s="268"/>
      <x:c r="S148" s="268"/>
      <x:c r="T148" s="268"/>
      <x:c r="U148" s="268"/>
      <x:c r="V148" s="268"/>
      <x:c r="W148" s="268"/>
      <x:c r="X148" s="268"/>
      <x:c r="Y148" s="268"/>
      <x:c r="Z148" s="268"/>
      <x:c r="AA148" s="268"/>
      <x:c r="AB148" s="268"/>
      <x:c r="AC148" s="268"/>
    </x:row>
    <x:row r="149">
      <x:c r="A149" s="268"/>
      <x:c r="B149" s="268"/>
      <x:c r="C149" s="268"/>
      <x:c r="D149" s="268"/>
      <x:c r="E149" s="268"/>
      <x:c r="F149" s="268"/>
      <x:c r="G149" s="268"/>
      <x:c r="H149" s="268"/>
      <x:c r="I149" s="268"/>
      <x:c r="J149" s="268"/>
      <x:c r="K149" s="268"/>
      <x:c r="L149" s="268"/>
      <x:c r="M149" s="268"/>
      <x:c r="N149" s="268"/>
      <x:c r="O149" s="268"/>
      <x:c r="P149" s="268"/>
      <x:c r="Q149" s="268"/>
      <x:c r="R149" s="268"/>
      <x:c r="S149" s="268"/>
      <x:c r="T149" s="268"/>
      <x:c r="U149" s="268"/>
      <x:c r="V149" s="268"/>
      <x:c r="W149" s="268"/>
      <x:c r="X149" s="268"/>
      <x:c r="Y149" s="268"/>
      <x:c r="Z149" s="268"/>
      <x:c r="AA149" s="268"/>
      <x:c r="AB149" s="268"/>
      <x:c r="AC149" s="268"/>
    </x:row>
    <x:row r="150">
      <x:c r="A150" s="268"/>
      <x:c r="B150" s="268"/>
      <x:c r="C150" s="268"/>
      <x:c r="D150" s="268"/>
      <x:c r="E150" s="268"/>
      <x:c r="F150" s="268"/>
      <x:c r="G150" s="268"/>
      <x:c r="H150" s="268"/>
      <x:c r="I150" s="268"/>
      <x:c r="J150" s="268"/>
      <x:c r="K150" s="268"/>
      <x:c r="L150" s="268"/>
      <x:c r="M150" s="268"/>
      <x:c r="N150" s="268"/>
      <x:c r="O150" s="268"/>
      <x:c r="P150" s="268"/>
      <x:c r="Q150" s="268"/>
      <x:c r="R150" s="268"/>
      <x:c r="S150" s="268"/>
      <x:c r="T150" s="268"/>
      <x:c r="U150" s="268"/>
      <x:c r="V150" s="268"/>
      <x:c r="W150" s="268"/>
      <x:c r="X150" s="268"/>
      <x:c r="Y150" s="268"/>
      <x:c r="Z150" s="268"/>
      <x:c r="AA150" s="268"/>
      <x:c r="AB150" s="268"/>
      <x:c r="AC150" s="268"/>
    </x:row>
    <x:row r="151">
      <x:c r="A151" s="268"/>
      <x:c r="B151" s="268"/>
      <x:c r="C151" s="268"/>
      <x:c r="D151" s="268"/>
      <x:c r="E151" s="268"/>
      <x:c r="F151" s="268"/>
      <x:c r="G151" s="268"/>
      <x:c r="H151" s="268"/>
      <x:c r="I151" s="268"/>
      <x:c r="J151" s="268"/>
      <x:c r="K151" s="268"/>
      <x:c r="L151" s="268"/>
      <x:c r="M151" s="268"/>
      <x:c r="N151" s="268"/>
      <x:c r="O151" s="268"/>
      <x:c r="P151" s="268"/>
      <x:c r="Q151" s="268"/>
      <x:c r="R151" s="268"/>
      <x:c r="S151" s="268"/>
      <x:c r="T151" s="268"/>
      <x:c r="U151" s="268"/>
      <x:c r="V151" s="268"/>
      <x:c r="W151" s="268"/>
      <x:c r="X151" s="268"/>
      <x:c r="Y151" s="268"/>
      <x:c r="Z151" s="268"/>
      <x:c r="AA151" s="268"/>
      <x:c r="AB151" s="268"/>
      <x:c r="AC151" s="268"/>
    </x:row>
    <x:row r="152">
      <x:c r="A152" s="268"/>
      <x:c r="B152" s="268"/>
      <x:c r="C152" s="268"/>
      <x:c r="D152" s="268"/>
      <x:c r="E152" s="268"/>
      <x:c r="F152" s="268"/>
      <x:c r="G152" s="268"/>
      <x:c r="H152" s="268"/>
      <x:c r="I152" s="268"/>
      <x:c r="J152" s="268"/>
      <x:c r="K152" s="268"/>
      <x:c r="L152" s="268"/>
      <x:c r="M152" s="268"/>
      <x:c r="N152" s="268"/>
      <x:c r="O152" s="268"/>
      <x:c r="P152" s="268"/>
      <x:c r="Q152" s="268"/>
      <x:c r="R152" s="268"/>
      <x:c r="S152" s="268"/>
      <x:c r="T152" s="268"/>
      <x:c r="U152" s="268"/>
      <x:c r="V152" s="268"/>
      <x:c r="W152" s="268"/>
      <x:c r="X152" s="268"/>
      <x:c r="Y152" s="268"/>
      <x:c r="Z152" s="268"/>
      <x:c r="AA152" s="268"/>
      <x:c r="AB152" s="268"/>
      <x:c r="AC152" s="268"/>
    </x:row>
    <x:row r="153">
      <x:c r="A153" s="268"/>
      <x:c r="B153" s="268"/>
      <x:c r="C153" s="268"/>
      <x:c r="D153" s="268"/>
      <x:c r="E153" s="268"/>
      <x:c r="F153" s="268"/>
      <x:c r="G153" s="268"/>
      <x:c r="H153" s="268"/>
      <x:c r="I153" s="268"/>
      <x:c r="J153" s="268"/>
      <x:c r="K153" s="268"/>
      <x:c r="L153" s="268"/>
      <x:c r="M153" s="268"/>
      <x:c r="N153" s="268"/>
      <x:c r="O153" s="268"/>
      <x:c r="P153" s="268"/>
      <x:c r="Q153" s="268"/>
      <x:c r="R153" s="268"/>
      <x:c r="S153" s="268"/>
      <x:c r="T153" s="268"/>
      <x:c r="U153" s="268"/>
      <x:c r="V153" s="268"/>
      <x:c r="W153" s="268"/>
      <x:c r="X153" s="268"/>
      <x:c r="Y153" s="268"/>
      <x:c r="Z153" s="268"/>
      <x:c r="AA153" s="268"/>
      <x:c r="AB153" s="268"/>
      <x:c r="AC153" s="268"/>
    </x:row>
    <x:row r="154">
      <x:c r="A154" s="268"/>
      <x:c r="B154" s="268"/>
      <x:c r="C154" s="268"/>
      <x:c r="D154" s="268"/>
      <x:c r="E154" s="268"/>
      <x:c r="F154" s="268"/>
      <x:c r="G154" s="268"/>
      <x:c r="H154" s="268"/>
      <x:c r="I154" s="268"/>
      <x:c r="J154" s="268"/>
      <x:c r="K154" s="268"/>
      <x:c r="L154" s="268"/>
      <x:c r="M154" s="268"/>
      <x:c r="N154" s="268"/>
      <x:c r="O154" s="268"/>
      <x:c r="P154" s="268"/>
      <x:c r="Q154" s="268"/>
      <x:c r="R154" s="268"/>
      <x:c r="S154" s="268"/>
      <x:c r="T154" s="268"/>
      <x:c r="U154" s="268"/>
      <x:c r="V154" s="268"/>
      <x:c r="W154" s="268"/>
      <x:c r="X154" s="268"/>
      <x:c r="Y154" s="268"/>
      <x:c r="Z154" s="268"/>
      <x:c r="AA154" s="268"/>
      <x:c r="AB154" s="268"/>
      <x:c r="AC154" s="268"/>
    </x:row>
    <x:row r="155">
      <x:c r="A155" s="268"/>
      <x:c r="B155" s="268"/>
      <x:c r="C155" s="268"/>
      <x:c r="D155" s="268"/>
      <x:c r="E155" s="268"/>
      <x:c r="F155" s="268"/>
      <x:c r="G155" s="268"/>
      <x:c r="H155" s="268"/>
      <x:c r="I155" s="268"/>
      <x:c r="J155" s="268"/>
      <x:c r="K155" s="268"/>
      <x:c r="L155" s="268"/>
      <x:c r="M155" s="268"/>
      <x:c r="N155" s="268"/>
      <x:c r="O155" s="268"/>
      <x:c r="P155" s="268"/>
      <x:c r="Q155" s="268"/>
      <x:c r="R155" s="268"/>
      <x:c r="S155" s="268"/>
      <x:c r="T155" s="268"/>
      <x:c r="U155" s="268"/>
      <x:c r="V155" s="268"/>
      <x:c r="W155" s="268"/>
      <x:c r="X155" s="268"/>
      <x:c r="Y155" s="268"/>
      <x:c r="Z155" s="268"/>
      <x:c r="AA155" s="268"/>
      <x:c r="AB155" s="268"/>
      <x:c r="AC155" s="268"/>
    </x:row>
    <x:row r="156">
      <x:c r="A156" s="268"/>
      <x:c r="B156" s="268"/>
      <x:c r="C156" s="268"/>
      <x:c r="D156" s="268"/>
      <x:c r="E156" s="268"/>
      <x:c r="F156" s="268"/>
      <x:c r="G156" s="268"/>
      <x:c r="H156" s="268"/>
      <x:c r="I156" s="268"/>
      <x:c r="J156" s="268"/>
      <x:c r="K156" s="268"/>
      <x:c r="L156" s="268"/>
      <x:c r="M156" s="268"/>
      <x:c r="N156" s="268"/>
      <x:c r="O156" s="268"/>
      <x:c r="P156" s="268"/>
      <x:c r="Q156" s="268"/>
      <x:c r="R156" s="268"/>
      <x:c r="S156" s="268"/>
      <x:c r="T156" s="268"/>
      <x:c r="U156" s="268"/>
      <x:c r="V156" s="268"/>
      <x:c r="W156" s="268"/>
      <x:c r="X156" s="268"/>
      <x:c r="Y156" s="268"/>
      <x:c r="Z156" s="268"/>
      <x:c r="AA156" s="268"/>
      <x:c r="AB156" s="268"/>
      <x:c r="AC156" s="268"/>
    </x:row>
    <x:row r="157">
      <x:c r="A157" s="268"/>
      <x:c r="B157" s="268"/>
      <x:c r="C157" s="268"/>
      <x:c r="D157" s="268"/>
      <x:c r="E157" s="268"/>
      <x:c r="F157" s="268"/>
      <x:c r="G157" s="268"/>
      <x:c r="H157" s="268"/>
      <x:c r="I157" s="268"/>
      <x:c r="J157" s="268"/>
      <x:c r="K157" s="268"/>
      <x:c r="L157" s="268"/>
      <x:c r="M157" s="268"/>
      <x:c r="N157" s="268"/>
      <x:c r="O157" s="268"/>
      <x:c r="P157" s="268"/>
      <x:c r="Q157" s="268"/>
      <x:c r="R157" s="268"/>
      <x:c r="S157" s="268"/>
      <x:c r="T157" s="268"/>
      <x:c r="U157" s="268"/>
      <x:c r="V157" s="268"/>
      <x:c r="W157" s="268"/>
      <x:c r="X157" s="268"/>
      <x:c r="Y157" s="268"/>
      <x:c r="Z157" s="268"/>
      <x:c r="AA157" s="268"/>
      <x:c r="AB157" s="268"/>
      <x:c r="AC157" s="268"/>
    </x:row>
    <x:row r="158">
      <x:c r="A158" s="268"/>
      <x:c r="B158" s="268"/>
      <x:c r="C158" s="268"/>
      <x:c r="D158" s="268"/>
      <x:c r="E158" s="268"/>
      <x:c r="F158" s="268"/>
      <x:c r="G158" s="268"/>
      <x:c r="H158" s="268"/>
      <x:c r="I158" s="268"/>
      <x:c r="J158" s="268"/>
      <x:c r="K158" s="268"/>
      <x:c r="L158" s="268"/>
      <x:c r="M158" s="268"/>
      <x:c r="N158" s="268"/>
      <x:c r="O158" s="268"/>
      <x:c r="P158" s="268"/>
      <x:c r="Q158" s="268"/>
      <x:c r="R158" s="268"/>
      <x:c r="S158" s="268"/>
      <x:c r="T158" s="268"/>
      <x:c r="U158" s="268"/>
      <x:c r="V158" s="268"/>
      <x:c r="W158" s="268"/>
      <x:c r="X158" s="268"/>
      <x:c r="Y158" s="268"/>
      <x:c r="Z158" s="268"/>
      <x:c r="AA158" s="268"/>
      <x:c r="AB158" s="268"/>
      <x:c r="AC158" s="268"/>
    </x:row>
    <x:row r="159">
      <x:c r="A159" s="268"/>
      <x:c r="B159" s="268"/>
      <x:c r="C159" s="268"/>
      <x:c r="D159" s="268"/>
      <x:c r="E159" s="268"/>
      <x:c r="F159" s="268"/>
      <x:c r="G159" s="268"/>
      <x:c r="H159" s="268"/>
      <x:c r="I159" s="268"/>
      <x:c r="J159" s="268"/>
      <x:c r="K159" s="268"/>
      <x:c r="L159" s="268"/>
      <x:c r="M159" s="268"/>
      <x:c r="N159" s="268"/>
      <x:c r="O159" s="268"/>
      <x:c r="P159" s="268"/>
      <x:c r="Q159" s="268"/>
      <x:c r="R159" s="268"/>
      <x:c r="S159" s="268"/>
      <x:c r="T159" s="268"/>
      <x:c r="U159" s="268"/>
      <x:c r="V159" s="268"/>
      <x:c r="W159" s="268"/>
      <x:c r="X159" s="268"/>
      <x:c r="Y159" s="268"/>
      <x:c r="Z159" s="268"/>
      <x:c r="AA159" s="268"/>
      <x:c r="AB159" s="268"/>
      <x:c r="AC159" s="268"/>
    </x:row>
    <x:row r="160">
      <x:c r="A160" s="268"/>
      <x:c r="B160" s="268"/>
      <x:c r="C160" s="268"/>
      <x:c r="D160" s="268"/>
      <x:c r="E160" s="268"/>
      <x:c r="F160" s="268"/>
      <x:c r="G160" s="268"/>
      <x:c r="H160" s="268"/>
      <x:c r="I160" s="268"/>
      <x:c r="J160" s="268"/>
      <x:c r="K160" s="268"/>
      <x:c r="L160" s="268"/>
      <x:c r="M160" s="268"/>
      <x:c r="N160" s="268"/>
      <x:c r="O160" s="268"/>
      <x:c r="P160" s="268"/>
      <x:c r="Q160" s="268"/>
      <x:c r="R160" s="268"/>
      <x:c r="S160" s="268"/>
      <x:c r="T160" s="268"/>
      <x:c r="U160" s="268"/>
      <x:c r="V160" s="268"/>
      <x:c r="W160" s="268"/>
      <x:c r="X160" s="268"/>
      <x:c r="Y160" s="268"/>
      <x:c r="Z160" s="268"/>
      <x:c r="AA160" s="268"/>
      <x:c r="AB160" s="268"/>
      <x:c r="AC160" s="268"/>
    </x:row>
    <x:row r="161">
      <x:c r="A161" s="268"/>
      <x:c r="B161" s="268"/>
      <x:c r="C161" s="268"/>
      <x:c r="D161" s="268"/>
      <x:c r="E161" s="268"/>
      <x:c r="F161" s="268"/>
      <x:c r="G161" s="268"/>
      <x:c r="H161" s="268"/>
      <x:c r="I161" s="268"/>
      <x:c r="J161" s="268"/>
      <x:c r="K161" s="268"/>
      <x:c r="L161" s="268"/>
      <x:c r="M161" s="268"/>
      <x:c r="N161" s="268"/>
      <x:c r="O161" s="268"/>
      <x:c r="P161" s="268"/>
      <x:c r="Q161" s="268"/>
      <x:c r="R161" s="268"/>
      <x:c r="S161" s="268"/>
      <x:c r="T161" s="268"/>
      <x:c r="U161" s="268"/>
      <x:c r="V161" s="268"/>
      <x:c r="W161" s="268"/>
      <x:c r="X161" s="268"/>
      <x:c r="Y161" s="268"/>
      <x:c r="Z161" s="268"/>
      <x:c r="AA161" s="268"/>
      <x:c r="AB161" s="268"/>
      <x:c r="AC161" s="268"/>
    </x:row>
    <x:row r="162">
      <x:c r="A162" s="268"/>
      <x:c r="B162" s="268"/>
      <x:c r="C162" s="268"/>
      <x:c r="D162" s="268"/>
      <x:c r="E162" s="268"/>
      <x:c r="F162" s="268"/>
      <x:c r="G162" s="268"/>
      <x:c r="H162" s="268"/>
      <x:c r="I162" s="268"/>
      <x:c r="J162" s="268"/>
      <x:c r="K162" s="268"/>
      <x:c r="L162" s="268"/>
      <x:c r="M162" s="268"/>
      <x:c r="N162" s="268"/>
      <x:c r="O162" s="268"/>
      <x:c r="P162" s="268"/>
      <x:c r="Q162" s="268"/>
      <x:c r="R162" s="268"/>
      <x:c r="S162" s="268"/>
      <x:c r="T162" s="268"/>
      <x:c r="U162" s="268"/>
      <x:c r="V162" s="268"/>
      <x:c r="W162" s="268"/>
      <x:c r="X162" s="268"/>
      <x:c r="Y162" s="268"/>
      <x:c r="Z162" s="268"/>
      <x:c r="AA162" s="268"/>
      <x:c r="AB162" s="268"/>
      <x:c r="AC162" s="268"/>
    </x:row>
    <x:row r="163">
      <x:c r="A163" s="268"/>
      <x:c r="B163" s="268"/>
      <x:c r="C163" s="268"/>
      <x:c r="D163" s="268"/>
      <x:c r="E163" s="268"/>
      <x:c r="F163" s="268"/>
      <x:c r="G163" s="268"/>
      <x:c r="H163" s="268"/>
      <x:c r="I163" s="268"/>
      <x:c r="J163" s="268"/>
      <x:c r="K163" s="268"/>
      <x:c r="L163" s="268"/>
      <x:c r="M163" s="268"/>
      <x:c r="N163" s="268"/>
      <x:c r="O163" s="268"/>
      <x:c r="P163" s="268"/>
      <x:c r="Q163" s="268"/>
      <x:c r="R163" s="268"/>
      <x:c r="S163" s="268"/>
      <x:c r="T163" s="268"/>
      <x:c r="U163" s="268"/>
      <x:c r="V163" s="268"/>
      <x:c r="W163" s="268"/>
      <x:c r="X163" s="268"/>
      <x:c r="Y163" s="268"/>
      <x:c r="Z163" s="268"/>
      <x:c r="AA163" s="268"/>
      <x:c r="AB163" s="268"/>
      <x:c r="AC163" s="268"/>
    </x:row>
    <x:row r="164">
      <x:c r="A164" s="268"/>
      <x:c r="B164" s="268"/>
      <x:c r="C164" s="268"/>
      <x:c r="D164" s="268"/>
      <x:c r="E164" s="268"/>
      <x:c r="F164" s="268"/>
      <x:c r="G164" s="268"/>
      <x:c r="H164" s="268"/>
      <x:c r="I164" s="268"/>
      <x:c r="J164" s="268"/>
      <x:c r="K164" s="268"/>
      <x:c r="L164" s="268"/>
      <x:c r="M164" s="268"/>
      <x:c r="N164" s="268"/>
      <x:c r="O164" s="268"/>
      <x:c r="P164" s="268"/>
      <x:c r="Q164" s="268"/>
      <x:c r="R164" s="268"/>
      <x:c r="S164" s="268"/>
      <x:c r="T164" s="268"/>
      <x:c r="U164" s="268"/>
      <x:c r="V164" s="268"/>
      <x:c r="W164" s="268"/>
      <x:c r="X164" s="268"/>
      <x:c r="Y164" s="268"/>
      <x:c r="Z164" s="268"/>
      <x:c r="AA164" s="268"/>
      <x:c r="AB164" s="268"/>
      <x:c r="AC164" s="268"/>
    </x:row>
    <x:row r="165">
      <x:c r="A165" s="268"/>
      <x:c r="B165" s="268"/>
      <x:c r="C165" s="268"/>
      <x:c r="D165" s="268"/>
      <x:c r="E165" s="268"/>
      <x:c r="F165" s="268"/>
      <x:c r="G165" s="268"/>
      <x:c r="H165" s="268"/>
      <x:c r="I165" s="268"/>
      <x:c r="J165" s="268"/>
      <x:c r="K165" s="268"/>
      <x:c r="L165" s="268"/>
      <x:c r="M165" s="268"/>
      <x:c r="N165" s="268"/>
      <x:c r="O165" s="268"/>
      <x:c r="P165" s="268"/>
      <x:c r="Q165" s="268"/>
      <x:c r="R165" s="268"/>
      <x:c r="S165" s="268"/>
      <x:c r="T165" s="268"/>
      <x:c r="U165" s="268"/>
      <x:c r="V165" s="268"/>
      <x:c r="W165" s="268"/>
      <x:c r="X165" s="268"/>
      <x:c r="Y165" s="268"/>
      <x:c r="Z165" s="268"/>
      <x:c r="AA165" s="268"/>
      <x:c r="AB165" s="268"/>
      <x:c r="AC165" s="268"/>
    </x:row>
    <x:row r="166">
      <x:c r="A166" s="268"/>
      <x:c r="B166" s="268"/>
      <x:c r="C166" s="268"/>
      <x:c r="D166" s="268"/>
      <x:c r="E166" s="268"/>
      <x:c r="F166" s="268"/>
      <x:c r="G166" s="268"/>
      <x:c r="H166" s="268"/>
      <x:c r="I166" s="268"/>
      <x:c r="J166" s="268"/>
      <x:c r="K166" s="268"/>
      <x:c r="L166" s="268"/>
      <x:c r="M166" s="268"/>
      <x:c r="N166" s="268"/>
      <x:c r="O166" s="268"/>
      <x:c r="P166" s="268"/>
      <x:c r="Q166" s="268"/>
      <x:c r="R166" s="268"/>
      <x:c r="S166" s="268"/>
      <x:c r="T166" s="268"/>
      <x:c r="U166" s="268"/>
      <x:c r="V166" s="268"/>
      <x:c r="W166" s="268"/>
      <x:c r="X166" s="268"/>
      <x:c r="Y166" s="268"/>
      <x:c r="Z166" s="268"/>
      <x:c r="AA166" s="268"/>
      <x:c r="AB166" s="268"/>
      <x:c r="AC166" s="268"/>
    </x:row>
    <x:row r="167">
      <x:c r="A167" s="268"/>
      <x:c r="B167" s="268"/>
      <x:c r="C167" s="268"/>
      <x:c r="D167" s="268"/>
      <x:c r="E167" s="268"/>
      <x:c r="F167" s="268"/>
      <x:c r="G167" s="268"/>
      <x:c r="H167" s="268"/>
      <x:c r="I167" s="268"/>
      <x:c r="J167" s="268"/>
      <x:c r="K167" s="268"/>
      <x:c r="L167" s="268"/>
      <x:c r="M167" s="268"/>
      <x:c r="N167" s="268"/>
      <x:c r="O167" s="268"/>
      <x:c r="P167" s="268"/>
      <x:c r="Q167" s="268"/>
      <x:c r="R167" s="268"/>
      <x:c r="S167" s="268"/>
      <x:c r="T167" s="268"/>
      <x:c r="U167" s="268"/>
      <x:c r="V167" s="268"/>
      <x:c r="W167" s="268"/>
      <x:c r="X167" s="268"/>
      <x:c r="Y167" s="268"/>
      <x:c r="Z167" s="268"/>
      <x:c r="AA167" s="268"/>
      <x:c r="AB167" s="268"/>
      <x:c r="AC167" s="268"/>
    </x:row>
    <x:row r="168">
      <x:c r="A168" s="268"/>
      <x:c r="B168" s="268"/>
      <x:c r="C168" s="268"/>
      <x:c r="D168" s="268"/>
      <x:c r="E168" s="268"/>
      <x:c r="F168" s="268"/>
      <x:c r="G168" s="268"/>
      <x:c r="H168" s="268"/>
      <x:c r="I168" s="268"/>
      <x:c r="J168" s="268"/>
      <x:c r="K168" s="268"/>
      <x:c r="L168" s="268"/>
      <x:c r="M168" s="268"/>
      <x:c r="N168" s="268"/>
      <x:c r="O168" s="268"/>
      <x:c r="P168" s="268"/>
      <x:c r="Q168" s="268"/>
      <x:c r="R168" s="268"/>
      <x:c r="S168" s="268"/>
      <x:c r="T168" s="268"/>
      <x:c r="U168" s="268"/>
      <x:c r="V168" s="268"/>
      <x:c r="W168" s="268"/>
      <x:c r="X168" s="268"/>
      <x:c r="Y168" s="268"/>
      <x:c r="Z168" s="268"/>
      <x:c r="AA168" s="268"/>
      <x:c r="AB168" s="268"/>
      <x:c r="AC168" s="268"/>
    </x:row>
    <x:row r="169">
      <x:c r="A169" s="268"/>
      <x:c r="B169" s="268"/>
      <x:c r="C169" s="268"/>
      <x:c r="D169" s="268"/>
      <x:c r="E169" s="268"/>
      <x:c r="F169" s="268"/>
      <x:c r="G169" s="268"/>
      <x:c r="H169" s="268"/>
      <x:c r="I169" s="268"/>
      <x:c r="J169" s="268"/>
      <x:c r="K169" s="268"/>
      <x:c r="L169" s="268"/>
      <x:c r="M169" s="268"/>
      <x:c r="N169" s="268"/>
      <x:c r="O169" s="268"/>
      <x:c r="P169" s="268"/>
      <x:c r="Q169" s="268"/>
      <x:c r="R169" s="268"/>
      <x:c r="S169" s="268"/>
      <x:c r="T169" s="268"/>
      <x:c r="U169" s="268"/>
      <x:c r="V169" s="268"/>
      <x:c r="W169" s="268"/>
      <x:c r="X169" s="268"/>
      <x:c r="Y169" s="268"/>
      <x:c r="Z169" s="268"/>
      <x:c r="AA169" s="268"/>
      <x:c r="AB169" s="268"/>
      <x:c r="AC169" s="268"/>
    </x:row>
    <x:row r="170">
      <x:c r="A170" s="268"/>
      <x:c r="B170" s="268"/>
      <x:c r="C170" s="268"/>
      <x:c r="D170" s="268"/>
      <x:c r="E170" s="268"/>
      <x:c r="F170" s="268"/>
      <x:c r="G170" s="268"/>
      <x:c r="H170" s="268"/>
      <x:c r="I170" s="268"/>
      <x:c r="J170" s="268"/>
      <x:c r="K170" s="268"/>
      <x:c r="L170" s="268"/>
      <x:c r="M170" s="268"/>
      <x:c r="N170" s="268"/>
      <x:c r="O170" s="268"/>
      <x:c r="P170" s="268"/>
      <x:c r="Q170" s="268"/>
      <x:c r="R170" s="268"/>
      <x:c r="S170" s="268"/>
      <x:c r="T170" s="268"/>
      <x:c r="U170" s="268"/>
      <x:c r="V170" s="268"/>
      <x:c r="W170" s="268"/>
      <x:c r="X170" s="268"/>
      <x:c r="Y170" s="268"/>
      <x:c r="Z170" s="268"/>
      <x:c r="AA170" s="268"/>
      <x:c r="AB170" s="268"/>
      <x:c r="AC170" s="268"/>
    </x:row>
    <x:row r="171">
      <x:c r="A171" s="268"/>
      <x:c r="B171" s="268"/>
      <x:c r="C171" s="268"/>
      <x:c r="D171" s="268"/>
      <x:c r="E171" s="268"/>
      <x:c r="F171" s="268"/>
      <x:c r="G171" s="268"/>
      <x:c r="H171" s="268"/>
      <x:c r="I171" s="268"/>
      <x:c r="J171" s="268"/>
      <x:c r="K171" s="268"/>
      <x:c r="L171" s="268"/>
      <x:c r="M171" s="268"/>
      <x:c r="N171" s="268"/>
      <x:c r="O171" s="268"/>
      <x:c r="P171" s="268"/>
      <x:c r="Q171" s="268"/>
      <x:c r="R171" s="268"/>
      <x:c r="S171" s="268"/>
      <x:c r="T171" s="268"/>
      <x:c r="U171" s="268"/>
      <x:c r="V171" s="268"/>
      <x:c r="W171" s="268"/>
      <x:c r="X171" s="268"/>
      <x:c r="Y171" s="268"/>
      <x:c r="Z171" s="268"/>
      <x:c r="AA171" s="268"/>
      <x:c r="AB171" s="268"/>
      <x:c r="AC171" s="268"/>
    </x:row>
    <x:row r="172">
      <x:c r="A172" s="268"/>
      <x:c r="B172" s="268"/>
      <x:c r="C172" s="268"/>
      <x:c r="D172" s="268"/>
      <x:c r="E172" s="268"/>
      <x:c r="F172" s="268"/>
      <x:c r="G172" s="268"/>
      <x:c r="H172" s="268"/>
      <x:c r="I172" s="268"/>
      <x:c r="J172" s="268"/>
      <x:c r="K172" s="268"/>
      <x:c r="L172" s="268"/>
      <x:c r="M172" s="268"/>
      <x:c r="N172" s="268"/>
      <x:c r="O172" s="268"/>
      <x:c r="P172" s="268"/>
      <x:c r="Q172" s="268"/>
      <x:c r="R172" s="268"/>
      <x:c r="S172" s="268"/>
      <x:c r="T172" s="268"/>
      <x:c r="U172" s="268"/>
      <x:c r="V172" s="268"/>
      <x:c r="W172" s="268"/>
      <x:c r="X172" s="268"/>
      <x:c r="Y172" s="268"/>
      <x:c r="Z172" s="268"/>
      <x:c r="AA172" s="268"/>
      <x:c r="AB172" s="268"/>
      <x:c r="AC172" s="268"/>
    </x:row>
    <x:row r="173">
      <x:c r="A173" s="268"/>
      <x:c r="B173" s="268"/>
      <x:c r="C173" s="268"/>
      <x:c r="D173" s="268"/>
      <x:c r="E173" s="268"/>
      <x:c r="F173" s="268"/>
      <x:c r="G173" s="268"/>
      <x:c r="H173" s="268"/>
      <x:c r="I173" s="268"/>
      <x:c r="J173" s="268"/>
      <x:c r="K173" s="268"/>
      <x:c r="L173" s="268"/>
      <x:c r="M173" s="268"/>
      <x:c r="N173" s="268"/>
      <x:c r="O173" s="268"/>
      <x:c r="P173" s="268"/>
      <x:c r="Q173" s="268"/>
      <x:c r="R173" s="268"/>
      <x:c r="S173" s="268"/>
      <x:c r="T173" s="268"/>
      <x:c r="U173" s="268"/>
      <x:c r="V173" s="268"/>
      <x:c r="W173" s="268"/>
      <x:c r="X173" s="268"/>
      <x:c r="Y173" s="268"/>
      <x:c r="Z173" s="268"/>
      <x:c r="AA173" s="268"/>
      <x:c r="AB173" s="268"/>
      <x:c r="AC173" s="268"/>
    </x:row>
    <x:row r="174">
      <x:c r="A174" s="268"/>
      <x:c r="B174" s="268"/>
      <x:c r="C174" s="268"/>
      <x:c r="D174" s="268"/>
      <x:c r="E174" s="268"/>
      <x:c r="F174" s="268"/>
      <x:c r="G174" s="268"/>
      <x:c r="H174" s="268"/>
      <x:c r="I174" s="268"/>
      <x:c r="J174" s="268"/>
      <x:c r="K174" s="268"/>
      <x:c r="L174" s="268"/>
      <x:c r="M174" s="268"/>
      <x:c r="N174" s="268"/>
      <x:c r="O174" s="268"/>
      <x:c r="P174" s="268"/>
      <x:c r="Q174" s="268"/>
      <x:c r="R174" s="268"/>
      <x:c r="S174" s="268"/>
      <x:c r="T174" s="268"/>
      <x:c r="U174" s="268"/>
      <x:c r="V174" s="268"/>
      <x:c r="W174" s="268"/>
      <x:c r="X174" s="268"/>
      <x:c r="Y174" s="268"/>
      <x:c r="Z174" s="268"/>
      <x:c r="AA174" s="268"/>
      <x:c r="AB174" s="268"/>
      <x:c r="AC174" s="268"/>
    </x:row>
    <x:row r="175">
      <x:c r="A175" s="268"/>
      <x:c r="B175" s="268"/>
      <x:c r="C175" s="268"/>
      <x:c r="D175" s="268"/>
      <x:c r="E175" s="268"/>
      <x:c r="F175" s="268"/>
      <x:c r="G175" s="268"/>
      <x:c r="H175" s="268"/>
      <x:c r="I175" s="268"/>
      <x:c r="J175" s="268"/>
      <x:c r="K175" s="268"/>
      <x:c r="L175" s="268"/>
      <x:c r="M175" s="268"/>
      <x:c r="N175" s="268"/>
      <x:c r="O175" s="268"/>
      <x:c r="P175" s="268"/>
      <x:c r="Q175" s="268"/>
      <x:c r="R175" s="268"/>
      <x:c r="S175" s="268"/>
      <x:c r="T175" s="268"/>
      <x:c r="U175" s="268"/>
      <x:c r="V175" s="268"/>
      <x:c r="W175" s="268"/>
      <x:c r="X175" s="268"/>
      <x:c r="Y175" s="268"/>
      <x:c r="Z175" s="268"/>
      <x:c r="AA175" s="268"/>
      <x:c r="AB175" s="268"/>
      <x:c r="AC175" s="268"/>
    </x:row>
    <x:row r="176">
      <x:c r="A176" s="268"/>
      <x:c r="B176" s="268"/>
      <x:c r="C176" s="268"/>
      <x:c r="D176" s="268"/>
      <x:c r="E176" s="268"/>
      <x:c r="F176" s="268"/>
      <x:c r="G176" s="268"/>
      <x:c r="H176" s="268"/>
      <x:c r="I176" s="268"/>
      <x:c r="J176" s="268"/>
      <x:c r="K176" s="268"/>
      <x:c r="L176" s="268"/>
      <x:c r="M176" s="268"/>
      <x:c r="N176" s="268"/>
      <x:c r="O176" s="268"/>
      <x:c r="P176" s="268"/>
      <x:c r="Q176" s="268"/>
      <x:c r="R176" s="268"/>
      <x:c r="S176" s="268"/>
      <x:c r="T176" s="268"/>
      <x:c r="U176" s="268"/>
      <x:c r="V176" s="268"/>
      <x:c r="W176" s="268"/>
      <x:c r="X176" s="268"/>
      <x:c r="Y176" s="268"/>
      <x:c r="Z176" s="268"/>
      <x:c r="AA176" s="268"/>
      <x:c r="AB176" s="268"/>
      <x:c r="AC176" s="268"/>
    </x:row>
    <x:row r="177">
      <x:c r="A177" s="268"/>
      <x:c r="B177" s="268"/>
      <x:c r="C177" s="268"/>
      <x:c r="D177" s="268"/>
      <x:c r="E177" s="268"/>
      <x:c r="F177" s="268"/>
      <x:c r="G177" s="268"/>
      <x:c r="H177" s="268"/>
      <x:c r="I177" s="268"/>
      <x:c r="J177" s="268"/>
      <x:c r="K177" s="268"/>
      <x:c r="L177" s="268"/>
      <x:c r="M177" s="268"/>
      <x:c r="N177" s="268"/>
      <x:c r="O177" s="268"/>
      <x:c r="P177" s="268"/>
      <x:c r="Q177" s="268"/>
      <x:c r="R177" s="268"/>
      <x:c r="S177" s="268"/>
      <x:c r="T177" s="268"/>
      <x:c r="U177" s="268"/>
      <x:c r="V177" s="268"/>
      <x:c r="W177" s="268"/>
      <x:c r="X177" s="268"/>
      <x:c r="Y177" s="268"/>
      <x:c r="Z177" s="268"/>
      <x:c r="AA177" s="268"/>
      <x:c r="AB177" s="268"/>
      <x:c r="AC177" s="268"/>
    </x:row>
    <x:row r="178">
      <x:c r="A178" s="268"/>
      <x:c r="B178" s="268"/>
      <x:c r="C178" s="268"/>
      <x:c r="D178" s="268"/>
      <x:c r="E178" s="268"/>
      <x:c r="F178" s="268"/>
      <x:c r="G178" s="268"/>
      <x:c r="H178" s="268"/>
      <x:c r="I178" s="268"/>
      <x:c r="J178" s="268"/>
      <x:c r="K178" s="268"/>
      <x:c r="L178" s="268"/>
      <x:c r="M178" s="268"/>
      <x:c r="N178" s="268"/>
      <x:c r="O178" s="268"/>
      <x:c r="P178" s="268"/>
      <x:c r="Q178" s="268"/>
      <x:c r="R178" s="268"/>
      <x:c r="S178" s="268"/>
      <x:c r="T178" s="268"/>
      <x:c r="U178" s="268"/>
      <x:c r="V178" s="268"/>
      <x:c r="W178" s="268"/>
      <x:c r="X178" s="268"/>
      <x:c r="Y178" s="268"/>
      <x:c r="Z178" s="268"/>
      <x:c r="AA178" s="268"/>
      <x:c r="AB178" s="268"/>
      <x:c r="AC178" s="268"/>
    </x:row>
    <x:row r="179">
      <x:c r="A179" s="268"/>
      <x:c r="B179" s="268"/>
      <x:c r="C179" s="268"/>
      <x:c r="D179" s="268"/>
      <x:c r="E179" s="268"/>
      <x:c r="F179" s="268"/>
      <x:c r="G179" s="268"/>
      <x:c r="H179" s="268"/>
      <x:c r="I179" s="268"/>
      <x:c r="J179" s="268"/>
      <x:c r="K179" s="268"/>
      <x:c r="L179" s="268"/>
      <x:c r="M179" s="268"/>
      <x:c r="N179" s="268"/>
      <x:c r="O179" s="268"/>
      <x:c r="P179" s="268"/>
      <x:c r="Q179" s="268"/>
      <x:c r="R179" s="268"/>
      <x:c r="S179" s="268"/>
      <x:c r="T179" s="268"/>
      <x:c r="U179" s="268"/>
      <x:c r="V179" s="268"/>
      <x:c r="W179" s="268"/>
      <x:c r="X179" s="268"/>
      <x:c r="Y179" s="268"/>
      <x:c r="Z179" s="268"/>
      <x:c r="AA179" s="268"/>
      <x:c r="AB179" s="268"/>
      <x:c r="AC179" s="268"/>
    </x:row>
    <x:row r="180">
      <x:c r="A180" s="268"/>
      <x:c r="B180" s="268"/>
      <x:c r="C180" s="268"/>
      <x:c r="D180" s="268"/>
      <x:c r="E180" s="268"/>
      <x:c r="F180" s="268"/>
      <x:c r="G180" s="268"/>
      <x:c r="H180" s="268"/>
      <x:c r="I180" s="268"/>
      <x:c r="J180" s="268"/>
      <x:c r="K180" s="268"/>
      <x:c r="L180" s="268"/>
      <x:c r="M180" s="268"/>
      <x:c r="N180" s="268"/>
      <x:c r="O180" s="268"/>
      <x:c r="P180" s="268"/>
      <x:c r="Q180" s="268"/>
      <x:c r="R180" s="268"/>
      <x:c r="S180" s="268"/>
      <x:c r="T180" s="268"/>
      <x:c r="U180" s="268"/>
      <x:c r="V180" s="268"/>
      <x:c r="W180" s="268"/>
      <x:c r="X180" s="268"/>
      <x:c r="Y180" s="268"/>
      <x:c r="Z180" s="268"/>
      <x:c r="AA180" s="268"/>
      <x:c r="AB180" s="268"/>
      <x:c r="AC180" s="268"/>
    </x:row>
    <x:row r="181">
      <x:c r="A181" s="268"/>
      <x:c r="B181" s="268"/>
      <x:c r="C181" s="268"/>
      <x:c r="D181" s="268"/>
      <x:c r="E181" s="268"/>
      <x:c r="F181" s="268"/>
      <x:c r="G181" s="268"/>
      <x:c r="H181" s="268"/>
      <x:c r="I181" s="268"/>
      <x:c r="J181" s="268"/>
      <x:c r="K181" s="268"/>
      <x:c r="L181" s="268"/>
      <x:c r="M181" s="268"/>
      <x:c r="N181" s="268"/>
      <x:c r="O181" s="268"/>
      <x:c r="P181" s="268"/>
      <x:c r="Q181" s="268"/>
      <x:c r="R181" s="268"/>
      <x:c r="S181" s="268"/>
      <x:c r="T181" s="268"/>
      <x:c r="U181" s="268"/>
      <x:c r="V181" s="268"/>
      <x:c r="W181" s="268"/>
      <x:c r="X181" s="268"/>
      <x:c r="Y181" s="268"/>
      <x:c r="Z181" s="268"/>
      <x:c r="AA181" s="268"/>
      <x:c r="AB181" s="268"/>
      <x:c r="AC181" s="268"/>
    </x:row>
    <x:row r="182">
      <x:c r="A182" s="268"/>
      <x:c r="B182" s="268"/>
      <x:c r="C182" s="268"/>
      <x:c r="D182" s="268"/>
      <x:c r="E182" s="268"/>
      <x:c r="F182" s="268"/>
      <x:c r="G182" s="268"/>
      <x:c r="H182" s="268"/>
      <x:c r="I182" s="268"/>
      <x:c r="J182" s="268"/>
      <x:c r="K182" s="268"/>
      <x:c r="L182" s="268"/>
      <x:c r="M182" s="268"/>
      <x:c r="N182" s="268"/>
      <x:c r="O182" s="268"/>
      <x:c r="P182" s="268"/>
      <x:c r="Q182" s="268"/>
      <x:c r="R182" s="268"/>
      <x:c r="S182" s="268"/>
      <x:c r="T182" s="268"/>
      <x:c r="U182" s="268"/>
      <x:c r="V182" s="268"/>
      <x:c r="W182" s="268"/>
      <x:c r="X182" s="268"/>
      <x:c r="Y182" s="268"/>
      <x:c r="Z182" s="268"/>
      <x:c r="AA182" s="268"/>
      <x:c r="AB182" s="268"/>
      <x:c r="AC182" s="268"/>
    </x:row>
    <x:row r="183">
      <x:c r="A183" s="268"/>
      <x:c r="B183" s="268"/>
      <x:c r="C183" s="268"/>
      <x:c r="D183" s="268"/>
      <x:c r="E183" s="268"/>
      <x:c r="F183" s="268"/>
      <x:c r="G183" s="268"/>
      <x:c r="H183" s="268"/>
      <x:c r="I183" s="268"/>
      <x:c r="J183" s="268"/>
      <x:c r="K183" s="268"/>
      <x:c r="L183" s="268"/>
      <x:c r="M183" s="268"/>
      <x:c r="N183" s="268"/>
      <x:c r="O183" s="268"/>
      <x:c r="P183" s="268"/>
      <x:c r="Q183" s="268"/>
      <x:c r="R183" s="268"/>
      <x:c r="S183" s="268"/>
      <x:c r="T183" s="268"/>
      <x:c r="U183" s="268"/>
      <x:c r="V183" s="268"/>
      <x:c r="W183" s="268"/>
      <x:c r="X183" s="268"/>
      <x:c r="Y183" s="268"/>
      <x:c r="Z183" s="268"/>
      <x:c r="AA183" s="268"/>
      <x:c r="AB183" s="268"/>
      <x:c r="AC183" s="268"/>
    </x:row>
    <x:row r="184">
      <x:c r="A184" s="268"/>
      <x:c r="B184" s="268"/>
      <x:c r="C184" s="268"/>
      <x:c r="D184" s="268"/>
      <x:c r="E184" s="268"/>
      <x:c r="F184" s="268"/>
      <x:c r="G184" s="268"/>
      <x:c r="H184" s="268"/>
      <x:c r="I184" s="268"/>
      <x:c r="J184" s="268"/>
      <x:c r="K184" s="268"/>
      <x:c r="L184" s="268"/>
      <x:c r="M184" s="268"/>
      <x:c r="N184" s="268"/>
      <x:c r="O184" s="268"/>
      <x:c r="P184" s="268"/>
      <x:c r="Q184" s="268"/>
      <x:c r="R184" s="268"/>
      <x:c r="S184" s="268"/>
      <x:c r="T184" s="268"/>
      <x:c r="U184" s="268"/>
      <x:c r="V184" s="268"/>
      <x:c r="W184" s="268"/>
      <x:c r="X184" s="268"/>
      <x:c r="Y184" s="268"/>
      <x:c r="Z184" s="268"/>
      <x:c r="AA184" s="268"/>
      <x:c r="AB184" s="268"/>
      <x:c r="AC184" s="268"/>
    </x:row>
    <x:row r="185">
      <x:c r="A185" s="268"/>
      <x:c r="B185" s="268"/>
      <x:c r="C185" s="268"/>
      <x:c r="D185" s="268"/>
      <x:c r="E185" s="268"/>
      <x:c r="F185" s="268"/>
      <x:c r="G185" s="268"/>
      <x:c r="H185" s="268"/>
      <x:c r="I185" s="268"/>
      <x:c r="J185" s="268"/>
      <x:c r="K185" s="268"/>
      <x:c r="L185" s="268"/>
      <x:c r="M185" s="268"/>
      <x:c r="N185" s="268"/>
      <x:c r="O185" s="268"/>
      <x:c r="P185" s="268"/>
      <x:c r="Q185" s="268"/>
      <x:c r="R185" s="268"/>
      <x:c r="S185" s="268"/>
      <x:c r="T185" s="268"/>
      <x:c r="U185" s="268"/>
      <x:c r="V185" s="268"/>
      <x:c r="W185" s="268"/>
      <x:c r="X185" s="268"/>
      <x:c r="Y185" s="268"/>
      <x:c r="Z185" s="268"/>
      <x:c r="AA185" s="268"/>
      <x:c r="AB185" s="268"/>
      <x:c r="AC185" s="268"/>
    </x:row>
    <x:row r="186">
      <x:c r="A186" s="268"/>
      <x:c r="B186" s="268"/>
      <x:c r="C186" s="268"/>
      <x:c r="D186" s="268"/>
      <x:c r="E186" s="268"/>
      <x:c r="F186" s="268"/>
      <x:c r="G186" s="268"/>
      <x:c r="H186" s="268"/>
      <x:c r="I186" s="268"/>
      <x:c r="J186" s="268"/>
      <x:c r="K186" s="268"/>
      <x:c r="L186" s="268"/>
      <x:c r="M186" s="268"/>
      <x:c r="N186" s="268"/>
      <x:c r="O186" s="268"/>
      <x:c r="P186" s="268"/>
      <x:c r="Q186" s="268"/>
      <x:c r="R186" s="268"/>
      <x:c r="S186" s="268"/>
      <x:c r="T186" s="268"/>
      <x:c r="U186" s="268"/>
      <x:c r="V186" s="268"/>
      <x:c r="W186" s="268"/>
      <x:c r="X186" s="268"/>
      <x:c r="Y186" s="268"/>
      <x:c r="Z186" s="268"/>
      <x:c r="AA186" s="268"/>
      <x:c r="AB186" s="268"/>
      <x:c r="AC186" s="268"/>
    </x:row>
    <x:row r="187">
      <x:c r="A187" s="268"/>
      <x:c r="B187" s="268"/>
      <x:c r="C187" s="268"/>
      <x:c r="D187" s="268"/>
      <x:c r="E187" s="268"/>
      <x:c r="F187" s="268"/>
      <x:c r="G187" s="268"/>
      <x:c r="H187" s="268"/>
      <x:c r="I187" s="268"/>
      <x:c r="J187" s="268"/>
      <x:c r="K187" s="268"/>
      <x:c r="L187" s="268"/>
      <x:c r="M187" s="268"/>
      <x:c r="N187" s="268"/>
      <x:c r="O187" s="268"/>
      <x:c r="P187" s="268"/>
      <x:c r="Q187" s="268"/>
      <x:c r="R187" s="268"/>
      <x:c r="S187" s="268"/>
      <x:c r="T187" s="268"/>
      <x:c r="U187" s="268"/>
      <x:c r="V187" s="268"/>
      <x:c r="W187" s="268"/>
      <x:c r="X187" s="268"/>
      <x:c r="Y187" s="268"/>
      <x:c r="Z187" s="268"/>
      <x:c r="AA187" s="268"/>
      <x:c r="AB187" s="268"/>
      <x:c r="AC187" s="268"/>
    </x:row>
    <x:row r="188">
      <x:c r="A188" s="268"/>
      <x:c r="B188" s="268"/>
      <x:c r="C188" s="268"/>
      <x:c r="D188" s="268"/>
      <x:c r="E188" s="268"/>
      <x:c r="F188" s="268"/>
      <x:c r="G188" s="268"/>
      <x:c r="H188" s="268"/>
      <x:c r="I188" s="268"/>
      <x:c r="J188" s="268"/>
      <x:c r="K188" s="268"/>
      <x:c r="L188" s="268"/>
      <x:c r="M188" s="268"/>
      <x:c r="N188" s="268"/>
      <x:c r="O188" s="268"/>
      <x:c r="P188" s="268"/>
      <x:c r="Q188" s="268"/>
      <x:c r="R188" s="268"/>
      <x:c r="S188" s="268"/>
      <x:c r="T188" s="268"/>
      <x:c r="U188" s="268"/>
      <x:c r="V188" s="268"/>
      <x:c r="W188" s="268"/>
      <x:c r="X188" s="268"/>
      <x:c r="Y188" s="268"/>
      <x:c r="Z188" s="268"/>
      <x:c r="AA188" s="268"/>
      <x:c r="AB188" s="268"/>
      <x:c r="AC188" s="268"/>
    </x:row>
    <x:row r="189">
      <x:c r="A189" s="268"/>
      <x:c r="B189" s="268"/>
      <x:c r="C189" s="268"/>
      <x:c r="D189" s="268"/>
      <x:c r="E189" s="268"/>
      <x:c r="F189" s="268"/>
      <x:c r="G189" s="268"/>
      <x:c r="H189" s="268"/>
      <x:c r="I189" s="268"/>
      <x:c r="J189" s="268"/>
      <x:c r="K189" s="268"/>
      <x:c r="L189" s="268"/>
      <x:c r="M189" s="268"/>
      <x:c r="N189" s="268"/>
      <x:c r="O189" s="268"/>
      <x:c r="P189" s="268"/>
      <x:c r="Q189" s="268"/>
      <x:c r="R189" s="268"/>
      <x:c r="S189" s="268"/>
      <x:c r="T189" s="268"/>
      <x:c r="U189" s="268"/>
      <x:c r="V189" s="268"/>
      <x:c r="W189" s="268"/>
      <x:c r="X189" s="268"/>
      <x:c r="Y189" s="268"/>
      <x:c r="Z189" s="268"/>
      <x:c r="AA189" s="268"/>
      <x:c r="AB189" s="268"/>
      <x:c r="AC189" s="268"/>
    </x:row>
    <x:row r="190">
      <x:c r="A190" s="268"/>
      <x:c r="B190" s="268"/>
      <x:c r="C190" s="268"/>
      <x:c r="D190" s="268"/>
      <x:c r="E190" s="268"/>
      <x:c r="F190" s="268"/>
      <x:c r="G190" s="268"/>
      <x:c r="H190" s="268"/>
      <x:c r="I190" s="268"/>
      <x:c r="J190" s="268"/>
      <x:c r="K190" s="268"/>
      <x:c r="L190" s="268"/>
      <x:c r="M190" s="268"/>
      <x:c r="N190" s="268"/>
      <x:c r="O190" s="268"/>
      <x:c r="P190" s="268"/>
      <x:c r="Q190" s="268"/>
      <x:c r="R190" s="268"/>
      <x:c r="S190" s="268"/>
      <x:c r="T190" s="268"/>
      <x:c r="U190" s="268"/>
      <x:c r="V190" s="268"/>
      <x:c r="W190" s="268"/>
      <x:c r="X190" s="268"/>
      <x:c r="Y190" s="268"/>
      <x:c r="Z190" s="268"/>
      <x:c r="AA190" s="268"/>
      <x:c r="AB190" s="268"/>
      <x:c r="AC190" s="268"/>
    </x:row>
    <x:row r="191">
      <x:c r="A191" s="268"/>
      <x:c r="B191" s="268"/>
      <x:c r="C191" s="268"/>
      <x:c r="D191" s="268"/>
      <x:c r="E191" s="268"/>
      <x:c r="F191" s="268"/>
      <x:c r="G191" s="268"/>
      <x:c r="H191" s="268"/>
      <x:c r="I191" s="268"/>
      <x:c r="J191" s="268"/>
      <x:c r="K191" s="268"/>
      <x:c r="L191" s="268"/>
      <x:c r="M191" s="268"/>
      <x:c r="N191" s="268"/>
      <x:c r="O191" s="268"/>
      <x:c r="P191" s="268"/>
      <x:c r="Q191" s="268"/>
      <x:c r="R191" s="268"/>
      <x:c r="S191" s="268"/>
      <x:c r="T191" s="268"/>
      <x:c r="U191" s="268"/>
      <x:c r="V191" s="268"/>
      <x:c r="W191" s="268"/>
      <x:c r="X191" s="268"/>
      <x:c r="Y191" s="268"/>
      <x:c r="Z191" s="268"/>
      <x:c r="AA191" s="268"/>
      <x:c r="AB191" s="268"/>
      <x:c r="AC191" s="268"/>
    </x:row>
    <x:row r="192">
      <x:c r="A192" s="268"/>
      <x:c r="B192" s="268"/>
      <x:c r="C192" s="268"/>
      <x:c r="D192" s="268"/>
      <x:c r="E192" s="268"/>
      <x:c r="F192" s="268"/>
      <x:c r="G192" s="268"/>
      <x:c r="H192" s="268"/>
      <x:c r="I192" s="268"/>
      <x:c r="J192" s="268"/>
      <x:c r="K192" s="268"/>
      <x:c r="L192" s="268"/>
      <x:c r="M192" s="268"/>
      <x:c r="N192" s="268"/>
      <x:c r="O192" s="268"/>
      <x:c r="P192" s="268"/>
      <x:c r="Q192" s="268"/>
      <x:c r="R192" s="268"/>
      <x:c r="S192" s="268"/>
      <x:c r="T192" s="268"/>
      <x:c r="U192" s="268"/>
      <x:c r="V192" s="268"/>
      <x:c r="W192" s="268"/>
      <x:c r="X192" s="268"/>
      <x:c r="Y192" s="268"/>
      <x:c r="Z192" s="268"/>
      <x:c r="AA192" s="268"/>
      <x:c r="AB192" s="268"/>
      <x:c r="AC192" s="268"/>
    </x:row>
    <x:row r="193">
      <x:c r="A193" s="268"/>
      <x:c r="B193" s="268"/>
      <x:c r="C193" s="268"/>
      <x:c r="D193" s="268"/>
      <x:c r="E193" s="268"/>
      <x:c r="F193" s="268"/>
      <x:c r="G193" s="268"/>
      <x:c r="H193" s="268"/>
      <x:c r="I193" s="268"/>
      <x:c r="J193" s="268"/>
      <x:c r="K193" s="268"/>
      <x:c r="L193" s="268"/>
      <x:c r="M193" s="268"/>
      <x:c r="N193" s="268"/>
      <x:c r="O193" s="268"/>
      <x:c r="P193" s="268"/>
      <x:c r="Q193" s="268"/>
      <x:c r="R193" s="268"/>
      <x:c r="S193" s="268"/>
      <x:c r="T193" s="268"/>
      <x:c r="U193" s="268"/>
      <x:c r="V193" s="268"/>
      <x:c r="W193" s="268"/>
      <x:c r="X193" s="268"/>
      <x:c r="Y193" s="268"/>
      <x:c r="Z193" s="268"/>
      <x:c r="AA193" s="268"/>
      <x:c r="AB193" s="268"/>
      <x:c r="AC193" s="268"/>
    </x:row>
    <x:row r="194">
      <x:c r="A194" s="268"/>
      <x:c r="B194" s="268"/>
      <x:c r="C194" s="268"/>
      <x:c r="D194" s="268"/>
      <x:c r="E194" s="268"/>
      <x:c r="F194" s="268"/>
      <x:c r="G194" s="268"/>
      <x:c r="H194" s="268"/>
      <x:c r="I194" s="268"/>
      <x:c r="J194" s="268"/>
      <x:c r="K194" s="268"/>
      <x:c r="L194" s="268"/>
      <x:c r="M194" s="268"/>
      <x:c r="N194" s="268"/>
      <x:c r="O194" s="268"/>
      <x:c r="P194" s="268"/>
      <x:c r="Q194" s="268"/>
      <x:c r="R194" s="268"/>
      <x:c r="S194" s="268"/>
      <x:c r="T194" s="268"/>
      <x:c r="U194" s="268"/>
      <x:c r="V194" s="268"/>
      <x:c r="W194" s="268"/>
      <x:c r="X194" s="268"/>
      <x:c r="Y194" s="268"/>
      <x:c r="Z194" s="268"/>
      <x:c r="AA194" s="268"/>
      <x:c r="AB194" s="268"/>
      <x:c r="AC194" s="268"/>
    </x:row>
    <x:row r="195">
      <x:c r="A195" s="268"/>
      <x:c r="B195" s="268"/>
      <x:c r="C195" s="268"/>
      <x:c r="D195" s="268"/>
      <x:c r="E195" s="268"/>
      <x:c r="F195" s="268"/>
      <x:c r="G195" s="268"/>
      <x:c r="H195" s="268"/>
      <x:c r="I195" s="268"/>
      <x:c r="J195" s="268"/>
      <x:c r="K195" s="268"/>
      <x:c r="L195" s="268"/>
      <x:c r="M195" s="268"/>
      <x:c r="N195" s="268"/>
      <x:c r="O195" s="268"/>
      <x:c r="P195" s="268"/>
      <x:c r="Q195" s="268"/>
      <x:c r="R195" s="268"/>
      <x:c r="S195" s="268"/>
      <x:c r="T195" s="268"/>
      <x:c r="U195" s="268"/>
      <x:c r="V195" s="268"/>
      <x:c r="W195" s="268"/>
      <x:c r="X195" s="268"/>
      <x:c r="Y195" s="268"/>
      <x:c r="Z195" s="268"/>
      <x:c r="AA195" s="268"/>
      <x:c r="AB195" s="268"/>
      <x:c r="AC195" s="268"/>
    </x:row>
    <x:row r="196">
      <x:c r="A196" s="268"/>
      <x:c r="B196" s="268"/>
      <x:c r="C196" s="268"/>
      <x:c r="D196" s="268"/>
      <x:c r="E196" s="268"/>
      <x:c r="F196" s="268"/>
      <x:c r="G196" s="268"/>
      <x:c r="H196" s="268"/>
      <x:c r="I196" s="268"/>
      <x:c r="J196" s="268"/>
      <x:c r="K196" s="268"/>
      <x:c r="L196" s="268"/>
      <x:c r="M196" s="268"/>
      <x:c r="N196" s="268"/>
      <x:c r="O196" s="268"/>
      <x:c r="P196" s="268"/>
      <x:c r="Q196" s="268"/>
      <x:c r="R196" s="268"/>
      <x:c r="S196" s="268"/>
      <x:c r="T196" s="268"/>
      <x:c r="U196" s="268"/>
      <x:c r="V196" s="268"/>
      <x:c r="W196" s="268"/>
      <x:c r="X196" s="268"/>
      <x:c r="Y196" s="268"/>
      <x:c r="Z196" s="268"/>
      <x:c r="AA196" s="268"/>
      <x:c r="AB196" s="268"/>
      <x:c r="AC196" s="268"/>
    </x:row>
    <x:row r="197">
      <x:c r="A197" s="268"/>
      <x:c r="B197" s="268"/>
      <x:c r="C197" s="268"/>
      <x:c r="D197" s="268"/>
      <x:c r="E197" s="268"/>
      <x:c r="F197" s="268"/>
      <x:c r="G197" s="268"/>
      <x:c r="H197" s="268"/>
      <x:c r="I197" s="268"/>
      <x:c r="J197" s="268"/>
      <x:c r="K197" s="268"/>
      <x:c r="L197" s="268"/>
      <x:c r="M197" s="268"/>
      <x:c r="N197" s="268"/>
      <x:c r="O197" s="268"/>
      <x:c r="P197" s="268"/>
      <x:c r="Q197" s="268"/>
      <x:c r="R197" s="268"/>
      <x:c r="S197" s="268"/>
      <x:c r="T197" s="268"/>
      <x:c r="U197" s="268"/>
      <x:c r="V197" s="268"/>
      <x:c r="W197" s="268"/>
      <x:c r="X197" s="268"/>
      <x:c r="Y197" s="268"/>
      <x:c r="Z197" s="268"/>
      <x:c r="AA197" s="268"/>
      <x:c r="AB197" s="268"/>
      <x:c r="AC197" s="268"/>
    </x:row>
    <x:row r="198">
      <x:c r="A198" s="268"/>
      <x:c r="B198" s="268"/>
      <x:c r="C198" s="268"/>
      <x:c r="D198" s="268"/>
      <x:c r="E198" s="268"/>
      <x:c r="F198" s="268"/>
      <x:c r="G198" s="268"/>
      <x:c r="H198" s="268"/>
      <x:c r="I198" s="268"/>
      <x:c r="J198" s="268"/>
      <x:c r="K198" s="268"/>
      <x:c r="L198" s="268"/>
      <x:c r="M198" s="268"/>
      <x:c r="N198" s="268"/>
      <x:c r="O198" s="268"/>
      <x:c r="P198" s="268"/>
      <x:c r="Q198" s="268"/>
      <x:c r="R198" s="268"/>
      <x:c r="S198" s="268"/>
      <x:c r="T198" s="268"/>
      <x:c r="U198" s="268"/>
      <x:c r="V198" s="268"/>
      <x:c r="W198" s="268"/>
      <x:c r="X198" s="268"/>
      <x:c r="Y198" s="268"/>
      <x:c r="Z198" s="268"/>
      <x:c r="AA198" s="268"/>
      <x:c r="AB198" s="268"/>
      <x:c r="AC198" s="268"/>
    </x:row>
    <x:row r="199">
      <x:c r="A199" s="268"/>
      <x:c r="B199" s="268"/>
      <x:c r="C199" s="268"/>
      <x:c r="D199" s="268"/>
      <x:c r="E199" s="268"/>
      <x:c r="F199" s="268"/>
      <x:c r="G199" s="268"/>
      <x:c r="H199" s="268"/>
      <x:c r="I199" s="268"/>
      <x:c r="J199" s="268"/>
      <x:c r="K199" s="268"/>
      <x:c r="L199" s="268"/>
      <x:c r="M199" s="268"/>
      <x:c r="N199" s="268"/>
      <x:c r="O199" s="268"/>
      <x:c r="P199" s="268"/>
      <x:c r="Q199" s="268"/>
      <x:c r="R199" s="268"/>
      <x:c r="S199" s="268"/>
      <x:c r="T199" s="268"/>
      <x:c r="U199" s="268"/>
      <x:c r="V199" s="268"/>
      <x:c r="W199" s="268"/>
      <x:c r="X199" s="268"/>
      <x:c r="Y199" s="268"/>
      <x:c r="Z199" s="268"/>
      <x:c r="AA199" s="268"/>
      <x:c r="AB199" s="268"/>
      <x:c r="AC199" s="268"/>
    </x:row>
    <x:row r="200">
      <x:c r="A200" s="268"/>
      <x:c r="B200" s="268"/>
      <x:c r="C200" s="268"/>
      <x:c r="D200" s="268"/>
      <x:c r="E200" s="268"/>
      <x:c r="F200" s="268"/>
      <x:c r="G200" s="268"/>
      <x:c r="H200" s="268"/>
      <x:c r="I200" s="268"/>
      <x:c r="J200" s="268"/>
      <x:c r="K200" s="268"/>
      <x:c r="L200" s="268"/>
      <x:c r="M200" s="268"/>
      <x:c r="N200" s="268"/>
      <x:c r="O200" s="268"/>
      <x:c r="P200" s="268"/>
      <x:c r="Q200" s="268"/>
      <x:c r="R200" s="268"/>
      <x:c r="S200" s="268"/>
      <x:c r="T200" s="268"/>
      <x:c r="U200" s="268"/>
      <x:c r="V200" s="268"/>
      <x:c r="W200" s="268"/>
      <x:c r="X200" s="268"/>
      <x:c r="Y200" s="268"/>
      <x:c r="Z200" s="268"/>
      <x:c r="AA200" s="268"/>
      <x:c r="AB200" s="268"/>
      <x:c r="AC200" s="268"/>
    </x:row>
    <x:row r="201">
      <x:c r="A201" s="268"/>
      <x:c r="B201" s="268"/>
      <x:c r="C201" s="268"/>
      <x:c r="D201" s="268"/>
      <x:c r="E201" s="268"/>
      <x:c r="F201" s="268"/>
      <x:c r="G201" s="268"/>
      <x:c r="H201" s="268"/>
      <x:c r="I201" s="268"/>
      <x:c r="J201" s="268"/>
      <x:c r="K201" s="268"/>
      <x:c r="L201" s="268"/>
      <x:c r="M201" s="268"/>
      <x:c r="N201" s="268"/>
      <x:c r="O201" s="268"/>
      <x:c r="P201" s="268"/>
      <x:c r="Q201" s="268"/>
      <x:c r="R201" s="268"/>
      <x:c r="S201" s="268"/>
      <x:c r="T201" s="268"/>
      <x:c r="U201" s="268"/>
      <x:c r="V201" s="268"/>
      <x:c r="W201" s="268"/>
      <x:c r="X201" s="268"/>
      <x:c r="Y201" s="268"/>
      <x:c r="Z201" s="268"/>
      <x:c r="AA201" s="268"/>
      <x:c r="AB201" s="268"/>
      <x:c r="AC201" s="268"/>
    </x:row>
    <x:row r="202">
      <x:c r="A202" s="268"/>
      <x:c r="B202" s="268"/>
      <x:c r="C202" s="268"/>
      <x:c r="D202" s="268"/>
      <x:c r="E202" s="268"/>
      <x:c r="F202" s="268"/>
      <x:c r="G202" s="268"/>
      <x:c r="H202" s="268"/>
      <x:c r="I202" s="268"/>
      <x:c r="J202" s="268"/>
      <x:c r="K202" s="268"/>
      <x:c r="L202" s="268"/>
      <x:c r="M202" s="268"/>
      <x:c r="N202" s="268"/>
      <x:c r="O202" s="268"/>
      <x:c r="P202" s="268"/>
      <x:c r="Q202" s="268"/>
      <x:c r="R202" s="268"/>
      <x:c r="S202" s="268"/>
      <x:c r="T202" s="268"/>
      <x:c r="U202" s="268"/>
      <x:c r="V202" s="268"/>
      <x:c r="W202" s="268"/>
      <x:c r="X202" s="268"/>
      <x:c r="Y202" s="268"/>
      <x:c r="Z202" s="268"/>
      <x:c r="AA202" s="268"/>
      <x:c r="AB202" s="268"/>
      <x:c r="AC202" s="268"/>
    </x:row>
    <x:row r="203">
      <x:c r="A203" s="268"/>
      <x:c r="B203" s="268"/>
      <x:c r="C203" s="268"/>
      <x:c r="D203" s="268"/>
      <x:c r="E203" s="268"/>
      <x:c r="F203" s="268"/>
      <x:c r="G203" s="268"/>
      <x:c r="H203" s="268"/>
      <x:c r="I203" s="268"/>
      <x:c r="J203" s="268"/>
      <x:c r="K203" s="268"/>
      <x:c r="L203" s="268"/>
      <x:c r="M203" s="268"/>
      <x:c r="N203" s="268"/>
      <x:c r="O203" s="268"/>
      <x:c r="P203" s="268"/>
      <x:c r="Q203" s="268"/>
      <x:c r="R203" s="268"/>
      <x:c r="S203" s="268"/>
      <x:c r="T203" s="268"/>
      <x:c r="U203" s="268"/>
      <x:c r="V203" s="268"/>
      <x:c r="W203" s="268"/>
      <x:c r="X203" s="268"/>
      <x:c r="Y203" s="268"/>
      <x:c r="Z203" s="268"/>
      <x:c r="AA203" s="268"/>
      <x:c r="AB203" s="268"/>
      <x:c r="AC203" s="268"/>
    </x:row>
    <x:row r="204">
      <x:c r="A204" s="268"/>
      <x:c r="B204" s="268"/>
      <x:c r="C204" s="268"/>
      <x:c r="D204" s="268"/>
      <x:c r="E204" s="268"/>
      <x:c r="F204" s="268"/>
      <x:c r="G204" s="268"/>
      <x:c r="H204" s="268"/>
      <x:c r="I204" s="268"/>
      <x:c r="J204" s="268"/>
      <x:c r="K204" s="268"/>
      <x:c r="L204" s="268"/>
      <x:c r="M204" s="268"/>
      <x:c r="N204" s="268"/>
      <x:c r="O204" s="268"/>
      <x:c r="P204" s="268"/>
      <x:c r="Q204" s="268"/>
      <x:c r="R204" s="268"/>
      <x:c r="S204" s="268"/>
      <x:c r="T204" s="268"/>
      <x:c r="U204" s="268"/>
      <x:c r="V204" s="268"/>
      <x:c r="W204" s="268"/>
      <x:c r="X204" s="268"/>
      <x:c r="Y204" s="268"/>
      <x:c r="Z204" s="268"/>
      <x:c r="AA204" s="268"/>
      <x:c r="AB204" s="268"/>
      <x:c r="AC204" s="268"/>
    </x:row>
    <x:row r="205">
      <x:c r="A205" s="268"/>
      <x:c r="B205" s="268"/>
      <x:c r="C205" s="268"/>
      <x:c r="D205" s="268"/>
      <x:c r="E205" s="268"/>
      <x:c r="F205" s="268"/>
      <x:c r="G205" s="268"/>
      <x:c r="H205" s="268"/>
      <x:c r="I205" s="268"/>
      <x:c r="J205" s="268"/>
      <x:c r="K205" s="268"/>
      <x:c r="L205" s="268"/>
      <x:c r="M205" s="268"/>
      <x:c r="N205" s="268"/>
      <x:c r="O205" s="268"/>
      <x:c r="P205" s="268"/>
      <x:c r="Q205" s="268"/>
      <x:c r="R205" s="268"/>
      <x:c r="S205" s="268"/>
      <x:c r="T205" s="268"/>
      <x:c r="U205" s="268"/>
      <x:c r="V205" s="268"/>
      <x:c r="W205" s="268"/>
      <x:c r="X205" s="268"/>
      <x:c r="Y205" s="268"/>
      <x:c r="Z205" s="268"/>
      <x:c r="AA205" s="268"/>
      <x:c r="AB205" s="268"/>
      <x:c r="AC205" s="268"/>
    </x:row>
    <x:row r="206">
      <x:c r="A206" s="268"/>
      <x:c r="B206" s="268"/>
      <x:c r="C206" s="268"/>
      <x:c r="D206" s="268"/>
      <x:c r="E206" s="268"/>
      <x:c r="F206" s="268"/>
      <x:c r="G206" s="268"/>
      <x:c r="H206" s="268"/>
      <x:c r="I206" s="268"/>
      <x:c r="J206" s="268"/>
      <x:c r="K206" s="268"/>
      <x:c r="L206" s="268"/>
      <x:c r="M206" s="268"/>
      <x:c r="N206" s="268"/>
      <x:c r="O206" s="268"/>
      <x:c r="P206" s="268"/>
      <x:c r="Q206" s="268"/>
      <x:c r="R206" s="268"/>
      <x:c r="S206" s="268"/>
      <x:c r="T206" s="268"/>
      <x:c r="U206" s="268"/>
      <x:c r="V206" s="268"/>
      <x:c r="W206" s="268"/>
      <x:c r="X206" s="268"/>
      <x:c r="Y206" s="268"/>
      <x:c r="Z206" s="268"/>
      <x:c r="AA206" s="268"/>
      <x:c r="AB206" s="268"/>
      <x:c r="AC206" s="268"/>
    </x:row>
    <x:row r="207">
      <x:c r="A207" s="268"/>
      <x:c r="B207" s="268"/>
      <x:c r="C207" s="268"/>
      <x:c r="D207" s="268"/>
      <x:c r="E207" s="268"/>
      <x:c r="F207" s="268"/>
      <x:c r="G207" s="268"/>
      <x:c r="H207" s="268"/>
      <x:c r="I207" s="268"/>
      <x:c r="J207" s="268"/>
      <x:c r="K207" s="268"/>
      <x:c r="L207" s="268"/>
      <x:c r="M207" s="268"/>
      <x:c r="N207" s="268"/>
      <x:c r="O207" s="268"/>
      <x:c r="P207" s="268"/>
      <x:c r="Q207" s="268"/>
      <x:c r="R207" s="268"/>
      <x:c r="S207" s="268"/>
      <x:c r="T207" s="268"/>
      <x:c r="U207" s="268"/>
      <x:c r="V207" s="268"/>
      <x:c r="W207" s="268"/>
      <x:c r="X207" s="268"/>
      <x:c r="Y207" s="268"/>
      <x:c r="Z207" s="268"/>
      <x:c r="AA207" s="268"/>
      <x:c r="AB207" s="268"/>
      <x:c r="AC207" s="268"/>
    </x:row>
    <x:row r="208">
      <x:c r="A208" s="268"/>
      <x:c r="B208" s="268"/>
      <x:c r="C208" s="268"/>
      <x:c r="D208" s="268"/>
      <x:c r="E208" s="268"/>
      <x:c r="F208" s="268"/>
      <x:c r="G208" s="268"/>
      <x:c r="H208" s="268"/>
      <x:c r="I208" s="268"/>
      <x:c r="J208" s="268"/>
      <x:c r="K208" s="268"/>
      <x:c r="L208" s="268"/>
      <x:c r="M208" s="268"/>
      <x:c r="N208" s="268"/>
      <x:c r="O208" s="268"/>
      <x:c r="P208" s="268"/>
      <x:c r="Q208" s="268"/>
      <x:c r="R208" s="268"/>
      <x:c r="S208" s="268"/>
      <x:c r="T208" s="268"/>
      <x:c r="U208" s="268"/>
      <x:c r="V208" s="268"/>
      <x:c r="W208" s="268"/>
      <x:c r="X208" s="268"/>
      <x:c r="Y208" s="268"/>
      <x:c r="Z208" s="268"/>
      <x:c r="AA208" s="268"/>
      <x:c r="AB208" s="268"/>
      <x:c r="AC208" s="268"/>
    </x:row>
    <x:row r="209">
      <x:c r="A209" s="268"/>
      <x:c r="B209" s="268"/>
      <x:c r="C209" s="268"/>
      <x:c r="D209" s="268"/>
      <x:c r="E209" s="268"/>
      <x:c r="F209" s="268"/>
      <x:c r="G209" s="268"/>
      <x:c r="H209" s="268"/>
      <x:c r="I209" s="268"/>
      <x:c r="J209" s="268"/>
      <x:c r="K209" s="268"/>
      <x:c r="L209" s="268"/>
      <x:c r="M209" s="268"/>
      <x:c r="N209" s="268"/>
      <x:c r="O209" s="268"/>
      <x:c r="P209" s="268"/>
      <x:c r="Q209" s="268"/>
      <x:c r="R209" s="268"/>
      <x:c r="S209" s="268"/>
      <x:c r="T209" s="268"/>
      <x:c r="U209" s="268"/>
      <x:c r="V209" s="268"/>
      <x:c r="W209" s="268"/>
      <x:c r="X209" s="268"/>
      <x:c r="Y209" s="268"/>
      <x:c r="Z209" s="268"/>
      <x:c r="AA209" s="268"/>
      <x:c r="AB209" s="268"/>
      <x:c r="AC209" s="268"/>
    </x:row>
    <x:row r="210">
      <x:c r="A210" s="268"/>
      <x:c r="B210" s="268"/>
      <x:c r="C210" s="268"/>
      <x:c r="D210" s="268"/>
      <x:c r="E210" s="268"/>
      <x:c r="F210" s="268"/>
      <x:c r="G210" s="268"/>
      <x:c r="H210" s="268"/>
      <x:c r="I210" s="268"/>
      <x:c r="J210" s="268"/>
      <x:c r="K210" s="268"/>
      <x:c r="L210" s="268"/>
      <x:c r="M210" s="268"/>
      <x:c r="N210" s="268"/>
      <x:c r="O210" s="268"/>
      <x:c r="P210" s="268"/>
      <x:c r="Q210" s="268"/>
      <x:c r="R210" s="268"/>
      <x:c r="S210" s="268"/>
      <x:c r="T210" s="268"/>
      <x:c r="U210" s="268"/>
      <x:c r="V210" s="268"/>
      <x:c r="W210" s="268"/>
      <x:c r="X210" s="268"/>
      <x:c r="Y210" s="268"/>
      <x:c r="Z210" s="268"/>
      <x:c r="AA210" s="268"/>
      <x:c r="AB210" s="268"/>
      <x:c r="AC210" s="268"/>
    </x:row>
    <x:row r="211">
      <x:c r="A211" s="268"/>
      <x:c r="B211" s="268"/>
      <x:c r="C211" s="268"/>
      <x:c r="D211" s="268"/>
      <x:c r="E211" s="268"/>
      <x:c r="F211" s="268"/>
      <x:c r="G211" s="268"/>
      <x:c r="H211" s="268"/>
      <x:c r="I211" s="268"/>
      <x:c r="J211" s="268"/>
      <x:c r="K211" s="268"/>
      <x:c r="L211" s="268"/>
      <x:c r="M211" s="268"/>
      <x:c r="N211" s="268"/>
      <x:c r="O211" s="268"/>
      <x:c r="P211" s="268"/>
      <x:c r="Q211" s="268"/>
      <x:c r="R211" s="268"/>
      <x:c r="S211" s="268"/>
      <x:c r="T211" s="268"/>
      <x:c r="U211" s="268"/>
      <x:c r="V211" s="268"/>
      <x:c r="W211" s="268"/>
      <x:c r="X211" s="268"/>
      <x:c r="Y211" s="268"/>
      <x:c r="Z211" s="268"/>
      <x:c r="AA211" s="268"/>
      <x:c r="AB211" s="268"/>
      <x:c r="AC211" s="268"/>
    </x:row>
    <x:row r="212">
      <x:c r="A212" s="268"/>
      <x:c r="B212" s="268"/>
      <x:c r="C212" s="268"/>
      <x:c r="D212" s="268"/>
      <x:c r="E212" s="268"/>
      <x:c r="F212" s="268"/>
      <x:c r="G212" s="268"/>
      <x:c r="H212" s="268"/>
      <x:c r="I212" s="268"/>
      <x:c r="J212" s="268"/>
      <x:c r="K212" s="268"/>
      <x:c r="L212" s="268"/>
      <x:c r="M212" s="268"/>
      <x:c r="N212" s="268"/>
      <x:c r="O212" s="268"/>
      <x:c r="P212" s="268"/>
      <x:c r="Q212" s="268"/>
      <x:c r="R212" s="268"/>
      <x:c r="S212" s="268"/>
      <x:c r="T212" s="268"/>
      <x:c r="U212" s="268"/>
      <x:c r="V212" s="268"/>
      <x:c r="W212" s="268"/>
      <x:c r="X212" s="268"/>
      <x:c r="Y212" s="268"/>
      <x:c r="Z212" s="268"/>
      <x:c r="AA212" s="268"/>
      <x:c r="AB212" s="268"/>
      <x:c r="AC212" s="268"/>
    </x:row>
    <x:row r="213">
      <x:c r="A213" s="268"/>
      <x:c r="B213" s="268"/>
      <x:c r="C213" s="268"/>
      <x:c r="D213" s="268"/>
      <x:c r="E213" s="268"/>
      <x:c r="F213" s="268"/>
      <x:c r="G213" s="268"/>
      <x:c r="H213" s="268"/>
      <x:c r="I213" s="268"/>
      <x:c r="J213" s="268"/>
      <x:c r="K213" s="268"/>
      <x:c r="L213" s="268"/>
      <x:c r="M213" s="268"/>
      <x:c r="N213" s="268"/>
      <x:c r="O213" s="268"/>
      <x:c r="P213" s="268"/>
      <x:c r="Q213" s="268"/>
      <x:c r="R213" s="268"/>
      <x:c r="S213" s="268"/>
      <x:c r="T213" s="268"/>
      <x:c r="U213" s="268"/>
      <x:c r="V213" s="268"/>
      <x:c r="W213" s="268"/>
      <x:c r="X213" s="268"/>
      <x:c r="Y213" s="268"/>
      <x:c r="Z213" s="268"/>
      <x:c r="AA213" s="268"/>
      <x:c r="AB213" s="268"/>
      <x:c r="AC213" s="268"/>
    </x:row>
    <x:row r="214">
      <x:c r="A214" s="268"/>
      <x:c r="B214" s="268"/>
      <x:c r="C214" s="268"/>
      <x:c r="D214" s="268"/>
      <x:c r="E214" s="268"/>
      <x:c r="F214" s="268"/>
      <x:c r="G214" s="268"/>
      <x:c r="H214" s="268"/>
      <x:c r="I214" s="268"/>
      <x:c r="J214" s="268"/>
      <x:c r="K214" s="268"/>
      <x:c r="L214" s="268"/>
      <x:c r="M214" s="268"/>
      <x:c r="N214" s="268"/>
      <x:c r="O214" s="268"/>
      <x:c r="P214" s="268"/>
      <x:c r="Q214" s="268"/>
      <x:c r="R214" s="268"/>
      <x:c r="S214" s="268"/>
      <x:c r="T214" s="268"/>
      <x:c r="U214" s="268"/>
      <x:c r="V214" s="268"/>
      <x:c r="W214" s="268"/>
      <x:c r="X214" s="268"/>
      <x:c r="Y214" s="268"/>
      <x:c r="Z214" s="268"/>
      <x:c r="AA214" s="268"/>
      <x:c r="AB214" s="268"/>
      <x:c r="AC214" s="268"/>
    </x:row>
    <x:row r="215">
      <x:c r="A215" s="268"/>
      <x:c r="B215" s="268"/>
      <x:c r="C215" s="268"/>
      <x:c r="D215" s="268"/>
      <x:c r="E215" s="268"/>
      <x:c r="F215" s="268"/>
      <x:c r="G215" s="268"/>
      <x:c r="H215" s="268"/>
      <x:c r="I215" s="268"/>
      <x:c r="J215" s="268"/>
      <x:c r="K215" s="268"/>
      <x:c r="L215" s="268"/>
      <x:c r="M215" s="268"/>
      <x:c r="N215" s="268"/>
      <x:c r="O215" s="268"/>
      <x:c r="P215" s="268"/>
      <x:c r="Q215" s="268"/>
      <x:c r="R215" s="268"/>
      <x:c r="S215" s="268"/>
      <x:c r="T215" s="268"/>
      <x:c r="U215" s="268"/>
      <x:c r="V215" s="268"/>
      <x:c r="W215" s="268"/>
      <x:c r="X215" s="268"/>
      <x:c r="Y215" s="268"/>
      <x:c r="Z215" s="268"/>
      <x:c r="AA215" s="268"/>
      <x:c r="AB215" s="268"/>
      <x:c r="AC215" s="268"/>
    </x:row>
    <x:row r="216">
      <x:c r="A216" s="268"/>
      <x:c r="B216" s="268"/>
      <x:c r="C216" s="268"/>
      <x:c r="D216" s="268"/>
      <x:c r="E216" s="268"/>
      <x:c r="F216" s="268"/>
      <x:c r="G216" s="268"/>
      <x:c r="H216" s="268"/>
      <x:c r="I216" s="268"/>
      <x:c r="J216" s="268"/>
      <x:c r="K216" s="268"/>
      <x:c r="L216" s="268"/>
      <x:c r="M216" s="268"/>
      <x:c r="N216" s="268"/>
      <x:c r="O216" s="268"/>
      <x:c r="P216" s="268"/>
      <x:c r="Q216" s="268"/>
      <x:c r="R216" s="268"/>
      <x:c r="S216" s="268"/>
      <x:c r="T216" s="268"/>
      <x:c r="U216" s="268"/>
      <x:c r="V216" s="268"/>
      <x:c r="W216" s="268"/>
      <x:c r="X216" s="268"/>
      <x:c r="Y216" s="268"/>
      <x:c r="Z216" s="268"/>
      <x:c r="AA216" s="268"/>
      <x:c r="AB216" s="268"/>
      <x:c r="AC216" s="268"/>
    </x:row>
    <x:row r="217">
      <x:c r="A217" s="268"/>
      <x:c r="B217" s="268"/>
      <x:c r="C217" s="268"/>
      <x:c r="D217" s="268"/>
      <x:c r="E217" s="268"/>
      <x:c r="F217" s="268"/>
      <x:c r="G217" s="268"/>
      <x:c r="H217" s="268"/>
      <x:c r="I217" s="268"/>
      <x:c r="J217" s="268"/>
      <x:c r="K217" s="268"/>
      <x:c r="L217" s="268"/>
      <x:c r="M217" s="268"/>
      <x:c r="N217" s="268"/>
      <x:c r="O217" s="268"/>
      <x:c r="P217" s="268"/>
      <x:c r="Q217" s="268"/>
      <x:c r="R217" s="268"/>
      <x:c r="S217" s="268"/>
      <x:c r="T217" s="268"/>
      <x:c r="U217" s="268"/>
      <x:c r="V217" s="268"/>
      <x:c r="W217" s="268"/>
      <x:c r="X217" s="268"/>
      <x:c r="Y217" s="268"/>
      <x:c r="Z217" s="268"/>
      <x:c r="AA217" s="268"/>
      <x:c r="AB217" s="268"/>
      <x:c r="AC217" s="268"/>
    </x:row>
    <x:row r="218">
      <x:c r="A218" s="268"/>
      <x:c r="B218" s="268"/>
      <x:c r="C218" s="268"/>
      <x:c r="D218" s="268"/>
      <x:c r="E218" s="268"/>
      <x:c r="F218" s="268"/>
      <x:c r="G218" s="268"/>
      <x:c r="H218" s="268"/>
      <x:c r="I218" s="268"/>
      <x:c r="J218" s="268"/>
      <x:c r="K218" s="268"/>
      <x:c r="L218" s="268"/>
      <x:c r="M218" s="268"/>
      <x:c r="N218" s="268"/>
      <x:c r="O218" s="268"/>
      <x:c r="P218" s="268"/>
      <x:c r="Q218" s="268"/>
      <x:c r="R218" s="268"/>
      <x:c r="S218" s="268"/>
      <x:c r="T218" s="268"/>
      <x:c r="U218" s="268"/>
      <x:c r="V218" s="268"/>
      <x:c r="W218" s="268"/>
      <x:c r="X218" s="268"/>
      <x:c r="Y218" s="268"/>
      <x:c r="Z218" s="268"/>
      <x:c r="AA218" s="268"/>
      <x:c r="AB218" s="268"/>
      <x:c r="AC218" s="268"/>
    </x:row>
    <x:row r="219">
      <x:c r="A219" s="268"/>
      <x:c r="B219" s="268"/>
      <x:c r="C219" s="268"/>
      <x:c r="D219" s="268"/>
      <x:c r="E219" s="268"/>
      <x:c r="F219" s="268"/>
      <x:c r="G219" s="268"/>
      <x:c r="H219" s="268"/>
      <x:c r="I219" s="268"/>
      <x:c r="J219" s="268"/>
      <x:c r="K219" s="268"/>
      <x:c r="L219" s="268"/>
      <x:c r="M219" s="268"/>
      <x:c r="N219" s="268"/>
      <x:c r="O219" s="268"/>
      <x:c r="P219" s="268"/>
      <x:c r="Q219" s="268"/>
      <x:c r="R219" s="268"/>
      <x:c r="S219" s="268"/>
      <x:c r="T219" s="268"/>
      <x:c r="U219" s="268"/>
      <x:c r="V219" s="268"/>
      <x:c r="W219" s="268"/>
      <x:c r="X219" s="268"/>
      <x:c r="Y219" s="268"/>
      <x:c r="Z219" s="268"/>
      <x:c r="AA219" s="268"/>
      <x:c r="AB219" s="268"/>
      <x:c r="AC219" s="268"/>
    </x:row>
    <x:row r="220">
      <x:c r="A220" s="268"/>
      <x:c r="B220" s="268"/>
      <x:c r="C220" s="268"/>
      <x:c r="D220" s="268"/>
      <x:c r="E220" s="268"/>
      <x:c r="F220" s="268"/>
      <x:c r="G220" s="268"/>
      <x:c r="H220" s="268"/>
      <x:c r="I220" s="268"/>
      <x:c r="J220" s="268"/>
      <x:c r="K220" s="268"/>
      <x:c r="L220" s="268"/>
      <x:c r="M220" s="268"/>
      <x:c r="N220" s="268"/>
      <x:c r="O220" s="268"/>
      <x:c r="P220" s="268"/>
      <x:c r="Q220" s="268"/>
      <x:c r="R220" s="268"/>
      <x:c r="S220" s="268"/>
      <x:c r="T220" s="268"/>
      <x:c r="U220" s="268"/>
      <x:c r="V220" s="268"/>
      <x:c r="W220" s="268"/>
      <x:c r="X220" s="268"/>
      <x:c r="Y220" s="268"/>
      <x:c r="Z220" s="268"/>
      <x:c r="AA220" s="268"/>
      <x:c r="AB220" s="268"/>
      <x:c r="AC220" s="268"/>
    </x:row>
    <x:row r="221">
      <x:c r="A221" s="268"/>
      <x:c r="B221" s="268"/>
      <x:c r="C221" s="268"/>
      <x:c r="D221" s="268"/>
      <x:c r="E221" s="268"/>
      <x:c r="F221" s="268"/>
      <x:c r="G221" s="268"/>
      <x:c r="H221" s="268"/>
      <x:c r="I221" s="268"/>
      <x:c r="J221" s="268"/>
      <x:c r="K221" s="268"/>
      <x:c r="L221" s="268"/>
      <x:c r="M221" s="268"/>
      <x:c r="N221" s="268"/>
      <x:c r="O221" s="268"/>
      <x:c r="P221" s="268"/>
      <x:c r="Q221" s="268"/>
      <x:c r="R221" s="268"/>
      <x:c r="S221" s="268"/>
      <x:c r="T221" s="268"/>
      <x:c r="U221" s="268"/>
      <x:c r="V221" s="268"/>
      <x:c r="W221" s="268"/>
      <x:c r="X221" s="268"/>
      <x:c r="Y221" s="268"/>
      <x:c r="Z221" s="268"/>
      <x:c r="AA221" s="268"/>
      <x:c r="AB221" s="268"/>
      <x:c r="AC221" s="268"/>
    </x:row>
    <x:row r="222">
      <x:c r="A222" s="268"/>
      <x:c r="B222" s="268"/>
      <x:c r="C222" s="268"/>
      <x:c r="D222" s="268"/>
      <x:c r="E222" s="268"/>
      <x:c r="F222" s="268"/>
      <x:c r="G222" s="268"/>
      <x:c r="H222" s="268"/>
      <x:c r="I222" s="268"/>
      <x:c r="J222" s="268"/>
      <x:c r="K222" s="268"/>
      <x:c r="L222" s="268"/>
      <x:c r="M222" s="268"/>
      <x:c r="N222" s="268"/>
      <x:c r="O222" s="268"/>
      <x:c r="P222" s="268"/>
      <x:c r="Q222" s="268"/>
      <x:c r="R222" s="268"/>
      <x:c r="S222" s="268"/>
      <x:c r="T222" s="268"/>
      <x:c r="U222" s="268"/>
      <x:c r="V222" s="268"/>
      <x:c r="W222" s="268"/>
      <x:c r="X222" s="268"/>
      <x:c r="Y222" s="268"/>
      <x:c r="Z222" s="268"/>
      <x:c r="AA222" s="268"/>
      <x:c r="AB222" s="268"/>
      <x:c r="AC222" s="268"/>
    </x:row>
    <x:row r="223">
      <x:c r="A223" s="268"/>
      <x:c r="B223" s="268"/>
      <x:c r="C223" s="268"/>
      <x:c r="D223" s="268"/>
      <x:c r="E223" s="268"/>
      <x:c r="F223" s="268"/>
      <x:c r="G223" s="268"/>
      <x:c r="H223" s="268"/>
      <x:c r="I223" s="268"/>
      <x:c r="J223" s="268"/>
      <x:c r="K223" s="268"/>
      <x:c r="L223" s="268"/>
      <x:c r="M223" s="268"/>
      <x:c r="N223" s="268"/>
      <x:c r="O223" s="268"/>
      <x:c r="P223" s="268"/>
      <x:c r="Q223" s="268"/>
      <x:c r="R223" s="268"/>
      <x:c r="S223" s="268"/>
      <x:c r="T223" s="268"/>
      <x:c r="U223" s="268"/>
      <x:c r="V223" s="268"/>
      <x:c r="W223" s="268"/>
      <x:c r="X223" s="268"/>
      <x:c r="Y223" s="268"/>
      <x:c r="Z223" s="268"/>
      <x:c r="AA223" s="268"/>
      <x:c r="AB223" s="268"/>
      <x:c r="AC223" s="268"/>
    </x:row>
    <x:row r="224">
      <x:c r="A224" s="268"/>
      <x:c r="B224" s="268"/>
      <x:c r="C224" s="268"/>
      <x:c r="D224" s="268"/>
      <x:c r="E224" s="268"/>
      <x:c r="F224" s="268"/>
      <x:c r="G224" s="268"/>
      <x:c r="H224" s="268"/>
      <x:c r="I224" s="268"/>
      <x:c r="J224" s="268"/>
      <x:c r="K224" s="268"/>
      <x:c r="L224" s="268"/>
      <x:c r="M224" s="268"/>
      <x:c r="N224" s="268"/>
      <x:c r="O224" s="268"/>
      <x:c r="P224" s="268"/>
      <x:c r="Q224" s="268"/>
      <x:c r="R224" s="268"/>
      <x:c r="S224" s="268"/>
      <x:c r="T224" s="268"/>
      <x:c r="U224" s="268"/>
      <x:c r="V224" s="268"/>
      <x:c r="W224" s="268"/>
      <x:c r="X224" s="268"/>
      <x:c r="Y224" s="268"/>
      <x:c r="Z224" s="268"/>
      <x:c r="AA224" s="268"/>
      <x:c r="AB224" s="268"/>
      <x:c r="AC224" s="268"/>
    </x:row>
    <x:row r="225">
      <x:c r="A225" s="268"/>
      <x:c r="B225" s="268"/>
      <x:c r="C225" s="268"/>
      <x:c r="D225" s="268"/>
      <x:c r="E225" s="268"/>
      <x:c r="F225" s="268"/>
      <x:c r="G225" s="268"/>
      <x:c r="H225" s="268"/>
      <x:c r="I225" s="268"/>
      <x:c r="J225" s="268"/>
      <x:c r="K225" s="268"/>
      <x:c r="L225" s="268"/>
      <x:c r="M225" s="268"/>
      <x:c r="N225" s="268"/>
      <x:c r="O225" s="268"/>
      <x:c r="P225" s="268"/>
      <x:c r="Q225" s="268"/>
      <x:c r="R225" s="268"/>
      <x:c r="S225" s="268"/>
      <x:c r="T225" s="268"/>
      <x:c r="U225" s="268"/>
      <x:c r="V225" s="268"/>
      <x:c r="W225" s="268"/>
      <x:c r="X225" s="268"/>
      <x:c r="Y225" s="268"/>
      <x:c r="Z225" s="268"/>
      <x:c r="AA225" s="268"/>
      <x:c r="AB225" s="268"/>
      <x:c r="AC225" s="268"/>
    </x:row>
    <x:row r="226">
      <x:c r="A226" s="268"/>
      <x:c r="B226" s="268"/>
      <x:c r="C226" s="268"/>
      <x:c r="D226" s="268"/>
      <x:c r="E226" s="268"/>
      <x:c r="F226" s="268"/>
      <x:c r="G226" s="268"/>
      <x:c r="H226" s="268"/>
      <x:c r="I226" s="268"/>
      <x:c r="J226" s="268"/>
      <x:c r="K226" s="268"/>
      <x:c r="L226" s="268"/>
      <x:c r="M226" s="268"/>
      <x:c r="N226" s="268"/>
      <x:c r="O226" s="268"/>
      <x:c r="P226" s="268"/>
      <x:c r="Q226" s="268"/>
      <x:c r="R226" s="268"/>
      <x:c r="S226" s="268"/>
      <x:c r="T226" s="268"/>
      <x:c r="U226" s="268"/>
      <x:c r="V226" s="268"/>
      <x:c r="W226" s="268"/>
      <x:c r="X226" s="268"/>
      <x:c r="Y226" s="268"/>
      <x:c r="Z226" s="268"/>
      <x:c r="AA226" s="268"/>
      <x:c r="AB226" s="268"/>
      <x:c r="AC226" s="268"/>
    </x:row>
    <x:row r="227">
      <x:c r="A227" s="268"/>
      <x:c r="B227" s="268"/>
      <x:c r="C227" s="268"/>
      <x:c r="D227" s="268"/>
      <x:c r="E227" s="268"/>
      <x:c r="F227" s="268"/>
      <x:c r="G227" s="268"/>
      <x:c r="H227" s="268"/>
      <x:c r="I227" s="268"/>
      <x:c r="J227" s="268"/>
      <x:c r="K227" s="268"/>
      <x:c r="L227" s="268"/>
      <x:c r="M227" s="268"/>
      <x:c r="N227" s="268"/>
      <x:c r="O227" s="268"/>
      <x:c r="P227" s="268"/>
      <x:c r="Q227" s="268"/>
      <x:c r="R227" s="268"/>
      <x:c r="S227" s="268"/>
      <x:c r="T227" s="268"/>
      <x:c r="U227" s="268"/>
      <x:c r="V227" s="268"/>
      <x:c r="W227" s="268"/>
      <x:c r="X227" s="268"/>
      <x:c r="Y227" s="268"/>
      <x:c r="Z227" s="268"/>
      <x:c r="AA227" s="268"/>
      <x:c r="AB227" s="268"/>
      <x:c r="AC227" s="268"/>
    </x:row>
    <x:row r="228">
      <x:c r="A228" s="268"/>
      <x:c r="B228" s="268"/>
      <x:c r="C228" s="268"/>
      <x:c r="D228" s="268"/>
      <x:c r="E228" s="268"/>
      <x:c r="F228" s="268"/>
      <x:c r="G228" s="268"/>
      <x:c r="H228" s="268"/>
      <x:c r="I228" s="268"/>
      <x:c r="J228" s="268"/>
      <x:c r="K228" s="268"/>
      <x:c r="L228" s="268"/>
      <x:c r="M228" s="268"/>
      <x:c r="N228" s="268"/>
      <x:c r="O228" s="268"/>
      <x:c r="P228" s="268"/>
      <x:c r="Q228" s="268"/>
      <x:c r="R228" s="268"/>
      <x:c r="S228" s="268"/>
      <x:c r="T228" s="268"/>
      <x:c r="U228" s="268"/>
      <x:c r="V228" s="268"/>
      <x:c r="W228" s="268"/>
      <x:c r="X228" s="268"/>
      <x:c r="Y228" s="268"/>
      <x:c r="Z228" s="268"/>
      <x:c r="AA228" s="268"/>
      <x:c r="AB228" s="268"/>
      <x:c r="AC228" s="268"/>
    </x:row>
    <x:row r="229">
      <x:c r="A229" s="268"/>
      <x:c r="B229" s="268"/>
      <x:c r="C229" s="268"/>
      <x:c r="D229" s="268"/>
      <x:c r="E229" s="268"/>
      <x:c r="F229" s="268"/>
      <x:c r="G229" s="268"/>
      <x:c r="H229" s="268"/>
      <x:c r="I229" s="268"/>
      <x:c r="J229" s="268"/>
      <x:c r="K229" s="268"/>
      <x:c r="L229" s="268"/>
      <x:c r="M229" s="268"/>
      <x:c r="N229" s="268"/>
      <x:c r="O229" s="268"/>
      <x:c r="P229" s="268"/>
      <x:c r="Q229" s="268"/>
      <x:c r="R229" s="268"/>
      <x:c r="S229" s="268"/>
      <x:c r="T229" s="268"/>
      <x:c r="U229" s="268"/>
      <x:c r="V229" s="268"/>
      <x:c r="W229" s="268"/>
      <x:c r="X229" s="268"/>
      <x:c r="Y229" s="268"/>
      <x:c r="Z229" s="268"/>
      <x:c r="AA229" s="268"/>
      <x:c r="AB229" s="268"/>
      <x:c r="AC229" s="268"/>
    </x:row>
    <x:row r="230">
      <x:c r="A230" s="268"/>
      <x:c r="B230" s="268"/>
      <x:c r="C230" s="268"/>
      <x:c r="D230" s="268"/>
      <x:c r="E230" s="268"/>
      <x:c r="F230" s="268"/>
      <x:c r="G230" s="268"/>
      <x:c r="H230" s="268"/>
      <x:c r="I230" s="268"/>
      <x:c r="J230" s="268"/>
      <x:c r="K230" s="268"/>
      <x:c r="L230" s="268"/>
      <x:c r="M230" s="268"/>
      <x:c r="N230" s="268"/>
      <x:c r="O230" s="268"/>
      <x:c r="P230" s="268"/>
      <x:c r="Q230" s="268"/>
      <x:c r="R230" s="268"/>
      <x:c r="S230" s="268"/>
      <x:c r="T230" s="268"/>
      <x:c r="U230" s="268"/>
      <x:c r="V230" s="268"/>
      <x:c r="W230" s="268"/>
      <x:c r="X230" s="268"/>
      <x:c r="Y230" s="268"/>
      <x:c r="Z230" s="268"/>
      <x:c r="AA230" s="268"/>
      <x:c r="AB230" s="268"/>
      <x:c r="AC230" s="268"/>
    </x:row>
    <x:row r="231">
      <x:c r="A231" s="268"/>
      <x:c r="B231" s="268"/>
      <x:c r="C231" s="268"/>
      <x:c r="D231" s="268"/>
      <x:c r="E231" s="268"/>
      <x:c r="F231" s="268"/>
      <x:c r="G231" s="268"/>
      <x:c r="H231" s="268"/>
      <x:c r="I231" s="268"/>
      <x:c r="J231" s="268"/>
      <x:c r="K231" s="268"/>
      <x:c r="L231" s="268"/>
      <x:c r="M231" s="268"/>
      <x:c r="N231" s="268"/>
      <x:c r="O231" s="268"/>
      <x:c r="P231" s="268"/>
      <x:c r="Q231" s="268"/>
      <x:c r="R231" s="268"/>
      <x:c r="S231" s="268"/>
      <x:c r="T231" s="268"/>
      <x:c r="U231" s="268"/>
      <x:c r="V231" s="268"/>
      <x:c r="W231" s="268"/>
      <x:c r="X231" s="268"/>
      <x:c r="Y231" s="268"/>
      <x:c r="Z231" s="268"/>
      <x:c r="AA231" s="268"/>
      <x:c r="AB231" s="268"/>
      <x:c r="AC231" s="268"/>
    </x:row>
    <x:row r="232">
      <x:c r="A232" s="268"/>
      <x:c r="B232" s="268"/>
      <x:c r="C232" s="268"/>
      <x:c r="D232" s="268"/>
      <x:c r="E232" s="268"/>
      <x:c r="F232" s="268"/>
      <x:c r="G232" s="268"/>
      <x:c r="H232" s="268"/>
      <x:c r="I232" s="268"/>
      <x:c r="J232" s="268"/>
      <x:c r="K232" s="268"/>
      <x:c r="L232" s="268"/>
      <x:c r="M232" s="268"/>
      <x:c r="N232" s="268"/>
      <x:c r="O232" s="268"/>
      <x:c r="P232" s="268"/>
      <x:c r="Q232" s="268"/>
      <x:c r="R232" s="268"/>
      <x:c r="S232" s="268"/>
      <x:c r="T232" s="268"/>
      <x:c r="U232" s="268"/>
      <x:c r="V232" s="268"/>
      <x:c r="W232" s="268"/>
      <x:c r="X232" s="268"/>
      <x:c r="Y232" s="268"/>
      <x:c r="Z232" s="268"/>
      <x:c r="AA232" s="268"/>
      <x:c r="AB232" s="268"/>
      <x:c r="AC232" s="268"/>
    </x:row>
    <x:row r="233">
      <x:c r="A233" s="268"/>
      <x:c r="B233" s="268"/>
      <x:c r="C233" s="268"/>
      <x:c r="D233" s="268"/>
      <x:c r="E233" s="268"/>
      <x:c r="F233" s="268"/>
      <x:c r="G233" s="268"/>
      <x:c r="H233" s="268"/>
      <x:c r="I233" s="268"/>
      <x:c r="J233" s="268"/>
      <x:c r="K233" s="268"/>
      <x:c r="L233" s="268"/>
      <x:c r="M233" s="268"/>
      <x:c r="N233" s="268"/>
      <x:c r="O233" s="268"/>
      <x:c r="P233" s="268"/>
      <x:c r="Q233" s="268"/>
      <x:c r="R233" s="268"/>
      <x:c r="S233" s="268"/>
      <x:c r="T233" s="268"/>
      <x:c r="U233" s="268"/>
      <x:c r="V233" s="268"/>
      <x:c r="W233" s="268"/>
      <x:c r="X233" s="268"/>
      <x:c r="Y233" s="268"/>
      <x:c r="Z233" s="268"/>
      <x:c r="AA233" s="268"/>
      <x:c r="AB233" s="268"/>
      <x:c r="AC233" s="268"/>
    </x:row>
    <x:row r="234">
      <x:c r="A234" s="268"/>
      <x:c r="B234" s="268"/>
      <x:c r="C234" s="268"/>
      <x:c r="D234" s="268"/>
      <x:c r="E234" s="268"/>
      <x:c r="F234" s="268"/>
      <x:c r="G234" s="268"/>
      <x:c r="H234" s="268"/>
      <x:c r="I234" s="268"/>
      <x:c r="J234" s="268"/>
      <x:c r="K234" s="268"/>
      <x:c r="L234" s="268"/>
      <x:c r="M234" s="268"/>
      <x:c r="N234" s="268"/>
      <x:c r="O234" s="268"/>
      <x:c r="P234" s="268"/>
      <x:c r="Q234" s="268"/>
      <x:c r="R234" s="268"/>
      <x:c r="S234" s="268"/>
      <x:c r="T234" s="268"/>
      <x:c r="U234" s="268"/>
      <x:c r="V234" s="268"/>
      <x:c r="W234" s="268"/>
      <x:c r="X234" s="268"/>
      <x:c r="Y234" s="268"/>
      <x:c r="Z234" s="268"/>
      <x:c r="AA234" s="268"/>
      <x:c r="AB234" s="268"/>
      <x:c r="AC234" s="268"/>
    </x:row>
    <x:row r="235">
      <x:c r="A235" s="268"/>
      <x:c r="B235" s="268"/>
      <x:c r="C235" s="268"/>
      <x:c r="D235" s="268"/>
      <x:c r="E235" s="268"/>
      <x:c r="F235" s="268"/>
      <x:c r="G235" s="268"/>
      <x:c r="H235" s="268"/>
      <x:c r="I235" s="268"/>
      <x:c r="J235" s="268"/>
      <x:c r="K235" s="268"/>
      <x:c r="L235" s="268"/>
      <x:c r="M235" s="268"/>
      <x:c r="N235" s="268"/>
      <x:c r="O235" s="268"/>
      <x:c r="P235" s="268"/>
      <x:c r="Q235" s="268"/>
      <x:c r="R235" s="268"/>
      <x:c r="S235" s="268"/>
      <x:c r="T235" s="268"/>
      <x:c r="U235" s="268"/>
      <x:c r="V235" s="268"/>
      <x:c r="W235" s="268"/>
      <x:c r="X235" s="268"/>
      <x:c r="Y235" s="268"/>
      <x:c r="Z235" s="268"/>
      <x:c r="AA235" s="268"/>
      <x:c r="AB235" s="268"/>
      <x:c r="AC235" s="268"/>
    </x:row>
    <x:row r="236">
      <x:c r="A236" s="268"/>
      <x:c r="B236" s="268"/>
      <x:c r="C236" s="268"/>
      <x:c r="D236" s="268"/>
      <x:c r="E236" s="268"/>
      <x:c r="F236" s="268"/>
      <x:c r="G236" s="268"/>
      <x:c r="H236" s="268"/>
      <x:c r="I236" s="268"/>
      <x:c r="J236" s="268"/>
      <x:c r="K236" s="268"/>
      <x:c r="L236" s="268"/>
      <x:c r="M236" s="268"/>
      <x:c r="N236" s="268"/>
      <x:c r="O236" s="268"/>
      <x:c r="P236" s="268"/>
      <x:c r="Q236" s="268"/>
      <x:c r="R236" s="268"/>
      <x:c r="S236" s="268"/>
      <x:c r="T236" s="268"/>
      <x:c r="U236" s="268"/>
      <x:c r="V236" s="268"/>
      <x:c r="W236" s="268"/>
      <x:c r="X236" s="268"/>
      <x:c r="Y236" s="268"/>
      <x:c r="Z236" s="268"/>
      <x:c r="AA236" s="268"/>
      <x:c r="AB236" s="268"/>
      <x:c r="AC236" s="268"/>
    </x:row>
    <x:row r="237">
      <x:c r="A237" s="268"/>
      <x:c r="B237" s="268"/>
      <x:c r="C237" s="268"/>
      <x:c r="D237" s="268"/>
      <x:c r="E237" s="268"/>
      <x:c r="F237" s="268"/>
      <x:c r="G237" s="268"/>
      <x:c r="H237" s="268"/>
      <x:c r="I237" s="268"/>
      <x:c r="J237" s="268"/>
      <x:c r="K237" s="268"/>
      <x:c r="L237" s="268"/>
      <x:c r="M237" s="268"/>
      <x:c r="N237" s="268"/>
      <x:c r="O237" s="268"/>
      <x:c r="P237" s="268"/>
      <x:c r="Q237" s="268"/>
      <x:c r="R237" s="268"/>
      <x:c r="S237" s="268"/>
      <x:c r="T237" s="268"/>
      <x:c r="U237" s="268"/>
      <x:c r="V237" s="268"/>
      <x:c r="W237" s="268"/>
      <x:c r="X237" s="268"/>
      <x:c r="Y237" s="268"/>
      <x:c r="Z237" s="268"/>
      <x:c r="AA237" s="268"/>
      <x:c r="AB237" s="268"/>
      <x:c r="AC237" s="268"/>
    </x:row>
    <x:row r="238">
      <x:c r="A238" s="268"/>
      <x:c r="B238" s="268"/>
      <x:c r="C238" s="268"/>
      <x:c r="D238" s="268"/>
      <x:c r="E238" s="268"/>
      <x:c r="F238" s="268"/>
      <x:c r="G238" s="268"/>
      <x:c r="H238" s="268"/>
      <x:c r="I238" s="268"/>
      <x:c r="J238" s="268"/>
      <x:c r="K238" s="268"/>
      <x:c r="L238" s="268"/>
      <x:c r="M238" s="268"/>
      <x:c r="N238" s="268"/>
      <x:c r="O238" s="268"/>
      <x:c r="P238" s="268"/>
      <x:c r="Q238" s="268"/>
      <x:c r="R238" s="268"/>
      <x:c r="S238" s="268"/>
      <x:c r="T238" s="268"/>
      <x:c r="U238" s="268"/>
      <x:c r="V238" s="268"/>
      <x:c r="W238" s="268"/>
      <x:c r="X238" s="268"/>
      <x:c r="Y238" s="268"/>
      <x:c r="Z238" s="268"/>
      <x:c r="AA238" s="268"/>
      <x:c r="AB238" s="268"/>
      <x:c r="AC238" s="268"/>
    </x:row>
    <x:row r="239">
      <x:c r="A239" s="268"/>
      <x:c r="B239" s="268"/>
      <x:c r="C239" s="268"/>
      <x:c r="D239" s="268"/>
      <x:c r="E239" s="268"/>
      <x:c r="F239" s="268"/>
      <x:c r="G239" s="268"/>
      <x:c r="H239" s="268"/>
      <x:c r="I239" s="268"/>
      <x:c r="J239" s="268"/>
      <x:c r="K239" s="268"/>
      <x:c r="L239" s="268"/>
      <x:c r="M239" s="268"/>
      <x:c r="N239" s="268"/>
      <x:c r="O239" s="268"/>
      <x:c r="P239" s="268"/>
      <x:c r="Q239" s="268"/>
      <x:c r="R239" s="268"/>
      <x:c r="S239" s="268"/>
      <x:c r="T239" s="268"/>
      <x:c r="U239" s="268"/>
      <x:c r="V239" s="268"/>
      <x:c r="W239" s="268"/>
      <x:c r="X239" s="268"/>
      <x:c r="Y239" s="268"/>
      <x:c r="Z239" s="268"/>
      <x:c r="AA239" s="268"/>
      <x:c r="AB239" s="268"/>
      <x:c r="AC239" s="268"/>
    </x:row>
    <x:row r="240">
      <x:c r="A240" s="268"/>
      <x:c r="B240" s="268"/>
      <x:c r="C240" s="268"/>
      <x:c r="D240" s="268"/>
      <x:c r="E240" s="268"/>
      <x:c r="F240" s="268"/>
      <x:c r="G240" s="268"/>
      <x:c r="H240" s="268"/>
      <x:c r="I240" s="268"/>
      <x:c r="J240" s="268"/>
      <x:c r="K240" s="268"/>
      <x:c r="L240" s="268"/>
      <x:c r="M240" s="268"/>
      <x:c r="N240" s="268"/>
      <x:c r="O240" s="268"/>
      <x:c r="P240" s="268"/>
      <x:c r="Q240" s="268"/>
      <x:c r="R240" s="268"/>
      <x:c r="S240" s="268"/>
      <x:c r="T240" s="268"/>
      <x:c r="U240" s="268"/>
      <x:c r="V240" s="268"/>
      <x:c r="W240" s="268"/>
      <x:c r="X240" s="268"/>
      <x:c r="Y240" s="268"/>
      <x:c r="Z240" s="268"/>
      <x:c r="AA240" s="268"/>
      <x:c r="AB240" s="268"/>
      <x:c r="AC240" s="268"/>
    </x:row>
    <x:row r="241">
      <x:c r="A241" s="268"/>
      <x:c r="B241" s="268"/>
      <x:c r="C241" s="268"/>
      <x:c r="D241" s="268"/>
      <x:c r="E241" s="268"/>
      <x:c r="F241" s="268"/>
      <x:c r="G241" s="268"/>
      <x:c r="H241" s="268"/>
      <x:c r="I241" s="268"/>
      <x:c r="J241" s="268"/>
      <x:c r="K241" s="268"/>
      <x:c r="L241" s="268"/>
      <x:c r="M241" s="268"/>
      <x:c r="N241" s="268"/>
      <x:c r="O241" s="268"/>
      <x:c r="P241" s="268"/>
      <x:c r="Q241" s="268"/>
      <x:c r="R241" s="268"/>
      <x:c r="S241" s="268"/>
      <x:c r="T241" s="268"/>
      <x:c r="U241" s="268"/>
      <x:c r="V241" s="268"/>
      <x:c r="W241" s="268"/>
      <x:c r="X241" s="268"/>
      <x:c r="Y241" s="268"/>
      <x:c r="Z241" s="268"/>
      <x:c r="AA241" s="268"/>
      <x:c r="AB241" s="268"/>
      <x:c r="AC241" s="268"/>
    </x:row>
    <x:row r="242">
      <x:c r="A242" s="268"/>
      <x:c r="B242" s="268"/>
      <x:c r="C242" s="268"/>
      <x:c r="D242" s="268"/>
      <x:c r="E242" s="268"/>
      <x:c r="F242" s="268"/>
      <x:c r="G242" s="268"/>
      <x:c r="H242" s="268"/>
      <x:c r="I242" s="268"/>
      <x:c r="J242" s="268"/>
      <x:c r="K242" s="268"/>
      <x:c r="L242" s="268"/>
      <x:c r="M242" s="268"/>
      <x:c r="N242" s="268"/>
      <x:c r="O242" s="268"/>
      <x:c r="P242" s="268"/>
      <x:c r="Q242" s="268"/>
      <x:c r="R242" s="268"/>
      <x:c r="S242" s="268"/>
      <x:c r="T242" s="268"/>
      <x:c r="U242" s="268"/>
      <x:c r="V242" s="268"/>
      <x:c r="W242" s="268"/>
      <x:c r="X242" s="268"/>
      <x:c r="Y242" s="268"/>
      <x:c r="Z242" s="268"/>
      <x:c r="AA242" s="268"/>
      <x:c r="AB242" s="268"/>
      <x:c r="AC242" s="268"/>
    </x:row>
    <x:row r="243">
      <x:c r="A243" s="268"/>
      <x:c r="B243" s="268"/>
      <x:c r="C243" s="268"/>
      <x:c r="D243" s="268"/>
      <x:c r="E243" s="268"/>
      <x:c r="F243" s="268"/>
      <x:c r="G243" s="268"/>
      <x:c r="H243" s="268"/>
      <x:c r="I243" s="268"/>
      <x:c r="J243" s="268"/>
      <x:c r="K243" s="268"/>
      <x:c r="L243" s="268"/>
      <x:c r="M243" s="268"/>
      <x:c r="N243" s="268"/>
      <x:c r="O243" s="268"/>
      <x:c r="P243" s="268"/>
      <x:c r="Q243" s="268"/>
      <x:c r="R243" s="268"/>
      <x:c r="S243" s="268"/>
      <x:c r="T243" s="268"/>
      <x:c r="U243" s="268"/>
      <x:c r="V243" s="268"/>
      <x:c r="W243" s="268"/>
      <x:c r="X243" s="268"/>
      <x:c r="Y243" s="268"/>
      <x:c r="Z243" s="268"/>
      <x:c r="AA243" s="268"/>
      <x:c r="AB243" s="268"/>
      <x:c r="AC243" s="268"/>
    </x:row>
    <x:row r="244">
      <x:c r="A244" s="268"/>
      <x:c r="B244" s="268"/>
      <x:c r="C244" s="268"/>
      <x:c r="D244" s="268"/>
      <x:c r="E244" s="268"/>
      <x:c r="F244" s="268"/>
      <x:c r="G244" s="268"/>
      <x:c r="H244" s="268"/>
      <x:c r="I244" s="268"/>
      <x:c r="J244" s="268"/>
      <x:c r="K244" s="268"/>
      <x:c r="L244" s="268"/>
      <x:c r="M244" s="268"/>
      <x:c r="N244" s="268"/>
      <x:c r="O244" s="268"/>
      <x:c r="P244" s="268"/>
      <x:c r="Q244" s="268"/>
      <x:c r="R244" s="268"/>
      <x:c r="S244" s="268"/>
      <x:c r="T244" s="268"/>
      <x:c r="U244" s="268"/>
      <x:c r="V244" s="268"/>
      <x:c r="W244" s="268"/>
      <x:c r="X244" s="268"/>
      <x:c r="Y244" s="268"/>
      <x:c r="Z244" s="268"/>
      <x:c r="AA244" s="268"/>
      <x:c r="AB244" s="268"/>
      <x:c r="AC244" s="268"/>
    </x:row>
    <x:row r="245">
      <x:c r="A245" s="268"/>
      <x:c r="B245" s="268"/>
      <x:c r="C245" s="268"/>
      <x:c r="D245" s="268"/>
      <x:c r="E245" s="268"/>
      <x:c r="F245" s="268"/>
      <x:c r="G245" s="268"/>
      <x:c r="H245" s="268"/>
      <x:c r="I245" s="268"/>
      <x:c r="J245" s="268"/>
      <x:c r="K245" s="268"/>
      <x:c r="L245" s="268"/>
      <x:c r="M245" s="268"/>
      <x:c r="N245" s="268"/>
      <x:c r="O245" s="268"/>
      <x:c r="P245" s="268"/>
      <x:c r="Q245" s="268"/>
      <x:c r="R245" s="268"/>
      <x:c r="S245" s="268"/>
      <x:c r="T245" s="268"/>
      <x:c r="U245" s="268"/>
      <x:c r="V245" s="268"/>
      <x:c r="W245" s="268"/>
      <x:c r="X245" s="268"/>
      <x:c r="Y245" s="268"/>
      <x:c r="Z245" s="268"/>
      <x:c r="AA245" s="268"/>
      <x:c r="AB245" s="268"/>
      <x:c r="AC245" s="268"/>
    </x:row>
    <x:row r="246">
      <x:c r="A246" s="268"/>
      <x:c r="B246" s="268"/>
      <x:c r="C246" s="268"/>
      <x:c r="D246" s="268"/>
      <x:c r="E246" s="268"/>
      <x:c r="F246" s="268"/>
      <x:c r="G246" s="268"/>
      <x:c r="H246" s="268"/>
      <x:c r="I246" s="268"/>
      <x:c r="J246" s="268"/>
      <x:c r="K246" s="268"/>
      <x:c r="L246" s="268"/>
      <x:c r="M246" s="268"/>
      <x:c r="N246" s="268"/>
      <x:c r="O246" s="268"/>
      <x:c r="P246" s="268"/>
      <x:c r="Q246" s="268"/>
      <x:c r="R246" s="268"/>
      <x:c r="S246" s="268"/>
      <x:c r="T246" s="268"/>
      <x:c r="U246" s="268"/>
      <x:c r="V246" s="268"/>
      <x:c r="W246" s="268"/>
      <x:c r="X246" s="268"/>
      <x:c r="Y246" s="268"/>
      <x:c r="Z246" s="268"/>
      <x:c r="AA246" s="268"/>
      <x:c r="AB246" s="268"/>
      <x:c r="AC246" s="268"/>
    </x:row>
    <x:row r="247">
      <x:c r="A247" s="268"/>
      <x:c r="B247" s="268"/>
      <x:c r="C247" s="268"/>
      <x:c r="D247" s="268"/>
      <x:c r="E247" s="268"/>
      <x:c r="F247" s="268"/>
      <x:c r="G247" s="268"/>
      <x:c r="H247" s="268"/>
      <x:c r="I247" s="268"/>
      <x:c r="J247" s="268"/>
      <x:c r="K247" s="268"/>
      <x:c r="L247" s="268"/>
      <x:c r="M247" s="268"/>
      <x:c r="N247" s="268"/>
      <x:c r="O247" s="268"/>
      <x:c r="P247" s="268"/>
      <x:c r="Q247" s="268"/>
      <x:c r="R247" s="268"/>
      <x:c r="S247" s="268"/>
      <x:c r="T247" s="268"/>
      <x:c r="U247" s="268"/>
      <x:c r="V247" s="268"/>
      <x:c r="W247" s="268"/>
      <x:c r="X247" s="268"/>
      <x:c r="Y247" s="268"/>
      <x:c r="Z247" s="268"/>
      <x:c r="AA247" s="268"/>
      <x:c r="AB247" s="268"/>
      <x:c r="AC247" s="268"/>
    </x:row>
    <x:row r="248">
      <x:c r="A248" s="268"/>
      <x:c r="B248" s="268"/>
      <x:c r="C248" s="268"/>
      <x:c r="D248" s="268"/>
      <x:c r="E248" s="268"/>
      <x:c r="F248" s="268"/>
      <x:c r="G248" s="268"/>
      <x:c r="H248" s="268"/>
      <x:c r="I248" s="268"/>
      <x:c r="J248" s="268"/>
      <x:c r="K248" s="268"/>
      <x:c r="L248" s="268"/>
      <x:c r="M248" s="268"/>
      <x:c r="N248" s="268"/>
      <x:c r="O248" s="268"/>
      <x:c r="P248" s="268"/>
      <x:c r="Q248" s="268"/>
      <x:c r="R248" s="268"/>
      <x:c r="S248" s="268"/>
      <x:c r="T248" s="268"/>
      <x:c r="U248" s="268"/>
      <x:c r="V248" s="268"/>
      <x:c r="W248" s="268"/>
      <x:c r="X248" s="268"/>
      <x:c r="Y248" s="268"/>
      <x:c r="Z248" s="268"/>
      <x:c r="AA248" s="268"/>
      <x:c r="AB248" s="268"/>
      <x:c r="AC248" s="268"/>
    </x:row>
    <x:row r="249">
      <x:c r="A249" s="268"/>
      <x:c r="B249" s="268"/>
      <x:c r="C249" s="268"/>
      <x:c r="D249" s="268"/>
      <x:c r="E249" s="268"/>
      <x:c r="F249" s="268"/>
      <x:c r="G249" s="268"/>
      <x:c r="H249" s="268"/>
      <x:c r="I249" s="268"/>
      <x:c r="J249" s="268"/>
      <x:c r="K249" s="268"/>
      <x:c r="L249" s="268"/>
      <x:c r="M249" s="268"/>
      <x:c r="N249" s="268"/>
      <x:c r="O249" s="268"/>
      <x:c r="P249" s="268"/>
      <x:c r="Q249" s="268"/>
      <x:c r="R249" s="268"/>
      <x:c r="S249" s="268"/>
      <x:c r="T249" s="268"/>
      <x:c r="U249" s="268"/>
      <x:c r="V249" s="268"/>
      <x:c r="W249" s="268"/>
      <x:c r="X249" s="268"/>
      <x:c r="Y249" s="268"/>
      <x:c r="Z249" s="268"/>
      <x:c r="AA249" s="268"/>
      <x:c r="AB249" s="268"/>
      <x:c r="AC249" s="268"/>
    </x:row>
    <x:row r="250">
      <x:c r="A250" s="268"/>
      <x:c r="B250" s="268"/>
      <x:c r="C250" s="268"/>
      <x:c r="D250" s="268"/>
      <x:c r="E250" s="268"/>
      <x:c r="F250" s="268"/>
      <x:c r="G250" s="268"/>
      <x:c r="H250" s="268"/>
      <x:c r="I250" s="268"/>
      <x:c r="J250" s="268"/>
      <x:c r="K250" s="268"/>
      <x:c r="L250" s="268"/>
      <x:c r="M250" s="268"/>
      <x:c r="N250" s="268"/>
      <x:c r="O250" s="268"/>
      <x:c r="P250" s="268"/>
      <x:c r="Q250" s="268"/>
      <x:c r="R250" s="268"/>
      <x:c r="S250" s="268"/>
      <x:c r="T250" s="268"/>
      <x:c r="U250" s="268"/>
      <x:c r="V250" s="268"/>
      <x:c r="W250" s="268"/>
      <x:c r="X250" s="268"/>
      <x:c r="Y250" s="268"/>
      <x:c r="Z250" s="268"/>
      <x:c r="AA250" s="268"/>
      <x:c r="AB250" s="268"/>
      <x:c r="AC250" s="268"/>
    </x:row>
    <x:row r="251">
      <x:c r="A251" s="268"/>
      <x:c r="B251" s="268"/>
      <x:c r="C251" s="268"/>
      <x:c r="D251" s="268"/>
      <x:c r="E251" s="268"/>
      <x:c r="F251" s="268"/>
      <x:c r="G251" s="268"/>
      <x:c r="H251" s="268"/>
      <x:c r="I251" s="268"/>
      <x:c r="J251" s="268"/>
      <x:c r="K251" s="268"/>
      <x:c r="L251" s="268"/>
      <x:c r="M251" s="268"/>
      <x:c r="N251" s="268"/>
      <x:c r="O251" s="268"/>
      <x:c r="P251" s="268"/>
      <x:c r="Q251" s="268"/>
      <x:c r="R251" s="268"/>
      <x:c r="S251" s="268"/>
      <x:c r="T251" s="268"/>
      <x:c r="U251" s="268"/>
      <x:c r="V251" s="268"/>
      <x:c r="W251" s="268"/>
      <x:c r="X251" s="268"/>
      <x:c r="Y251" s="268"/>
      <x:c r="Z251" s="268"/>
      <x:c r="AA251" s="268"/>
      <x:c r="AB251" s="268"/>
      <x:c r="AC251" s="268"/>
    </x:row>
    <x:row r="252">
      <x:c r="A252" s="268"/>
      <x:c r="B252" s="268"/>
      <x:c r="C252" s="268"/>
      <x:c r="D252" s="268"/>
      <x:c r="E252" s="268"/>
      <x:c r="F252" s="268"/>
      <x:c r="G252" s="268"/>
      <x:c r="H252" s="268"/>
      <x:c r="I252" s="268"/>
      <x:c r="J252" s="268"/>
      <x:c r="K252" s="268"/>
      <x:c r="L252" s="268"/>
      <x:c r="M252" s="268"/>
      <x:c r="N252" s="268"/>
      <x:c r="O252" s="268"/>
      <x:c r="P252" s="268"/>
      <x:c r="Q252" s="268"/>
      <x:c r="R252" s="268"/>
      <x:c r="S252" s="268"/>
      <x:c r="T252" s="268"/>
      <x:c r="U252" s="268"/>
      <x:c r="V252" s="268"/>
      <x:c r="W252" s="268"/>
      <x:c r="X252" s="268"/>
      <x:c r="Y252" s="268"/>
      <x:c r="Z252" s="268"/>
      <x:c r="AA252" s="268"/>
      <x:c r="AB252" s="268"/>
      <x:c r="AC252" s="268"/>
    </x:row>
    <x:row r="253">
      <x:c r="A253" s="268"/>
      <x:c r="B253" s="268"/>
      <x:c r="C253" s="268"/>
      <x:c r="D253" s="268"/>
      <x:c r="E253" s="268"/>
      <x:c r="F253" s="268"/>
      <x:c r="G253" s="268"/>
      <x:c r="H253" s="268"/>
      <x:c r="I253" s="268"/>
      <x:c r="J253" s="268"/>
      <x:c r="K253" s="268"/>
      <x:c r="L253" s="268"/>
      <x:c r="M253" s="268"/>
      <x:c r="N253" s="268"/>
      <x:c r="O253" s="268"/>
      <x:c r="P253" s="268"/>
      <x:c r="Q253" s="268"/>
      <x:c r="R253" s="268"/>
      <x:c r="S253" s="268"/>
      <x:c r="T253" s="268"/>
      <x:c r="U253" s="268"/>
      <x:c r="V253" s="268"/>
      <x:c r="W253" s="268"/>
      <x:c r="X253" s="268"/>
      <x:c r="Y253" s="268"/>
      <x:c r="Z253" s="268"/>
      <x:c r="AA253" s="268"/>
      <x:c r="AB253" s="268"/>
      <x:c r="AC253" s="268"/>
    </x:row>
    <x:row r="254">
      <x:c r="A254" s="268"/>
      <x:c r="B254" s="268"/>
      <x:c r="C254" s="268"/>
      <x:c r="D254" s="268"/>
      <x:c r="E254" s="268"/>
      <x:c r="F254" s="268"/>
      <x:c r="G254" s="268"/>
      <x:c r="H254" s="268"/>
      <x:c r="I254" s="268"/>
      <x:c r="J254" s="268"/>
      <x:c r="K254" s="268"/>
      <x:c r="L254" s="268"/>
      <x:c r="M254" s="268"/>
      <x:c r="N254" s="268"/>
      <x:c r="O254" s="268"/>
      <x:c r="P254" s="268"/>
      <x:c r="Q254" s="268"/>
      <x:c r="R254" s="268"/>
      <x:c r="S254" s="268"/>
      <x:c r="T254" s="268"/>
      <x:c r="U254" s="268"/>
      <x:c r="V254" s="268"/>
      <x:c r="W254" s="268"/>
      <x:c r="X254" s="268"/>
      <x:c r="Y254" s="268"/>
      <x:c r="Z254" s="268"/>
      <x:c r="AA254" s="268"/>
      <x:c r="AB254" s="268"/>
      <x:c r="AC254" s="268"/>
    </x:row>
    <x:row r="255">
      <x:c r="A255" s="268"/>
      <x:c r="B255" s="268"/>
      <x:c r="C255" s="268"/>
      <x:c r="D255" s="268"/>
      <x:c r="E255" s="268"/>
      <x:c r="F255" s="268"/>
      <x:c r="G255" s="268"/>
      <x:c r="H255" s="268"/>
      <x:c r="I255" s="268"/>
      <x:c r="J255" s="268"/>
      <x:c r="K255" s="268"/>
      <x:c r="L255" s="268"/>
      <x:c r="M255" s="268"/>
      <x:c r="N255" s="268"/>
      <x:c r="O255" s="268"/>
      <x:c r="P255" s="268"/>
      <x:c r="Q255" s="268"/>
      <x:c r="R255" s="268"/>
      <x:c r="S255" s="268"/>
      <x:c r="T255" s="268"/>
      <x:c r="U255" s="268"/>
      <x:c r="V255" s="268"/>
      <x:c r="W255" s="268"/>
      <x:c r="X255" s="268"/>
      <x:c r="Y255" s="268"/>
      <x:c r="Z255" s="268"/>
      <x:c r="AA255" s="268"/>
      <x:c r="AB255" s="268"/>
      <x:c r="AC255" s="268"/>
    </x:row>
    <x:row r="256">
      <x:c r="A256" s="268"/>
      <x:c r="B256" s="268"/>
      <x:c r="C256" s="268"/>
      <x:c r="D256" s="268"/>
      <x:c r="E256" s="268"/>
      <x:c r="F256" s="268"/>
      <x:c r="G256" s="268"/>
      <x:c r="H256" s="268"/>
      <x:c r="I256" s="268"/>
      <x:c r="J256" s="268"/>
      <x:c r="K256" s="268"/>
      <x:c r="L256" s="268"/>
      <x:c r="M256" s="268"/>
      <x:c r="N256" s="268"/>
      <x:c r="O256" s="268"/>
      <x:c r="P256" s="268"/>
      <x:c r="Q256" s="268"/>
      <x:c r="R256" s="268"/>
      <x:c r="S256" s="268"/>
      <x:c r="T256" s="268"/>
      <x:c r="U256" s="268"/>
      <x:c r="V256" s="268"/>
      <x:c r="W256" s="268"/>
      <x:c r="X256" s="268"/>
      <x:c r="Y256" s="268"/>
      <x:c r="Z256" s="268"/>
      <x:c r="AA256" s="268"/>
      <x:c r="AB256" s="268"/>
      <x:c r="AC256" s="268"/>
    </x:row>
    <x:row r="257">
      <x:c r="A257" s="268"/>
      <x:c r="B257" s="268"/>
      <x:c r="C257" s="268"/>
      <x:c r="D257" s="268"/>
      <x:c r="E257" s="268"/>
      <x:c r="F257" s="268"/>
      <x:c r="G257" s="268"/>
      <x:c r="H257" s="268"/>
      <x:c r="I257" s="268"/>
      <x:c r="J257" s="268"/>
      <x:c r="K257" s="268"/>
      <x:c r="L257" s="268"/>
      <x:c r="M257" s="268"/>
      <x:c r="N257" s="268"/>
      <x:c r="O257" s="268"/>
      <x:c r="P257" s="268"/>
      <x:c r="Q257" s="268"/>
      <x:c r="R257" s="268"/>
      <x:c r="S257" s="268"/>
      <x:c r="T257" s="268"/>
      <x:c r="U257" s="268"/>
      <x:c r="V257" s="268"/>
      <x:c r="W257" s="268"/>
      <x:c r="X257" s="268"/>
      <x:c r="Y257" s="268"/>
      <x:c r="Z257" s="268"/>
      <x:c r="AA257" s="268"/>
      <x:c r="AB257" s="268"/>
      <x:c r="AC257" s="268"/>
    </x:row>
    <x:row r="258">
      <x:c r="A258" s="268"/>
      <x:c r="B258" s="268"/>
      <x:c r="C258" s="268"/>
      <x:c r="D258" s="268"/>
      <x:c r="E258" s="268"/>
      <x:c r="F258" s="268"/>
      <x:c r="G258" s="268"/>
      <x:c r="H258" s="268"/>
      <x:c r="I258" s="268"/>
      <x:c r="J258" s="268"/>
      <x:c r="K258" s="268"/>
      <x:c r="L258" s="268"/>
      <x:c r="M258" s="268"/>
      <x:c r="N258" s="268"/>
      <x:c r="O258" s="268"/>
      <x:c r="P258" s="268"/>
      <x:c r="Q258" s="268"/>
      <x:c r="R258" s="268"/>
      <x:c r="S258" s="268"/>
      <x:c r="T258" s="268"/>
      <x:c r="U258" s="268"/>
      <x:c r="V258" s="268"/>
      <x:c r="W258" s="268"/>
      <x:c r="X258" s="268"/>
      <x:c r="Y258" s="268"/>
      <x:c r="Z258" s="268"/>
      <x:c r="AA258" s="268"/>
      <x:c r="AB258" s="268"/>
      <x:c r="AC258" s="268"/>
    </x:row>
    <x:row r="259">
      <x:c r="A259" s="268"/>
      <x:c r="B259" s="268"/>
      <x:c r="C259" s="268"/>
      <x:c r="D259" s="268"/>
      <x:c r="E259" s="268"/>
      <x:c r="F259" s="268"/>
      <x:c r="G259" s="268"/>
      <x:c r="H259" s="268"/>
      <x:c r="I259" s="268"/>
      <x:c r="J259" s="268"/>
      <x:c r="K259" s="268"/>
      <x:c r="L259" s="268"/>
      <x:c r="M259" s="268"/>
      <x:c r="N259" s="268"/>
      <x:c r="O259" s="268"/>
      <x:c r="P259" s="268"/>
      <x:c r="Q259" s="268"/>
      <x:c r="R259" s="268"/>
      <x:c r="S259" s="268"/>
      <x:c r="T259" s="268"/>
      <x:c r="U259" s="268"/>
      <x:c r="V259" s="268"/>
      <x:c r="W259" s="268"/>
      <x:c r="X259" s="268"/>
      <x:c r="Y259" s="268"/>
      <x:c r="Z259" s="268"/>
      <x:c r="AA259" s="268"/>
      <x:c r="AB259" s="268"/>
      <x:c r="AC259" s="268"/>
    </x:row>
    <x:row r="260">
      <x:c r="A260" s="268"/>
      <x:c r="B260" s="268"/>
      <x:c r="C260" s="268"/>
      <x:c r="D260" s="268"/>
      <x:c r="E260" s="268"/>
      <x:c r="F260" s="268"/>
      <x:c r="G260" s="268"/>
      <x:c r="H260" s="268"/>
      <x:c r="I260" s="268"/>
      <x:c r="J260" s="268"/>
      <x:c r="K260" s="268"/>
      <x:c r="L260" s="268"/>
      <x:c r="M260" s="268"/>
      <x:c r="N260" s="268"/>
      <x:c r="O260" s="268"/>
      <x:c r="P260" s="268"/>
      <x:c r="Q260" s="268"/>
      <x:c r="R260" s="268"/>
      <x:c r="S260" s="268"/>
      <x:c r="T260" s="268"/>
      <x:c r="U260" s="268"/>
      <x:c r="V260" s="268"/>
      <x:c r="W260" s="268"/>
      <x:c r="X260" s="268"/>
      <x:c r="Y260" s="268"/>
      <x:c r="Z260" s="268"/>
      <x:c r="AA260" s="268"/>
      <x:c r="AB260" s="268"/>
      <x:c r="AC260" s="268"/>
    </x:row>
    <x:row r="261">
      <x:c r="A261" s="268"/>
      <x:c r="B261" s="268"/>
      <x:c r="C261" s="268"/>
      <x:c r="D261" s="268"/>
      <x:c r="E261" s="268"/>
      <x:c r="F261" s="268"/>
      <x:c r="G261" s="268"/>
      <x:c r="H261" s="268"/>
      <x:c r="I261" s="268"/>
      <x:c r="J261" s="268"/>
      <x:c r="K261" s="268"/>
      <x:c r="L261" s="268"/>
      <x:c r="M261" s="268"/>
      <x:c r="N261" s="268"/>
      <x:c r="O261" s="268"/>
      <x:c r="P261" s="268"/>
      <x:c r="Q261" s="268"/>
      <x:c r="R261" s="268"/>
      <x:c r="S261" s="268"/>
      <x:c r="T261" s="268"/>
      <x:c r="U261" s="268"/>
      <x:c r="V261" s="268"/>
      <x:c r="W261" s="268"/>
      <x:c r="X261" s="268"/>
      <x:c r="Y261" s="268"/>
      <x:c r="Z261" s="268"/>
      <x:c r="AA261" s="268"/>
      <x:c r="AB261" s="268"/>
      <x:c r="AC261" s="268"/>
    </x:row>
    <x:row r="262">
      <x:c r="A262" s="268"/>
      <x:c r="B262" s="268"/>
      <x:c r="C262" s="268"/>
      <x:c r="D262" s="268"/>
      <x:c r="E262" s="268"/>
      <x:c r="F262" s="268"/>
      <x:c r="G262" s="268"/>
      <x:c r="H262" s="268"/>
      <x:c r="I262" s="268"/>
      <x:c r="J262" s="268"/>
      <x:c r="K262" s="268"/>
      <x:c r="L262" s="268"/>
      <x:c r="M262" s="268"/>
      <x:c r="N262" s="268"/>
      <x:c r="O262" s="268"/>
      <x:c r="P262" s="268"/>
      <x:c r="Q262" s="268"/>
      <x:c r="R262" s="268"/>
      <x:c r="S262" s="268"/>
      <x:c r="T262" s="268"/>
      <x:c r="U262" s="268"/>
      <x:c r="V262" s="268"/>
      <x:c r="W262" s="268"/>
      <x:c r="X262" s="268"/>
      <x:c r="Y262" s="268"/>
      <x:c r="Z262" s="268"/>
      <x:c r="AA262" s="268"/>
      <x:c r="AB262" s="268"/>
      <x:c r="AC262" s="268"/>
    </x:row>
    <x:row r="263">
      <x:c r="A263" s="268"/>
      <x:c r="B263" s="268"/>
      <x:c r="C263" s="268"/>
      <x:c r="D263" s="268"/>
      <x:c r="E263" s="268"/>
      <x:c r="F263" s="268"/>
      <x:c r="G263" s="268"/>
      <x:c r="H263" s="268"/>
      <x:c r="I263" s="268"/>
      <x:c r="J263" s="268"/>
      <x:c r="K263" s="268"/>
      <x:c r="L263" s="268"/>
      <x:c r="M263" s="268"/>
      <x:c r="N263" s="268"/>
      <x:c r="O263" s="268"/>
      <x:c r="P263" s="268"/>
      <x:c r="Q263" s="268"/>
      <x:c r="R263" s="268"/>
      <x:c r="S263" s="268"/>
      <x:c r="T263" s="268"/>
      <x:c r="U263" s="268"/>
      <x:c r="V263" s="268"/>
      <x:c r="W263" s="268"/>
      <x:c r="X263" s="268"/>
      <x:c r="Y263" s="268"/>
      <x:c r="Z263" s="268"/>
      <x:c r="AA263" s="268"/>
      <x:c r="AB263" s="268"/>
      <x:c r="AC263" s="268"/>
    </x:row>
    <x:row r="264">
      <x:c r="A264" s="268"/>
      <x:c r="B264" s="268"/>
      <x:c r="C264" s="268"/>
      <x:c r="D264" s="268"/>
      <x:c r="E264" s="268"/>
      <x:c r="F264" s="268"/>
      <x:c r="G264" s="268"/>
      <x:c r="H264" s="268"/>
      <x:c r="I264" s="268"/>
      <x:c r="J264" s="268"/>
      <x:c r="K264" s="268"/>
      <x:c r="L264" s="268"/>
      <x:c r="M264" s="268"/>
      <x:c r="N264" s="268"/>
      <x:c r="O264" s="268"/>
      <x:c r="P264" s="268"/>
      <x:c r="Q264" s="268"/>
      <x:c r="R264" s="268"/>
      <x:c r="S264" s="268"/>
      <x:c r="T264" s="268"/>
      <x:c r="U264" s="268"/>
      <x:c r="V264" s="268"/>
      <x:c r="W264" s="268"/>
      <x:c r="X264" s="268"/>
      <x:c r="Y264" s="268"/>
      <x:c r="Z264" s="268"/>
      <x:c r="AA264" s="268"/>
      <x:c r="AB264" s="268"/>
      <x:c r="AC264" s="268"/>
    </x:row>
    <x:row r="265">
      <x:c r="A265" s="268"/>
      <x:c r="B265" s="268"/>
      <x:c r="C265" s="268"/>
      <x:c r="D265" s="268"/>
      <x:c r="E265" s="268"/>
      <x:c r="F265" s="268"/>
      <x:c r="G265" s="268"/>
      <x:c r="H265" s="268"/>
      <x:c r="I265" s="268"/>
      <x:c r="J265" s="268"/>
      <x:c r="K265" s="268"/>
      <x:c r="L265" s="268"/>
      <x:c r="M265" s="268"/>
      <x:c r="N265" s="268"/>
      <x:c r="O265" s="268"/>
      <x:c r="P265" s="268"/>
      <x:c r="Q265" s="268"/>
      <x:c r="R265" s="268"/>
      <x:c r="S265" s="268"/>
      <x:c r="T265" s="268"/>
      <x:c r="U265" s="268"/>
      <x:c r="V265" s="268"/>
      <x:c r="W265" s="268"/>
      <x:c r="X265" s="268"/>
      <x:c r="Y265" s="268"/>
      <x:c r="Z265" s="268"/>
      <x:c r="AA265" s="268"/>
      <x:c r="AB265" s="268"/>
      <x:c r="AC265" s="268"/>
    </x:row>
    <x:row r="266">
      <x:c r="A266" s="268"/>
      <x:c r="B266" s="268"/>
      <x:c r="C266" s="268"/>
      <x:c r="D266" s="268"/>
      <x:c r="E266" s="268"/>
      <x:c r="F266" s="268"/>
      <x:c r="G266" s="268"/>
      <x:c r="H266" s="268"/>
      <x:c r="I266" s="268"/>
      <x:c r="J266" s="268"/>
      <x:c r="K266" s="268"/>
      <x:c r="L266" s="268"/>
      <x:c r="M266" s="268"/>
      <x:c r="N266" s="268"/>
      <x:c r="O266" s="268"/>
      <x:c r="P266" s="268"/>
      <x:c r="Q266" s="268"/>
      <x:c r="R266" s="268"/>
      <x:c r="S266" s="268"/>
      <x:c r="T266" s="268"/>
      <x:c r="U266" s="268"/>
      <x:c r="V266" s="268"/>
      <x:c r="W266" s="268"/>
      <x:c r="X266" s="268"/>
      <x:c r="Y266" s="268"/>
      <x:c r="Z266" s="268"/>
      <x:c r="AA266" s="268"/>
      <x:c r="AB266" s="268"/>
      <x:c r="AC266" s="268"/>
    </x:row>
    <x:row r="267">
      <x:c r="A267" s="268"/>
      <x:c r="B267" s="268"/>
      <x:c r="C267" s="268"/>
      <x:c r="D267" s="268"/>
      <x:c r="E267" s="268"/>
      <x:c r="F267" s="268"/>
      <x:c r="G267" s="268"/>
      <x:c r="H267" s="268"/>
      <x:c r="I267" s="268"/>
      <x:c r="J267" s="268"/>
      <x:c r="K267" s="268"/>
      <x:c r="L267" s="268"/>
      <x:c r="M267" s="268"/>
      <x:c r="N267" s="268"/>
      <x:c r="O267" s="268"/>
      <x:c r="P267" s="268"/>
      <x:c r="Q267" s="268"/>
      <x:c r="R267" s="268"/>
      <x:c r="S267" s="268"/>
      <x:c r="T267" s="268"/>
      <x:c r="U267" s="268"/>
      <x:c r="V267" s="268"/>
      <x:c r="W267" s="268"/>
      <x:c r="X267" s="268"/>
      <x:c r="Y267" s="268"/>
      <x:c r="Z267" s="268"/>
      <x:c r="AA267" s="268"/>
      <x:c r="AB267" s="268"/>
      <x:c r="AC267" s="268"/>
    </x:row>
    <x:row r="268">
      <x:c r="A268" s="268"/>
      <x:c r="B268" s="268"/>
      <x:c r="C268" s="268"/>
      <x:c r="D268" s="268"/>
      <x:c r="E268" s="268"/>
      <x:c r="F268" s="268"/>
      <x:c r="G268" s="268"/>
      <x:c r="H268" s="268"/>
      <x:c r="I268" s="268"/>
      <x:c r="J268" s="268"/>
      <x:c r="K268" s="268"/>
      <x:c r="L268" s="268"/>
      <x:c r="M268" s="268"/>
      <x:c r="N268" s="268"/>
      <x:c r="O268" s="268"/>
      <x:c r="P268" s="268"/>
      <x:c r="Q268" s="268"/>
      <x:c r="R268" s="268"/>
      <x:c r="S268" s="268"/>
      <x:c r="T268" s="268"/>
      <x:c r="U268" s="268"/>
      <x:c r="V268" s="268"/>
      <x:c r="W268" s="268"/>
      <x:c r="X268" s="268"/>
      <x:c r="Y268" s="268"/>
      <x:c r="Z268" s="268"/>
      <x:c r="AA268" s="268"/>
      <x:c r="AB268" s="268"/>
      <x:c r="AC268" s="268"/>
    </x:row>
    <x:row r="269">
      <x:c r="A269" s="268"/>
      <x:c r="B269" s="268"/>
      <x:c r="C269" s="268"/>
      <x:c r="D269" s="268"/>
      <x:c r="E269" s="268"/>
      <x:c r="F269" s="268"/>
      <x:c r="G269" s="268"/>
      <x:c r="H269" s="268"/>
      <x:c r="I269" s="268"/>
      <x:c r="J269" s="268"/>
      <x:c r="K269" s="268"/>
      <x:c r="L269" s="268"/>
      <x:c r="M269" s="268"/>
      <x:c r="N269" s="268"/>
      <x:c r="O269" s="268"/>
      <x:c r="P269" s="268"/>
      <x:c r="Q269" s="268"/>
      <x:c r="R269" s="268"/>
      <x:c r="S269" s="268"/>
      <x:c r="T269" s="268"/>
      <x:c r="U269" s="268"/>
      <x:c r="V269" s="268"/>
      <x:c r="W269" s="268"/>
      <x:c r="X269" s="268"/>
      <x:c r="Y269" s="268"/>
      <x:c r="Z269" s="268"/>
      <x:c r="AA269" s="268"/>
      <x:c r="AB269" s="268"/>
      <x:c r="AC269" s="268"/>
    </x:row>
    <x:row r="270">
      <x:c r="A270" s="268"/>
      <x:c r="B270" s="268"/>
      <x:c r="C270" s="268"/>
      <x:c r="D270" s="268"/>
      <x:c r="E270" s="268"/>
      <x:c r="F270" s="268"/>
      <x:c r="G270" s="268"/>
      <x:c r="H270" s="268"/>
      <x:c r="I270" s="268"/>
      <x:c r="J270" s="268"/>
      <x:c r="K270" s="268"/>
      <x:c r="L270" s="268"/>
      <x:c r="M270" s="268"/>
      <x:c r="N270" s="268"/>
      <x:c r="O270" s="268"/>
      <x:c r="P270" s="268"/>
      <x:c r="Q270" s="268"/>
      <x:c r="R270" s="268"/>
      <x:c r="S270" s="268"/>
      <x:c r="T270" s="268"/>
      <x:c r="U270" s="268"/>
      <x:c r="V270" s="268"/>
      <x:c r="W270" s="268"/>
      <x:c r="X270" s="268"/>
      <x:c r="Y270" s="268"/>
      <x:c r="Z270" s="268"/>
      <x:c r="AA270" s="268"/>
      <x:c r="AB270" s="268"/>
      <x:c r="AC270" s="268"/>
    </x:row>
    <x:row r="271">
      <x:c r="A271" s="268"/>
      <x:c r="B271" s="268"/>
      <x:c r="C271" s="268"/>
      <x:c r="D271" s="268"/>
      <x:c r="E271" s="268"/>
      <x:c r="F271" s="268"/>
      <x:c r="G271" s="268"/>
      <x:c r="H271" s="268"/>
      <x:c r="I271" s="268"/>
      <x:c r="J271" s="268"/>
      <x:c r="K271" s="268"/>
      <x:c r="L271" s="268"/>
      <x:c r="M271" s="268"/>
      <x:c r="N271" s="268"/>
      <x:c r="O271" s="268"/>
      <x:c r="P271" s="268"/>
      <x:c r="Q271" s="268"/>
      <x:c r="R271" s="268"/>
      <x:c r="S271" s="268"/>
      <x:c r="T271" s="268"/>
      <x:c r="U271" s="268"/>
      <x:c r="V271" s="268"/>
      <x:c r="W271" s="268"/>
      <x:c r="X271" s="268"/>
      <x:c r="Y271" s="268"/>
      <x:c r="Z271" s="268"/>
      <x:c r="AA271" s="268"/>
      <x:c r="AB271" s="268"/>
      <x:c r="AC271" s="268"/>
    </x:row>
    <x:row r="272">
      <x:c r="A272" s="268"/>
      <x:c r="B272" s="268"/>
      <x:c r="C272" s="268"/>
      <x:c r="D272" s="268"/>
      <x:c r="E272" s="268"/>
      <x:c r="F272" s="268"/>
      <x:c r="G272" s="268"/>
      <x:c r="H272" s="268"/>
      <x:c r="I272" s="268"/>
      <x:c r="J272" s="268"/>
      <x:c r="K272" s="268"/>
      <x:c r="L272" s="268"/>
      <x:c r="M272" s="268"/>
      <x:c r="N272" s="268"/>
      <x:c r="O272" s="268"/>
      <x:c r="P272" s="268"/>
      <x:c r="Q272" s="268"/>
      <x:c r="R272" s="268"/>
      <x:c r="S272" s="268"/>
      <x:c r="T272" s="268"/>
      <x:c r="U272" s="268"/>
      <x:c r="V272" s="268"/>
      <x:c r="W272" s="268"/>
      <x:c r="X272" s="268"/>
      <x:c r="Y272" s="268"/>
      <x:c r="Z272" s="268"/>
      <x:c r="AA272" s="268"/>
      <x:c r="AB272" s="268"/>
      <x:c r="AC272" s="268"/>
    </x:row>
    <x:row r="273">
      <x:c r="A273" s="268"/>
      <x:c r="B273" s="268"/>
      <x:c r="C273" s="268"/>
      <x:c r="D273" s="268"/>
      <x:c r="E273" s="268"/>
      <x:c r="F273" s="268"/>
      <x:c r="G273" s="268"/>
      <x:c r="H273" s="268"/>
      <x:c r="I273" s="268"/>
      <x:c r="J273" s="268"/>
      <x:c r="K273" s="268"/>
      <x:c r="L273" s="268"/>
      <x:c r="M273" s="268"/>
      <x:c r="N273" s="268"/>
      <x:c r="O273" s="268"/>
      <x:c r="P273" s="268"/>
      <x:c r="Q273" s="268"/>
      <x:c r="R273" s="268"/>
      <x:c r="S273" s="268"/>
      <x:c r="T273" s="268"/>
      <x:c r="U273" s="268"/>
      <x:c r="V273" s="268"/>
      <x:c r="W273" s="268"/>
      <x:c r="X273" s="268"/>
      <x:c r="Y273" s="268"/>
      <x:c r="Z273" s="268"/>
      <x:c r="AA273" s="268"/>
      <x:c r="AB273" s="268"/>
      <x:c r="AC273" s="268"/>
    </x:row>
    <x:row r="274">
      <x:c r="A274" s="268"/>
      <x:c r="B274" s="268"/>
      <x:c r="C274" s="268"/>
      <x:c r="D274" s="268"/>
      <x:c r="E274" s="268"/>
      <x:c r="F274" s="268"/>
      <x:c r="G274" s="268"/>
      <x:c r="H274" s="268"/>
      <x:c r="I274" s="268"/>
      <x:c r="J274" s="268"/>
      <x:c r="K274" s="268"/>
      <x:c r="L274" s="268"/>
      <x:c r="M274" s="268"/>
      <x:c r="N274" s="268"/>
      <x:c r="O274" s="268"/>
      <x:c r="P274" s="268"/>
      <x:c r="Q274" s="268"/>
      <x:c r="R274" s="268"/>
      <x:c r="S274" s="268"/>
      <x:c r="T274" s="268"/>
      <x:c r="U274" s="268"/>
      <x:c r="V274" s="268"/>
      <x:c r="W274" s="268"/>
      <x:c r="X274" s="268"/>
      <x:c r="Y274" s="268"/>
      <x:c r="Z274" s="268"/>
      <x:c r="AA274" s="268"/>
      <x:c r="AB274" s="268"/>
      <x:c r="AC274" s="268"/>
    </x:row>
    <x:row r="275">
      <x:c r="A275" s="268"/>
      <x:c r="B275" s="268"/>
      <x:c r="C275" s="268"/>
      <x:c r="D275" s="268"/>
      <x:c r="E275" s="268"/>
      <x:c r="F275" s="268"/>
      <x:c r="G275" s="268"/>
      <x:c r="H275" s="268"/>
      <x:c r="I275" s="268"/>
      <x:c r="J275" s="268"/>
      <x:c r="K275" s="268"/>
      <x:c r="L275" s="268"/>
      <x:c r="M275" s="268"/>
      <x:c r="N275" s="268"/>
      <x:c r="O275" s="268"/>
      <x:c r="P275" s="268"/>
      <x:c r="Q275" s="268"/>
      <x:c r="R275" s="268"/>
      <x:c r="S275" s="268"/>
      <x:c r="T275" s="268"/>
      <x:c r="U275" s="268"/>
      <x:c r="V275" s="268"/>
      <x:c r="W275" s="268"/>
      <x:c r="X275" s="268"/>
      <x:c r="Y275" s="268"/>
      <x:c r="Z275" s="268"/>
      <x:c r="AA275" s="268"/>
      <x:c r="AB275" s="268"/>
      <x:c r="AC275" s="268"/>
    </x:row>
    <x:row r="276">
      <x:c r="A276" s="268"/>
      <x:c r="B276" s="268"/>
      <x:c r="C276" s="268"/>
      <x:c r="D276" s="268"/>
      <x:c r="E276" s="268"/>
      <x:c r="F276" s="268"/>
      <x:c r="G276" s="268"/>
      <x:c r="H276" s="268"/>
      <x:c r="I276" s="268"/>
      <x:c r="J276" s="268"/>
      <x:c r="K276" s="268"/>
      <x:c r="L276" s="268"/>
      <x:c r="M276" s="268"/>
      <x:c r="N276" s="268"/>
      <x:c r="O276" s="268"/>
      <x:c r="P276" s="268"/>
      <x:c r="Q276" s="268"/>
      <x:c r="R276" s="268"/>
      <x:c r="S276" s="268"/>
      <x:c r="T276" s="268"/>
      <x:c r="U276" s="268"/>
      <x:c r="V276" s="268"/>
      <x:c r="W276" s="268"/>
      <x:c r="X276" s="268"/>
      <x:c r="Y276" s="268"/>
      <x:c r="Z276" s="268"/>
      <x:c r="AA276" s="268"/>
      <x:c r="AB276" s="268"/>
      <x:c r="AC276" s="268"/>
    </x:row>
    <x:row r="277">
      <x:c r="A277" s="268"/>
      <x:c r="B277" s="268"/>
      <x:c r="C277" s="268"/>
      <x:c r="D277" s="268"/>
      <x:c r="E277" s="268"/>
      <x:c r="F277" s="268"/>
      <x:c r="G277" s="268"/>
      <x:c r="H277" s="268"/>
      <x:c r="I277" s="268"/>
      <x:c r="J277" s="268"/>
      <x:c r="K277" s="268"/>
      <x:c r="L277" s="268"/>
      <x:c r="M277" s="268"/>
      <x:c r="N277" s="268"/>
      <x:c r="O277" s="268"/>
      <x:c r="P277" s="268"/>
      <x:c r="Q277" s="268"/>
      <x:c r="R277" s="268"/>
      <x:c r="S277" s="268"/>
      <x:c r="T277" s="268"/>
      <x:c r="U277" s="268"/>
      <x:c r="V277" s="268"/>
      <x:c r="W277" s="268"/>
      <x:c r="X277" s="268"/>
      <x:c r="Y277" s="268"/>
      <x:c r="Z277" s="268"/>
      <x:c r="AA277" s="268"/>
      <x:c r="AB277" s="268"/>
      <x:c r="AC277" s="268"/>
    </x:row>
    <x:row r="278">
      <x:c r="A278" s="268"/>
      <x:c r="B278" s="268"/>
      <x:c r="C278" s="268"/>
      <x:c r="D278" s="268"/>
      <x:c r="E278" s="268"/>
      <x:c r="F278" s="268"/>
      <x:c r="G278" s="268"/>
      <x:c r="H278" s="268"/>
      <x:c r="I278" s="268"/>
      <x:c r="J278" s="268"/>
      <x:c r="K278" s="268"/>
      <x:c r="L278" s="268"/>
      <x:c r="M278" s="268"/>
      <x:c r="N278" s="268"/>
      <x:c r="O278" s="268"/>
      <x:c r="P278" s="268"/>
      <x:c r="Q278" s="268"/>
      <x:c r="R278" s="268"/>
      <x:c r="S278" s="268"/>
      <x:c r="T278" s="268"/>
      <x:c r="U278" s="268"/>
      <x:c r="V278" s="268"/>
      <x:c r="W278" s="268"/>
      <x:c r="X278" s="268"/>
      <x:c r="Y278" s="268"/>
      <x:c r="Z278" s="268"/>
      <x:c r="AA278" s="268"/>
      <x:c r="AB278" s="268"/>
      <x:c r="AC278" s="268"/>
    </x:row>
    <x:row r="279">
      <x:c r="A279" s="268"/>
      <x:c r="B279" s="268"/>
      <x:c r="C279" s="268"/>
      <x:c r="D279" s="268"/>
      <x:c r="E279" s="268"/>
      <x:c r="F279" s="268"/>
      <x:c r="G279" s="268"/>
      <x:c r="H279" s="268"/>
      <x:c r="I279" s="268"/>
      <x:c r="J279" s="268"/>
      <x:c r="K279" s="268"/>
      <x:c r="L279" s="268"/>
      <x:c r="M279" s="268"/>
      <x:c r="N279" s="268"/>
      <x:c r="O279" s="268"/>
      <x:c r="P279" s="268"/>
      <x:c r="Q279" s="268"/>
      <x:c r="R279" s="268"/>
      <x:c r="S279" s="268"/>
      <x:c r="T279" s="268"/>
      <x:c r="U279" s="268"/>
      <x:c r="V279" s="268"/>
      <x:c r="W279" s="268"/>
      <x:c r="X279" s="268"/>
      <x:c r="Y279" s="268"/>
      <x:c r="Z279" s="268"/>
      <x:c r="AA279" s="268"/>
      <x:c r="AB279" s="268"/>
      <x:c r="AC279" s="268"/>
    </x:row>
    <x:row r="280">
      <x:c r="A280" s="268"/>
      <x:c r="B280" s="268"/>
      <x:c r="C280" s="268"/>
      <x:c r="D280" s="268"/>
      <x:c r="E280" s="268"/>
      <x:c r="F280" s="268"/>
      <x:c r="G280" s="268"/>
      <x:c r="H280" s="268"/>
      <x:c r="I280" s="268"/>
      <x:c r="J280" s="268"/>
      <x:c r="K280" s="268"/>
      <x:c r="L280" s="268"/>
      <x:c r="M280" s="268"/>
      <x:c r="N280" s="268"/>
      <x:c r="O280" s="268"/>
      <x:c r="P280" s="268"/>
      <x:c r="Q280" s="268"/>
      <x:c r="R280" s="268"/>
      <x:c r="S280" s="268"/>
      <x:c r="T280" s="268"/>
      <x:c r="U280" s="268"/>
      <x:c r="V280" s="268"/>
      <x:c r="W280" s="268"/>
      <x:c r="X280" s="268"/>
      <x:c r="Y280" s="268"/>
      <x:c r="Z280" s="268"/>
      <x:c r="AA280" s="268"/>
      <x:c r="AB280" s="268"/>
      <x:c r="AC280" s="268"/>
    </x:row>
    <x:row r="281">
      <x:c r="A281" s="268"/>
      <x:c r="B281" s="268"/>
      <x:c r="C281" s="268"/>
      <x:c r="D281" s="268"/>
      <x:c r="E281" s="268"/>
      <x:c r="F281" s="268"/>
      <x:c r="G281" s="268"/>
      <x:c r="H281" s="268"/>
      <x:c r="I281" s="268"/>
      <x:c r="J281" s="268"/>
      <x:c r="K281" s="268"/>
      <x:c r="L281" s="268"/>
      <x:c r="M281" s="268"/>
      <x:c r="N281" s="268"/>
      <x:c r="O281" s="268"/>
      <x:c r="P281" s="268"/>
      <x:c r="Q281" s="268"/>
      <x:c r="R281" s="268"/>
      <x:c r="S281" s="268"/>
      <x:c r="T281" s="268"/>
      <x:c r="U281" s="268"/>
      <x:c r="V281" s="268"/>
      <x:c r="W281" s="268"/>
      <x:c r="X281" s="268"/>
      <x:c r="Y281" s="268"/>
      <x:c r="Z281" s="268"/>
      <x:c r="AA281" s="268"/>
      <x:c r="AB281" s="268"/>
      <x:c r="AC281" s="268"/>
    </x:row>
    <x:row r="282">
      <x:c r="A282" s="268"/>
      <x:c r="B282" s="268"/>
      <x:c r="C282" s="268"/>
      <x:c r="D282" s="268"/>
      <x:c r="E282" s="268"/>
      <x:c r="F282" s="268"/>
      <x:c r="G282" s="268"/>
      <x:c r="H282" s="268"/>
      <x:c r="I282" s="268"/>
      <x:c r="J282" s="268"/>
      <x:c r="K282" s="268"/>
      <x:c r="L282" s="268"/>
      <x:c r="M282" s="268"/>
      <x:c r="N282" s="268"/>
      <x:c r="O282" s="268"/>
      <x:c r="P282" s="268"/>
      <x:c r="Q282" s="268"/>
      <x:c r="R282" s="268"/>
      <x:c r="S282" s="268"/>
      <x:c r="T282" s="268"/>
      <x:c r="U282" s="268"/>
      <x:c r="V282" s="268"/>
      <x:c r="W282" s="268"/>
      <x:c r="X282" s="268"/>
      <x:c r="Y282" s="268"/>
      <x:c r="Z282" s="268"/>
      <x:c r="AA282" s="268"/>
      <x:c r="AB282" s="268"/>
      <x:c r="AC282" s="268"/>
    </x:row>
    <x:row r="283">
      <x:c r="A283" s="268"/>
      <x:c r="B283" s="268"/>
      <x:c r="C283" s="268"/>
      <x:c r="D283" s="268"/>
      <x:c r="E283" s="268"/>
      <x:c r="F283" s="268"/>
      <x:c r="G283" s="268"/>
      <x:c r="H283" s="268"/>
      <x:c r="I283" s="268"/>
      <x:c r="J283" s="268"/>
      <x:c r="K283" s="268"/>
      <x:c r="L283" s="268"/>
      <x:c r="M283" s="268"/>
      <x:c r="N283" s="268"/>
      <x:c r="O283" s="268"/>
      <x:c r="P283" s="268"/>
      <x:c r="Q283" s="268"/>
      <x:c r="R283" s="268"/>
      <x:c r="S283" s="268"/>
      <x:c r="T283" s="268"/>
      <x:c r="U283" s="268"/>
      <x:c r="V283" s="268"/>
      <x:c r="W283" s="268"/>
      <x:c r="X283" s="268"/>
      <x:c r="Y283" s="268"/>
      <x:c r="Z283" s="268"/>
      <x:c r="AA283" s="268"/>
      <x:c r="AB283" s="268"/>
      <x:c r="AC283" s="268"/>
    </x:row>
    <x:row r="284">
      <x:c r="A284" s="268"/>
      <x:c r="B284" s="268"/>
      <x:c r="C284" s="268"/>
      <x:c r="D284" s="268"/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/>
      <x:c r="R284" s="268"/>
      <x:c r="S284" s="268"/>
      <x:c r="T284" s="268"/>
      <x:c r="U284" s="268"/>
      <x:c r="V284" s="268"/>
      <x:c r="W284" s="268"/>
      <x:c r="X284" s="268"/>
      <x:c r="Y284" s="268"/>
      <x:c r="Z284" s="268"/>
      <x:c r="AA284" s="268"/>
      <x:c r="AB284" s="268"/>
      <x:c r="AC284" s="268"/>
    </x:row>
    <x:row r="285">
      <x:c r="A285" s="268"/>
      <x:c r="B285" s="268"/>
      <x:c r="C285" s="268"/>
      <x:c r="D285" s="268"/>
      <x:c r="E285" s="268"/>
      <x:c r="F285" s="268"/>
      <x:c r="G285" s="268"/>
      <x:c r="H285" s="268"/>
      <x:c r="I285" s="268"/>
      <x:c r="J285" s="268"/>
      <x:c r="K285" s="268"/>
      <x:c r="L285" s="268"/>
      <x:c r="M285" s="268"/>
      <x:c r="N285" s="268"/>
      <x:c r="O285" s="268"/>
      <x:c r="P285" s="268"/>
      <x:c r="Q285" s="268"/>
      <x:c r="R285" s="268"/>
      <x:c r="S285" s="268"/>
      <x:c r="T285" s="268"/>
      <x:c r="U285" s="268"/>
      <x:c r="V285" s="268"/>
      <x:c r="W285" s="268"/>
      <x:c r="X285" s="268"/>
      <x:c r="Y285" s="268"/>
      <x:c r="Z285" s="268"/>
      <x:c r="AA285" s="268"/>
      <x:c r="AB285" s="268"/>
      <x:c r="AC285" s="268"/>
    </x:row>
    <x:row r="286">
      <x:c r="A286" s="268"/>
      <x:c r="B286" s="268"/>
      <x:c r="C286" s="268"/>
      <x:c r="D286" s="268"/>
      <x:c r="E286" s="268"/>
      <x:c r="F286" s="268"/>
      <x:c r="G286" s="268"/>
      <x:c r="H286" s="268"/>
      <x:c r="I286" s="268"/>
      <x:c r="J286" s="268"/>
      <x:c r="K286" s="268"/>
      <x:c r="L286" s="268"/>
      <x:c r="M286" s="268"/>
      <x:c r="N286" s="268"/>
      <x:c r="O286" s="268"/>
      <x:c r="P286" s="268"/>
      <x:c r="Q286" s="268"/>
      <x:c r="R286" s="268"/>
      <x:c r="S286" s="268"/>
      <x:c r="T286" s="268"/>
      <x:c r="U286" s="268"/>
      <x:c r="V286" s="268"/>
      <x:c r="W286" s="268"/>
      <x:c r="X286" s="268"/>
      <x:c r="Y286" s="268"/>
      <x:c r="Z286" s="268"/>
      <x:c r="AA286" s="268"/>
      <x:c r="AB286" s="268"/>
      <x:c r="AC286" s="268"/>
    </x:row>
    <x:row r="287">
      <x:c r="A287" s="268"/>
      <x:c r="B287" s="268"/>
      <x:c r="C287" s="268"/>
      <x:c r="D287" s="268"/>
      <x:c r="E287" s="268"/>
      <x:c r="F287" s="268"/>
      <x:c r="G287" s="268"/>
      <x:c r="H287" s="268"/>
      <x:c r="I287" s="268"/>
      <x:c r="J287" s="268"/>
      <x:c r="K287" s="268"/>
      <x:c r="L287" s="268"/>
      <x:c r="M287" s="268"/>
      <x:c r="N287" s="268"/>
      <x:c r="O287" s="268"/>
      <x:c r="P287" s="268"/>
      <x:c r="Q287" s="268"/>
      <x:c r="R287" s="268"/>
      <x:c r="S287" s="268"/>
      <x:c r="T287" s="268"/>
      <x:c r="U287" s="268"/>
      <x:c r="V287" s="268"/>
      <x:c r="W287" s="268"/>
      <x:c r="X287" s="268"/>
      <x:c r="Y287" s="268"/>
      <x:c r="Z287" s="268"/>
      <x:c r="AA287" s="268"/>
      <x:c r="AB287" s="268"/>
      <x:c r="AC287" s="268"/>
    </x:row>
    <x:row r="288">
      <x:c r="A288" s="268"/>
      <x:c r="B288" s="268"/>
      <x:c r="C288" s="268"/>
      <x:c r="D288" s="268"/>
      <x:c r="E288" s="268"/>
      <x:c r="F288" s="268"/>
      <x:c r="G288" s="268"/>
      <x:c r="H288" s="268"/>
      <x:c r="I288" s="268"/>
      <x:c r="J288" s="268"/>
      <x:c r="K288" s="268"/>
      <x:c r="L288" s="268"/>
      <x:c r="M288" s="268"/>
      <x:c r="N288" s="268"/>
      <x:c r="O288" s="268"/>
      <x:c r="P288" s="268"/>
      <x:c r="Q288" s="268"/>
      <x:c r="R288" s="268"/>
      <x:c r="S288" s="268"/>
      <x:c r="T288" s="268"/>
      <x:c r="U288" s="268"/>
      <x:c r="V288" s="268"/>
      <x:c r="W288" s="268"/>
      <x:c r="X288" s="268"/>
      <x:c r="Y288" s="268"/>
      <x:c r="Z288" s="268"/>
      <x:c r="AA288" s="268"/>
      <x:c r="AB288" s="268"/>
      <x:c r="AC288" s="268"/>
    </x:row>
    <x:row r="289">
      <x:c r="A289" s="268"/>
      <x:c r="B289" s="268"/>
      <x:c r="C289" s="268"/>
      <x:c r="D289" s="268"/>
      <x:c r="E289" s="268"/>
      <x:c r="F289" s="268"/>
      <x:c r="G289" s="268"/>
      <x:c r="H289" s="268"/>
      <x:c r="I289" s="268"/>
      <x:c r="J289" s="268"/>
      <x:c r="K289" s="268"/>
      <x:c r="L289" s="268"/>
      <x:c r="M289" s="268"/>
      <x:c r="N289" s="268"/>
      <x:c r="O289" s="268"/>
      <x:c r="P289" s="268"/>
      <x:c r="Q289" s="268"/>
      <x:c r="R289" s="268"/>
      <x:c r="S289" s="268"/>
      <x:c r="T289" s="268"/>
      <x:c r="U289" s="268"/>
      <x:c r="V289" s="268"/>
      <x:c r="W289" s="268"/>
      <x:c r="X289" s="268"/>
      <x:c r="Y289" s="268"/>
      <x:c r="Z289" s="268"/>
      <x:c r="AA289" s="268"/>
      <x:c r="AB289" s="268"/>
      <x:c r="AC289" s="268"/>
    </x:row>
    <x:row r="290">
      <x:c r="A290" s="268"/>
      <x:c r="B290" s="268"/>
      <x:c r="C290" s="268"/>
      <x:c r="D290" s="268"/>
      <x:c r="E290" s="268"/>
      <x:c r="F290" s="268"/>
      <x:c r="G290" s="268"/>
      <x:c r="H290" s="268"/>
      <x:c r="I290" s="268"/>
      <x:c r="J290" s="268"/>
      <x:c r="K290" s="268"/>
      <x:c r="L290" s="268"/>
      <x:c r="M290" s="268"/>
      <x:c r="N290" s="268"/>
      <x:c r="O290" s="268"/>
      <x:c r="P290" s="268"/>
      <x:c r="Q290" s="268"/>
      <x:c r="R290" s="268"/>
      <x:c r="S290" s="268"/>
      <x:c r="T290" s="268"/>
      <x:c r="U290" s="268"/>
      <x:c r="V290" s="268"/>
      <x:c r="W290" s="268"/>
      <x:c r="X290" s="268"/>
      <x:c r="Y290" s="268"/>
      <x:c r="Z290" s="268"/>
      <x:c r="AA290" s="268"/>
      <x:c r="AB290" s="268"/>
      <x:c r="AC290" s="268"/>
    </x:row>
    <x:row r="291">
      <x:c r="A291" s="268"/>
      <x:c r="B291" s="268"/>
      <x:c r="C291" s="268"/>
      <x:c r="D291" s="268"/>
      <x:c r="E291" s="268"/>
      <x:c r="F291" s="268"/>
      <x:c r="G291" s="268"/>
      <x:c r="H291" s="268"/>
      <x:c r="I291" s="268"/>
      <x:c r="J291" s="268"/>
      <x:c r="K291" s="268"/>
      <x:c r="L291" s="268"/>
      <x:c r="M291" s="268"/>
      <x:c r="N291" s="268"/>
      <x:c r="O291" s="268"/>
      <x:c r="P291" s="268"/>
      <x:c r="Q291" s="268"/>
      <x:c r="R291" s="268"/>
      <x:c r="S291" s="268"/>
      <x:c r="T291" s="268"/>
      <x:c r="U291" s="268"/>
      <x:c r="V291" s="268"/>
      <x:c r="W291" s="268"/>
      <x:c r="X291" s="268"/>
      <x:c r="Y291" s="268"/>
      <x:c r="Z291" s="268"/>
      <x:c r="AA291" s="268"/>
      <x:c r="AB291" s="268"/>
      <x:c r="AC291" s="268"/>
    </x:row>
    <x:row r="292">
      <x:c r="A292" s="268"/>
      <x:c r="B292" s="268"/>
      <x:c r="C292" s="268"/>
      <x:c r="D292" s="268"/>
      <x:c r="E292" s="268"/>
      <x:c r="F292" s="268"/>
      <x:c r="G292" s="268"/>
      <x:c r="H292" s="268"/>
      <x:c r="I292" s="268"/>
      <x:c r="J292" s="268"/>
      <x:c r="K292" s="268"/>
      <x:c r="L292" s="268"/>
      <x:c r="M292" s="268"/>
      <x:c r="N292" s="268"/>
      <x:c r="O292" s="268"/>
      <x:c r="P292" s="268"/>
      <x:c r="Q292" s="268"/>
      <x:c r="R292" s="268"/>
      <x:c r="S292" s="268"/>
      <x:c r="T292" s="268"/>
      <x:c r="U292" s="268"/>
      <x:c r="V292" s="268"/>
      <x:c r="W292" s="268"/>
      <x:c r="X292" s="268"/>
      <x:c r="Y292" s="268"/>
      <x:c r="Z292" s="268"/>
      <x:c r="AA292" s="268"/>
      <x:c r="AB292" s="268"/>
      <x:c r="AC292" s="268"/>
    </x:row>
    <x:row r="293">
      <x:c r="A293" s="268"/>
      <x:c r="B293" s="268"/>
      <x:c r="C293" s="268"/>
      <x:c r="D293" s="268"/>
      <x:c r="E293" s="268"/>
      <x:c r="F293" s="268"/>
      <x:c r="G293" s="268"/>
      <x:c r="H293" s="268"/>
      <x:c r="I293" s="268"/>
      <x:c r="J293" s="268"/>
      <x:c r="K293" s="268"/>
      <x:c r="L293" s="268"/>
      <x:c r="M293" s="268"/>
      <x:c r="N293" s="268"/>
      <x:c r="O293" s="268"/>
      <x:c r="P293" s="268"/>
      <x:c r="Q293" s="268"/>
      <x:c r="R293" s="268"/>
      <x:c r="S293" s="268"/>
      <x:c r="T293" s="268"/>
      <x:c r="U293" s="268"/>
      <x:c r="V293" s="268"/>
      <x:c r="W293" s="268"/>
      <x:c r="X293" s="268"/>
      <x:c r="Y293" s="268"/>
      <x:c r="Z293" s="268"/>
      <x:c r="AA293" s="268"/>
      <x:c r="AB293" s="268"/>
      <x:c r="AC293" s="268"/>
    </x:row>
    <x:row r="294">
      <x:c r="A294" s="268"/>
      <x:c r="B294" s="268"/>
      <x:c r="C294" s="268"/>
      <x:c r="D294" s="268"/>
      <x:c r="E294" s="268"/>
      <x:c r="F294" s="268"/>
      <x:c r="G294" s="268"/>
      <x:c r="H294" s="268"/>
      <x:c r="I294" s="268"/>
      <x:c r="J294" s="268"/>
      <x:c r="K294" s="268"/>
      <x:c r="L294" s="268"/>
      <x:c r="M294" s="268"/>
      <x:c r="N294" s="268"/>
      <x:c r="O294" s="268"/>
      <x:c r="P294" s="268"/>
      <x:c r="Q294" s="268"/>
      <x:c r="R294" s="268"/>
      <x:c r="S294" s="268"/>
      <x:c r="T294" s="268"/>
      <x:c r="U294" s="268"/>
      <x:c r="V294" s="268"/>
      <x:c r="W294" s="268"/>
      <x:c r="X294" s="268"/>
      <x:c r="Y294" s="268"/>
      <x:c r="Z294" s="268"/>
      <x:c r="AA294" s="268"/>
      <x:c r="AB294" s="268"/>
      <x:c r="AC294" s="268"/>
    </x:row>
    <x:row r="295">
      <x:c r="A295" s="268"/>
      <x:c r="B295" s="268"/>
      <x:c r="C295" s="268"/>
      <x:c r="D295" s="268"/>
      <x:c r="E295" s="268"/>
      <x:c r="F295" s="268"/>
      <x:c r="G295" s="268"/>
      <x:c r="H295" s="268"/>
      <x:c r="I295" s="268"/>
      <x:c r="J295" s="268"/>
      <x:c r="K295" s="268"/>
      <x:c r="L295" s="268"/>
      <x:c r="M295" s="268"/>
      <x:c r="N295" s="268"/>
      <x:c r="O295" s="268"/>
      <x:c r="P295" s="268"/>
      <x:c r="Q295" s="268"/>
      <x:c r="R295" s="268"/>
      <x:c r="S295" s="268"/>
      <x:c r="T295" s="268"/>
      <x:c r="U295" s="268"/>
      <x:c r="V295" s="268"/>
      <x:c r="W295" s="268"/>
      <x:c r="X295" s="268"/>
      <x:c r="Y295" s="268"/>
      <x:c r="Z295" s="268"/>
      <x:c r="AA295" s="268"/>
      <x:c r="AB295" s="268"/>
      <x:c r="AC295" s="268"/>
    </x:row>
    <x:row r="296">
      <x:c r="A296" s="268"/>
      <x:c r="B296" s="268"/>
      <x:c r="C296" s="268"/>
      <x:c r="D296" s="268"/>
      <x:c r="E296" s="268"/>
      <x:c r="F296" s="268"/>
      <x:c r="G296" s="268"/>
      <x:c r="H296" s="268"/>
      <x:c r="I296" s="268"/>
      <x:c r="J296" s="268"/>
      <x:c r="K296" s="268"/>
      <x:c r="L296" s="268"/>
      <x:c r="M296" s="268"/>
      <x:c r="N296" s="268"/>
      <x:c r="O296" s="268"/>
      <x:c r="P296" s="268"/>
      <x:c r="Q296" s="268"/>
      <x:c r="R296" s="268"/>
      <x:c r="S296" s="268"/>
      <x:c r="T296" s="268"/>
      <x:c r="U296" s="268"/>
      <x:c r="V296" s="268"/>
      <x:c r="W296" s="268"/>
      <x:c r="X296" s="268"/>
      <x:c r="Y296" s="268"/>
      <x:c r="Z296" s="268"/>
      <x:c r="AA296" s="268"/>
      <x:c r="AB296" s="268"/>
      <x:c r="AC296" s="268"/>
    </x:row>
    <x:row r="297">
      <x:c r="A297" s="268"/>
      <x:c r="B297" s="268"/>
      <x:c r="C297" s="268"/>
      <x:c r="D297" s="268"/>
      <x:c r="E297" s="268"/>
      <x:c r="F297" s="268"/>
      <x:c r="G297" s="268"/>
      <x:c r="H297" s="268"/>
      <x:c r="I297" s="268"/>
      <x:c r="J297" s="268"/>
      <x:c r="K297" s="268"/>
      <x:c r="L297" s="268"/>
      <x:c r="M297" s="268"/>
      <x:c r="N297" s="268"/>
      <x:c r="O297" s="268"/>
      <x:c r="P297" s="268"/>
      <x:c r="Q297" s="268"/>
      <x:c r="R297" s="268"/>
      <x:c r="S297" s="268"/>
      <x:c r="T297" s="268"/>
      <x:c r="U297" s="268"/>
      <x:c r="V297" s="268"/>
      <x:c r="W297" s="268"/>
      <x:c r="X297" s="268"/>
      <x:c r="Y297" s="268"/>
      <x:c r="Z297" s="268"/>
      <x:c r="AA297" s="268"/>
      <x:c r="AB297" s="268"/>
      <x:c r="AC297" s="268"/>
    </x:row>
    <x:row r="298">
      <x:c r="A298" s="268"/>
      <x:c r="B298" s="268"/>
      <x:c r="C298" s="268"/>
      <x:c r="D298" s="268"/>
      <x:c r="E298" s="268"/>
      <x:c r="F298" s="268"/>
      <x:c r="G298" s="268"/>
      <x:c r="H298" s="268"/>
      <x:c r="I298" s="268"/>
      <x:c r="J298" s="268"/>
      <x:c r="K298" s="268"/>
      <x:c r="L298" s="268"/>
      <x:c r="M298" s="268"/>
      <x:c r="N298" s="268"/>
      <x:c r="O298" s="268"/>
      <x:c r="P298" s="268"/>
      <x:c r="Q298" s="268"/>
      <x:c r="R298" s="268"/>
      <x:c r="S298" s="268"/>
      <x:c r="T298" s="268"/>
      <x:c r="U298" s="268"/>
      <x:c r="V298" s="268"/>
      <x:c r="W298" s="268"/>
      <x:c r="X298" s="268"/>
      <x:c r="Y298" s="268"/>
      <x:c r="Z298" s="268"/>
      <x:c r="AA298" s="268"/>
      <x:c r="AB298" s="268"/>
      <x:c r="AC298" s="268"/>
    </x:row>
    <x:row r="299">
      <x:c r="A299" s="268"/>
      <x:c r="B299" s="268"/>
      <x:c r="C299" s="268"/>
      <x:c r="D299" s="268"/>
      <x:c r="E299" s="268"/>
      <x:c r="F299" s="268"/>
      <x:c r="G299" s="268"/>
      <x:c r="H299" s="268"/>
      <x:c r="I299" s="268"/>
      <x:c r="J299" s="268"/>
      <x:c r="K299" s="268"/>
      <x:c r="L299" s="268"/>
      <x:c r="M299" s="268"/>
      <x:c r="N299" s="268"/>
      <x:c r="O299" s="268"/>
      <x:c r="P299" s="268"/>
      <x:c r="Q299" s="268"/>
      <x:c r="R299" s="268"/>
      <x:c r="S299" s="268"/>
      <x:c r="T299" s="268"/>
      <x:c r="U299" s="268"/>
      <x:c r="V299" s="268"/>
      <x:c r="W299" s="268"/>
      <x:c r="X299" s="268"/>
      <x:c r="Y299" s="268"/>
      <x:c r="Z299" s="268"/>
      <x:c r="AA299" s="268"/>
      <x:c r="AB299" s="268"/>
      <x:c r="AC299" s="268"/>
    </x:row>
    <x:row r="300">
      <x:c r="A300" s="268"/>
      <x:c r="B300" s="268"/>
      <x:c r="C300" s="268"/>
      <x:c r="D300" s="268"/>
      <x:c r="E300" s="268"/>
      <x:c r="F300" s="268"/>
      <x:c r="G300" s="268"/>
      <x:c r="H300" s="268"/>
      <x:c r="I300" s="268"/>
      <x:c r="J300" s="268"/>
      <x:c r="K300" s="268"/>
      <x:c r="L300" s="268"/>
      <x:c r="M300" s="268"/>
      <x:c r="N300" s="268"/>
      <x:c r="O300" s="268"/>
      <x:c r="P300" s="268"/>
      <x:c r="Q300" s="268"/>
      <x:c r="R300" s="268"/>
      <x:c r="S300" s="268"/>
      <x:c r="T300" s="268"/>
      <x:c r="U300" s="268"/>
      <x:c r="V300" s="268"/>
      <x:c r="W300" s="268"/>
      <x:c r="X300" s="268"/>
      <x:c r="Y300" s="268"/>
      <x:c r="Z300" s="268"/>
      <x:c r="AA300" s="268"/>
      <x:c r="AB300" s="268"/>
      <x:c r="AC300" s="268"/>
    </x:row>
    <x:row r="301">
      <x:c r="A301" s="268"/>
      <x:c r="B301" s="268"/>
      <x:c r="C301" s="268"/>
      <x:c r="D301" s="268"/>
      <x:c r="E301" s="268"/>
      <x:c r="F301" s="268"/>
      <x:c r="G301" s="268"/>
      <x:c r="H301" s="268"/>
      <x:c r="I301" s="268"/>
      <x:c r="J301" s="268"/>
      <x:c r="K301" s="268"/>
      <x:c r="L301" s="268"/>
      <x:c r="M301" s="268"/>
      <x:c r="N301" s="268"/>
      <x:c r="O301" s="268"/>
      <x:c r="P301" s="268"/>
      <x:c r="Q301" s="268"/>
      <x:c r="R301" s="268"/>
      <x:c r="S301" s="268"/>
      <x:c r="T301" s="268"/>
      <x:c r="U301" s="268"/>
      <x:c r="V301" s="268"/>
      <x:c r="W301" s="268"/>
      <x:c r="X301" s="268"/>
      <x:c r="Y301" s="268"/>
      <x:c r="Z301" s="268"/>
      <x:c r="AA301" s="268"/>
      <x:c r="AB301" s="268"/>
      <x:c r="AC301" s="268"/>
    </x:row>
    <x:row r="302">
      <x:c r="A302" s="268"/>
      <x:c r="B302" s="268"/>
      <x:c r="C302" s="268"/>
      <x:c r="D302" s="268"/>
      <x:c r="E302" s="268"/>
      <x:c r="F302" s="268"/>
      <x:c r="G302" s="268"/>
      <x:c r="H302" s="268"/>
      <x:c r="I302" s="268"/>
      <x:c r="J302" s="268"/>
      <x:c r="K302" s="268"/>
      <x:c r="L302" s="268"/>
      <x:c r="M302" s="268"/>
      <x:c r="N302" s="268"/>
      <x:c r="O302" s="268"/>
      <x:c r="P302" s="268"/>
      <x:c r="Q302" s="268"/>
      <x:c r="R302" s="268"/>
      <x:c r="S302" s="268"/>
      <x:c r="T302" s="268"/>
      <x:c r="U302" s="268"/>
      <x:c r="V302" s="268"/>
      <x:c r="W302" s="268"/>
      <x:c r="X302" s="268"/>
      <x:c r="Y302" s="268"/>
      <x:c r="Z302" s="268"/>
      <x:c r="AA302" s="268"/>
      <x:c r="AB302" s="268"/>
      <x:c r="AC302" s="268"/>
    </x:row>
    <x:row r="303">
      <x:c r="A303" s="268"/>
      <x:c r="B303" s="268"/>
      <x:c r="C303" s="268"/>
      <x:c r="D303" s="268"/>
      <x:c r="E303" s="268"/>
      <x:c r="F303" s="268"/>
      <x:c r="G303" s="268"/>
      <x:c r="H303" s="268"/>
      <x:c r="I303" s="268"/>
      <x:c r="J303" s="268"/>
      <x:c r="K303" s="268"/>
      <x:c r="L303" s="268"/>
      <x:c r="M303" s="268"/>
      <x:c r="N303" s="268"/>
      <x:c r="O303" s="268"/>
      <x:c r="P303" s="268"/>
      <x:c r="Q303" s="268"/>
      <x:c r="R303" s="268"/>
      <x:c r="S303" s="268"/>
      <x:c r="T303" s="268"/>
      <x:c r="U303" s="268"/>
      <x:c r="V303" s="268"/>
      <x:c r="W303" s="268"/>
      <x:c r="X303" s="268"/>
      <x:c r="Y303" s="268"/>
      <x:c r="Z303" s="268"/>
      <x:c r="AA303" s="268"/>
      <x:c r="AB303" s="268"/>
      <x:c r="AC303" s="268"/>
    </x:row>
    <x:row r="304">
      <x:c r="A304" s="268"/>
      <x:c r="B304" s="268"/>
      <x:c r="C304" s="268"/>
      <x:c r="D304" s="268"/>
      <x:c r="E304" s="268"/>
      <x:c r="F304" s="268"/>
      <x:c r="G304" s="268"/>
      <x:c r="H304" s="268"/>
      <x:c r="I304" s="268"/>
      <x:c r="J304" s="268"/>
      <x:c r="K304" s="268"/>
      <x:c r="L304" s="268"/>
      <x:c r="M304" s="268"/>
      <x:c r="N304" s="268"/>
      <x:c r="O304" s="268"/>
      <x:c r="P304" s="268"/>
      <x:c r="Q304" s="268"/>
      <x:c r="R304" s="268"/>
      <x:c r="S304" s="268"/>
      <x:c r="T304" s="268"/>
      <x:c r="U304" s="268"/>
      <x:c r="V304" s="268"/>
      <x:c r="W304" s="268"/>
      <x:c r="X304" s="268"/>
      <x:c r="Y304" s="268"/>
      <x:c r="Z304" s="268"/>
      <x:c r="AA304" s="268"/>
      <x:c r="AB304" s="268"/>
      <x:c r="AC304" s="268"/>
    </x:row>
    <x:row r="305">
      <x:c r="A305" s="268"/>
      <x:c r="B305" s="268"/>
      <x:c r="C305" s="268"/>
      <x:c r="D305" s="268"/>
      <x:c r="E305" s="268"/>
      <x:c r="F305" s="268"/>
      <x:c r="G305" s="268"/>
      <x:c r="H305" s="268"/>
      <x:c r="I305" s="268"/>
      <x:c r="J305" s="268"/>
      <x:c r="K305" s="268"/>
      <x:c r="L305" s="268"/>
      <x:c r="M305" s="268"/>
      <x:c r="N305" s="268"/>
      <x:c r="O305" s="268"/>
      <x:c r="P305" s="268"/>
      <x:c r="Q305" s="268"/>
      <x:c r="R305" s="268"/>
      <x:c r="S305" s="268"/>
      <x:c r="T305" s="268"/>
      <x:c r="U305" s="268"/>
      <x:c r="V305" s="268"/>
      <x:c r="W305" s="268"/>
      <x:c r="X305" s="268"/>
      <x:c r="Y305" s="268"/>
      <x:c r="Z305" s="268"/>
      <x:c r="AA305" s="268"/>
      <x:c r="AB305" s="268"/>
      <x:c r="AC305" s="268"/>
    </x:row>
    <x:row r="306">
      <x:c r="A306" s="268"/>
      <x:c r="B306" s="268"/>
      <x:c r="C306" s="268"/>
      <x:c r="D306" s="268"/>
      <x:c r="E306" s="268"/>
      <x:c r="F306" s="268"/>
      <x:c r="G306" s="268"/>
      <x:c r="H306" s="268"/>
      <x:c r="I306" s="268"/>
      <x:c r="J306" s="268"/>
      <x:c r="K306" s="268"/>
      <x:c r="L306" s="268"/>
      <x:c r="M306" s="268"/>
      <x:c r="N306" s="268"/>
      <x:c r="O306" s="268"/>
      <x:c r="P306" s="268"/>
      <x:c r="Q306" s="268"/>
      <x:c r="R306" s="268"/>
      <x:c r="S306" s="268"/>
      <x:c r="T306" s="268"/>
      <x:c r="U306" s="268"/>
      <x:c r="V306" s="268"/>
      <x:c r="W306" s="268"/>
      <x:c r="X306" s="268"/>
      <x:c r="Y306" s="268"/>
      <x:c r="Z306" s="268"/>
      <x:c r="AA306" s="268"/>
      <x:c r="AB306" s="268"/>
      <x:c r="AC306" s="268"/>
    </x:row>
    <x:row r="307">
      <x:c r="A307" s="268"/>
      <x:c r="B307" s="268"/>
      <x:c r="C307" s="268"/>
      <x:c r="D307" s="268"/>
      <x:c r="E307" s="268"/>
      <x:c r="F307" s="268"/>
      <x:c r="G307" s="268"/>
      <x:c r="H307" s="268"/>
      <x:c r="I307" s="268"/>
      <x:c r="J307" s="268"/>
      <x:c r="K307" s="268"/>
      <x:c r="L307" s="268"/>
      <x:c r="M307" s="268"/>
      <x:c r="N307" s="268"/>
      <x:c r="O307" s="268"/>
      <x:c r="P307" s="268"/>
      <x:c r="Q307" s="268"/>
      <x:c r="R307" s="268"/>
      <x:c r="S307" s="268"/>
      <x:c r="T307" s="268"/>
      <x:c r="U307" s="268"/>
      <x:c r="V307" s="268"/>
      <x:c r="W307" s="268"/>
      <x:c r="X307" s="268"/>
      <x:c r="Y307" s="268"/>
      <x:c r="Z307" s="268"/>
      <x:c r="AA307" s="268"/>
      <x:c r="AB307" s="268"/>
      <x:c r="AC307" s="268"/>
    </x:row>
    <x:row r="308">
      <x:c r="A308" s="268"/>
      <x:c r="B308" s="268"/>
      <x:c r="C308" s="268"/>
      <x:c r="D308" s="268"/>
      <x:c r="E308" s="268"/>
      <x:c r="F308" s="268"/>
      <x:c r="G308" s="268"/>
      <x:c r="H308" s="268"/>
      <x:c r="I308" s="268"/>
      <x:c r="J308" s="268"/>
      <x:c r="K308" s="268"/>
      <x:c r="L308" s="268"/>
      <x:c r="M308" s="268"/>
      <x:c r="N308" s="268"/>
      <x:c r="O308" s="268"/>
      <x:c r="P308" s="268"/>
      <x:c r="Q308" s="268"/>
      <x:c r="R308" s="268"/>
      <x:c r="S308" s="268"/>
      <x:c r="T308" s="268"/>
      <x:c r="U308" s="268"/>
      <x:c r="V308" s="268"/>
      <x:c r="W308" s="268"/>
      <x:c r="X308" s="268"/>
      <x:c r="Y308" s="268"/>
      <x:c r="Z308" s="268"/>
      <x:c r="AA308" s="268"/>
      <x:c r="AB308" s="268"/>
      <x:c r="AC308" s="268"/>
    </x:row>
    <x:row r="309">
      <x:c r="A309" s="268"/>
      <x:c r="B309" s="268"/>
      <x:c r="C309" s="268"/>
      <x:c r="D309" s="268"/>
      <x:c r="E309" s="268"/>
      <x:c r="F309" s="268"/>
      <x:c r="G309" s="268"/>
      <x:c r="H309" s="268"/>
      <x:c r="I309" s="268"/>
      <x:c r="J309" s="268"/>
      <x:c r="K309" s="268"/>
      <x:c r="L309" s="268"/>
      <x:c r="M309" s="268"/>
      <x:c r="N309" s="268"/>
      <x:c r="O309" s="268"/>
      <x:c r="P309" s="268"/>
      <x:c r="Q309" s="268"/>
      <x:c r="R309" s="268"/>
      <x:c r="S309" s="268"/>
      <x:c r="T309" s="268"/>
      <x:c r="U309" s="268"/>
      <x:c r="V309" s="268"/>
      <x:c r="W309" s="268"/>
      <x:c r="X309" s="268"/>
      <x:c r="Y309" s="268"/>
      <x:c r="Z309" s="268"/>
      <x:c r="AA309" s="268"/>
      <x:c r="AB309" s="268"/>
      <x:c r="AC309" s="268"/>
    </x:row>
    <x:row r="310">
      <x:c r="A310" s="268"/>
      <x:c r="B310" s="268"/>
      <x:c r="C310" s="268"/>
      <x:c r="D310" s="268"/>
      <x:c r="E310" s="268"/>
      <x:c r="F310" s="268"/>
      <x:c r="G310" s="268"/>
      <x:c r="H310" s="268"/>
      <x:c r="I310" s="268"/>
      <x:c r="J310" s="268"/>
      <x:c r="K310" s="268"/>
      <x:c r="L310" s="268"/>
      <x:c r="M310" s="268"/>
      <x:c r="N310" s="268"/>
      <x:c r="O310" s="268"/>
      <x:c r="P310" s="268"/>
      <x:c r="Q310" s="268"/>
      <x:c r="R310" s="268"/>
      <x:c r="S310" s="268"/>
      <x:c r="T310" s="268"/>
      <x:c r="U310" s="268"/>
      <x:c r="V310" s="268"/>
      <x:c r="W310" s="268"/>
      <x:c r="X310" s="268"/>
      <x:c r="Y310" s="268"/>
      <x:c r="Z310" s="268"/>
      <x:c r="AA310" s="268"/>
      <x:c r="AB310" s="268"/>
      <x:c r="AC310" s="268"/>
    </x:row>
    <x:row r="311">
      <x:c r="A311" s="268"/>
      <x:c r="B311" s="268"/>
      <x:c r="C311" s="268"/>
      <x:c r="D311" s="268"/>
      <x:c r="E311" s="268"/>
      <x:c r="F311" s="268"/>
      <x:c r="G311" s="268"/>
      <x:c r="H311" s="268"/>
      <x:c r="I311" s="268"/>
      <x:c r="J311" s="268"/>
      <x:c r="K311" s="268"/>
      <x:c r="L311" s="268"/>
      <x:c r="M311" s="268"/>
      <x:c r="N311" s="268"/>
      <x:c r="O311" s="268"/>
      <x:c r="P311" s="268"/>
      <x:c r="Q311" s="268"/>
      <x:c r="R311" s="268"/>
      <x:c r="S311" s="268"/>
      <x:c r="T311" s="268"/>
      <x:c r="U311" s="268"/>
      <x:c r="V311" s="268"/>
      <x:c r="W311" s="268"/>
      <x:c r="X311" s="268"/>
      <x:c r="Y311" s="268"/>
      <x:c r="Z311" s="268"/>
      <x:c r="AA311" s="268"/>
      <x:c r="AB311" s="268"/>
      <x:c r="AC311" s="268"/>
    </x:row>
    <x:row r="312">
      <x:c r="A312" s="268"/>
      <x:c r="B312" s="268"/>
      <x:c r="C312" s="268"/>
      <x:c r="D312" s="268"/>
      <x:c r="E312" s="268"/>
      <x:c r="F312" s="268"/>
      <x:c r="G312" s="268"/>
      <x:c r="H312" s="268"/>
      <x:c r="I312" s="268"/>
      <x:c r="J312" s="268"/>
      <x:c r="K312" s="268"/>
      <x:c r="L312" s="268"/>
      <x:c r="M312" s="268"/>
      <x:c r="N312" s="268"/>
      <x:c r="O312" s="268"/>
      <x:c r="P312" s="268"/>
      <x:c r="Q312" s="268"/>
      <x:c r="R312" s="268"/>
      <x:c r="S312" s="268"/>
      <x:c r="T312" s="268"/>
      <x:c r="U312" s="268"/>
      <x:c r="V312" s="268"/>
      <x:c r="W312" s="268"/>
      <x:c r="X312" s="268"/>
      <x:c r="Y312" s="268"/>
      <x:c r="Z312" s="268"/>
      <x:c r="AA312" s="268"/>
      <x:c r="AB312" s="268"/>
      <x:c r="AC312" s="268"/>
    </x:row>
    <x:row r="313">
      <x:c r="A313" s="268"/>
      <x:c r="B313" s="268"/>
      <x:c r="C313" s="268"/>
      <x:c r="D313" s="268"/>
      <x:c r="E313" s="268"/>
      <x:c r="F313" s="268"/>
      <x:c r="G313" s="268"/>
      <x:c r="H313" s="268"/>
      <x:c r="I313" s="268"/>
      <x:c r="J313" s="268"/>
      <x:c r="K313" s="268"/>
      <x:c r="L313" s="268"/>
      <x:c r="M313" s="268"/>
      <x:c r="N313" s="268"/>
      <x:c r="O313" s="268"/>
      <x:c r="P313" s="268"/>
      <x:c r="Q313" s="268"/>
      <x:c r="R313" s="268"/>
      <x:c r="S313" s="268"/>
      <x:c r="T313" s="268"/>
      <x:c r="U313" s="268"/>
      <x:c r="V313" s="268"/>
      <x:c r="W313" s="268"/>
      <x:c r="X313" s="268"/>
      <x:c r="Y313" s="268"/>
      <x:c r="Z313" s="268"/>
      <x:c r="AA313" s="268"/>
      <x:c r="AB313" s="268"/>
      <x:c r="AC313" s="268"/>
    </x:row>
    <x:row r="314">
      <x:c r="A314" s="268"/>
      <x:c r="B314" s="268"/>
      <x:c r="C314" s="268"/>
      <x:c r="D314" s="268"/>
      <x:c r="E314" s="268"/>
      <x:c r="F314" s="268"/>
      <x:c r="G314" s="268"/>
      <x:c r="H314" s="268"/>
      <x:c r="I314" s="268"/>
      <x:c r="J314" s="268"/>
      <x:c r="K314" s="268"/>
      <x:c r="L314" s="268"/>
      <x:c r="M314" s="268"/>
      <x:c r="N314" s="268"/>
      <x:c r="O314" s="268"/>
      <x:c r="P314" s="268"/>
      <x:c r="Q314" s="268"/>
      <x:c r="R314" s="268"/>
      <x:c r="S314" s="268"/>
      <x:c r="T314" s="268"/>
      <x:c r="U314" s="268"/>
      <x:c r="V314" s="268"/>
      <x:c r="W314" s="268"/>
      <x:c r="X314" s="268"/>
      <x:c r="Y314" s="268"/>
      <x:c r="Z314" s="268"/>
      <x:c r="AA314" s="268"/>
      <x:c r="AB314" s="268"/>
      <x:c r="AC314" s="268"/>
    </x:row>
    <x:row r="315">
      <x:c r="A315" s="268"/>
      <x:c r="B315" s="268"/>
      <x:c r="C315" s="268"/>
      <x:c r="D315" s="268"/>
      <x:c r="E315" s="268"/>
      <x:c r="F315" s="268"/>
      <x:c r="G315" s="268"/>
      <x:c r="H315" s="268"/>
      <x:c r="I315" s="268"/>
      <x:c r="J315" s="268"/>
      <x:c r="K315" s="268"/>
      <x:c r="L315" s="268"/>
      <x:c r="M315" s="268"/>
      <x:c r="N315" s="268"/>
      <x:c r="O315" s="268"/>
      <x:c r="P315" s="268"/>
      <x:c r="Q315" s="268"/>
      <x:c r="R315" s="268"/>
      <x:c r="S315" s="268"/>
      <x:c r="T315" s="268"/>
      <x:c r="U315" s="268"/>
      <x:c r="V315" s="268"/>
      <x:c r="W315" s="268"/>
      <x:c r="X315" s="268"/>
      <x:c r="Y315" s="268"/>
      <x:c r="Z315" s="268"/>
      <x:c r="AA315" s="268"/>
      <x:c r="AB315" s="268"/>
      <x:c r="AC315" s="268"/>
    </x:row>
    <x:row r="316">
      <x:c r="A316" s="268"/>
      <x:c r="B316" s="268"/>
      <x:c r="C316" s="268"/>
      <x:c r="D316" s="268"/>
      <x:c r="E316" s="268"/>
      <x:c r="F316" s="268"/>
      <x:c r="G316" s="268"/>
      <x:c r="H316" s="268"/>
      <x:c r="I316" s="268"/>
      <x:c r="J316" s="268"/>
      <x:c r="K316" s="268"/>
      <x:c r="L316" s="268"/>
      <x:c r="M316" s="268"/>
      <x:c r="N316" s="268"/>
      <x:c r="O316" s="268"/>
      <x:c r="P316" s="268"/>
      <x:c r="Q316" s="268"/>
      <x:c r="R316" s="268"/>
      <x:c r="S316" s="268"/>
      <x:c r="T316" s="268"/>
      <x:c r="U316" s="268"/>
      <x:c r="V316" s="268"/>
      <x:c r="W316" s="268"/>
      <x:c r="X316" s="268"/>
      <x:c r="Y316" s="268"/>
      <x:c r="Z316" s="268"/>
      <x:c r="AA316" s="268"/>
      <x:c r="AB316" s="268"/>
      <x:c r="AC316" s="268"/>
    </x:row>
    <x:row r="317">
      <x:c r="A317" s="268"/>
      <x:c r="B317" s="268"/>
      <x:c r="C317" s="268"/>
      <x:c r="D317" s="268"/>
      <x:c r="E317" s="268"/>
      <x:c r="F317" s="268"/>
      <x:c r="G317" s="268"/>
      <x:c r="H317" s="268"/>
      <x:c r="I317" s="268"/>
      <x:c r="J317" s="268"/>
      <x:c r="K317" s="268"/>
      <x:c r="L317" s="268"/>
      <x:c r="M317" s="268"/>
      <x:c r="N317" s="268"/>
      <x:c r="O317" s="268"/>
      <x:c r="P317" s="268"/>
      <x:c r="Q317" s="268"/>
      <x:c r="R317" s="268"/>
      <x:c r="S317" s="268"/>
      <x:c r="T317" s="268"/>
      <x:c r="U317" s="268"/>
      <x:c r="V317" s="268"/>
      <x:c r="W317" s="268"/>
      <x:c r="X317" s="268"/>
      <x:c r="Y317" s="268"/>
      <x:c r="Z317" s="268"/>
      <x:c r="AA317" s="268"/>
      <x:c r="AB317" s="268"/>
      <x:c r="AC317" s="268"/>
    </x:row>
    <x:row r="318">
      <x:c r="A318" s="268"/>
      <x:c r="B318" s="268"/>
      <x:c r="C318" s="268"/>
      <x:c r="D318" s="268"/>
      <x:c r="E318" s="268"/>
      <x:c r="F318" s="268"/>
      <x:c r="G318" s="268"/>
      <x:c r="H318" s="268"/>
      <x:c r="I318" s="268"/>
      <x:c r="J318" s="268"/>
      <x:c r="K318" s="268"/>
      <x:c r="L318" s="268"/>
      <x:c r="M318" s="268"/>
      <x:c r="N318" s="268"/>
      <x:c r="O318" s="268"/>
      <x:c r="P318" s="268"/>
      <x:c r="Q318" s="268"/>
      <x:c r="R318" s="268"/>
      <x:c r="S318" s="268"/>
      <x:c r="T318" s="268"/>
      <x:c r="U318" s="268"/>
      <x:c r="V318" s="268"/>
      <x:c r="W318" s="268"/>
      <x:c r="X318" s="268"/>
      <x:c r="Y318" s="268"/>
      <x:c r="Z318" s="268"/>
      <x:c r="AA318" s="268"/>
      <x:c r="AB318" s="268"/>
      <x:c r="AC318" s="268"/>
    </x:row>
    <x:row r="319">
      <x:c r="A319" s="268"/>
      <x:c r="B319" s="268"/>
      <x:c r="C319" s="268"/>
      <x:c r="D319" s="268"/>
      <x:c r="E319" s="268"/>
      <x:c r="F319" s="268"/>
      <x:c r="G319" s="268"/>
      <x:c r="H319" s="268"/>
      <x:c r="I319" s="268"/>
      <x:c r="J319" s="268"/>
      <x:c r="K319" s="268"/>
      <x:c r="L319" s="268"/>
      <x:c r="M319" s="268"/>
      <x:c r="N319" s="268"/>
      <x:c r="O319" s="268"/>
      <x:c r="P319" s="268"/>
      <x:c r="Q319" s="268"/>
      <x:c r="R319" s="268"/>
      <x:c r="S319" s="268"/>
      <x:c r="T319" s="268"/>
      <x:c r="U319" s="268"/>
      <x:c r="V319" s="268"/>
      <x:c r="W319" s="268"/>
      <x:c r="X319" s="268"/>
      <x:c r="Y319" s="268"/>
      <x:c r="Z319" s="268"/>
      <x:c r="AA319" s="268"/>
      <x:c r="AB319" s="268"/>
      <x:c r="AC319" s="268"/>
    </x:row>
    <x:row r="320">
      <x:c r="A320" s="268"/>
      <x:c r="B320" s="268"/>
      <x:c r="C320" s="268"/>
      <x:c r="D320" s="268"/>
      <x:c r="E320" s="268"/>
      <x:c r="F320" s="268"/>
      <x:c r="G320" s="268"/>
      <x:c r="H320" s="268"/>
      <x:c r="I320" s="268"/>
      <x:c r="J320" s="268"/>
      <x:c r="K320" s="268"/>
      <x:c r="L320" s="268"/>
      <x:c r="M320" s="268"/>
      <x:c r="N320" s="268"/>
      <x:c r="O320" s="268"/>
      <x:c r="P320" s="268"/>
      <x:c r="Q320" s="268"/>
      <x:c r="R320" s="268"/>
      <x:c r="S320" s="268"/>
      <x:c r="T320" s="268"/>
      <x:c r="U320" s="268"/>
      <x:c r="V320" s="268"/>
      <x:c r="W320" s="268"/>
      <x:c r="X320" s="268"/>
      <x:c r="Y320" s="268"/>
      <x:c r="Z320" s="268"/>
      <x:c r="AA320" s="268"/>
      <x:c r="AB320" s="268"/>
      <x:c r="AC320" s="268"/>
    </x:row>
    <x:row r="321">
      <x:c r="A321" s="268"/>
      <x:c r="B321" s="268"/>
      <x:c r="C321" s="268"/>
      <x:c r="D321" s="268"/>
      <x:c r="E321" s="268"/>
      <x:c r="F321" s="268"/>
      <x:c r="G321" s="268"/>
      <x:c r="H321" s="268"/>
      <x:c r="I321" s="268"/>
      <x:c r="J321" s="268"/>
      <x:c r="K321" s="268"/>
      <x:c r="L321" s="268"/>
      <x:c r="M321" s="268"/>
      <x:c r="N321" s="268"/>
      <x:c r="O321" s="268"/>
      <x:c r="P321" s="268"/>
      <x:c r="Q321" s="268"/>
      <x:c r="R321" s="268"/>
      <x:c r="S321" s="268"/>
      <x:c r="T321" s="268"/>
      <x:c r="U321" s="268"/>
      <x:c r="V321" s="268"/>
      <x:c r="W321" s="268"/>
      <x:c r="X321" s="268"/>
      <x:c r="Y321" s="268"/>
      <x:c r="Z321" s="268"/>
      <x:c r="AA321" s="268"/>
      <x:c r="AB321" s="268"/>
      <x:c r="AC321" s="268"/>
    </x:row>
    <x:row r="322">
      <x:c r="A322" s="268"/>
      <x:c r="B322" s="268"/>
      <x:c r="C322" s="268"/>
      <x:c r="D322" s="268"/>
      <x:c r="E322" s="268"/>
      <x:c r="F322" s="268"/>
      <x:c r="G322" s="268"/>
      <x:c r="H322" s="268"/>
      <x:c r="I322" s="268"/>
      <x:c r="J322" s="268"/>
      <x:c r="K322" s="268"/>
      <x:c r="L322" s="268"/>
      <x:c r="M322" s="268"/>
      <x:c r="N322" s="268"/>
      <x:c r="O322" s="268"/>
      <x:c r="P322" s="268"/>
      <x:c r="Q322" s="268"/>
      <x:c r="R322" s="268"/>
      <x:c r="S322" s="268"/>
      <x:c r="T322" s="268"/>
      <x:c r="U322" s="268"/>
      <x:c r="V322" s="268"/>
      <x:c r="W322" s="268"/>
      <x:c r="X322" s="268"/>
      <x:c r="Y322" s="268"/>
      <x:c r="Z322" s="268"/>
      <x:c r="AA322" s="268"/>
      <x:c r="AB322" s="268"/>
      <x:c r="AC322" s="268"/>
    </x:row>
    <x:row r="323">
      <x:c r="A323" s="268"/>
      <x:c r="B323" s="268"/>
      <x:c r="C323" s="268"/>
      <x:c r="D323" s="268"/>
      <x:c r="E323" s="268"/>
      <x:c r="F323" s="268"/>
      <x:c r="G323" s="268"/>
      <x:c r="H323" s="268"/>
      <x:c r="I323" s="268"/>
      <x:c r="J323" s="268"/>
      <x:c r="K323" s="268"/>
      <x:c r="L323" s="268"/>
      <x:c r="M323" s="268"/>
      <x:c r="N323" s="268"/>
      <x:c r="O323" s="268"/>
      <x:c r="P323" s="268"/>
      <x:c r="Q323" s="268"/>
      <x:c r="R323" s="268"/>
      <x:c r="S323" s="268"/>
      <x:c r="T323" s="268"/>
      <x:c r="U323" s="268"/>
      <x:c r="V323" s="268"/>
      <x:c r="W323" s="268"/>
      <x:c r="X323" s="268"/>
      <x:c r="Y323" s="268"/>
      <x:c r="Z323" s="268"/>
      <x:c r="AA323" s="268"/>
      <x:c r="AB323" s="268"/>
      <x:c r="AC323" s="268"/>
    </x:row>
    <x:row r="324">
      <x:c r="A324" s="268"/>
      <x:c r="B324" s="268"/>
      <x:c r="C324" s="268"/>
      <x:c r="D324" s="268"/>
      <x:c r="E324" s="268"/>
      <x:c r="F324" s="268"/>
      <x:c r="G324" s="268"/>
      <x:c r="H324" s="268"/>
      <x:c r="I324" s="268"/>
      <x:c r="J324" s="268"/>
      <x:c r="K324" s="268"/>
      <x:c r="L324" s="268"/>
      <x:c r="M324" s="268"/>
      <x:c r="N324" s="268"/>
      <x:c r="O324" s="268"/>
      <x:c r="P324" s="268"/>
      <x:c r="Q324" s="268"/>
      <x:c r="R324" s="268"/>
      <x:c r="S324" s="268"/>
      <x:c r="T324" s="268"/>
      <x:c r="U324" s="268"/>
      <x:c r="V324" s="268"/>
      <x:c r="W324" s="268"/>
      <x:c r="X324" s="268"/>
      <x:c r="Y324" s="268"/>
      <x:c r="Z324" s="268"/>
      <x:c r="AA324" s="268"/>
      <x:c r="AB324" s="268"/>
      <x:c r="AC324" s="268"/>
    </x:row>
    <x:row r="325">
      <x:c r="A325" s="268"/>
      <x:c r="B325" s="268"/>
      <x:c r="C325" s="268"/>
      <x:c r="D325" s="268"/>
      <x:c r="E325" s="268"/>
      <x:c r="F325" s="268"/>
      <x:c r="G325" s="268"/>
      <x:c r="H325" s="268"/>
      <x:c r="I325" s="268"/>
      <x:c r="J325" s="268"/>
      <x:c r="K325" s="268"/>
      <x:c r="L325" s="268"/>
      <x:c r="M325" s="268"/>
      <x:c r="N325" s="268"/>
      <x:c r="O325" s="268"/>
      <x:c r="P325" s="268"/>
      <x:c r="Q325" s="268"/>
      <x:c r="R325" s="268"/>
      <x:c r="S325" s="268"/>
      <x:c r="T325" s="268"/>
      <x:c r="U325" s="268"/>
      <x:c r="V325" s="268"/>
      <x:c r="W325" s="268"/>
      <x:c r="X325" s="268"/>
      <x:c r="Y325" s="268"/>
      <x:c r="Z325" s="268"/>
      <x:c r="AA325" s="268"/>
      <x:c r="AB325" s="268"/>
      <x:c r="AC325" s="268"/>
    </x:row>
    <x:row r="326">
      <x:c r="A326" s="268"/>
      <x:c r="B326" s="268"/>
      <x:c r="C326" s="268"/>
      <x:c r="D326" s="268"/>
      <x:c r="E326" s="268"/>
      <x:c r="F326" s="268"/>
      <x:c r="G326" s="268"/>
      <x:c r="H326" s="268"/>
      <x:c r="I326" s="268"/>
      <x:c r="J326" s="268"/>
      <x:c r="K326" s="268"/>
      <x:c r="L326" s="268"/>
      <x:c r="M326" s="268"/>
      <x:c r="N326" s="268"/>
      <x:c r="O326" s="268"/>
      <x:c r="P326" s="268"/>
      <x:c r="Q326" s="268"/>
      <x:c r="R326" s="268"/>
      <x:c r="S326" s="268"/>
      <x:c r="T326" s="268"/>
      <x:c r="U326" s="268"/>
      <x:c r="V326" s="268"/>
      <x:c r="W326" s="268"/>
      <x:c r="X326" s="268"/>
      <x:c r="Y326" s="268"/>
      <x:c r="Z326" s="268"/>
      <x:c r="AA326" s="268"/>
      <x:c r="AB326" s="268"/>
      <x:c r="AC326" s="268"/>
    </x:row>
    <x:row r="327">
      <x:c r="A327" s="268"/>
      <x:c r="B327" s="268"/>
      <x:c r="C327" s="268"/>
      <x:c r="D327" s="268"/>
      <x:c r="E327" s="268"/>
      <x:c r="F327" s="268"/>
      <x:c r="G327" s="268"/>
      <x:c r="H327" s="268"/>
      <x:c r="I327" s="268"/>
      <x:c r="J327" s="268"/>
      <x:c r="K327" s="268"/>
      <x:c r="L327" s="268"/>
      <x:c r="M327" s="268"/>
      <x:c r="N327" s="268"/>
      <x:c r="O327" s="268"/>
      <x:c r="P327" s="268"/>
      <x:c r="Q327" s="268"/>
      <x:c r="R327" s="268"/>
      <x:c r="S327" s="268"/>
      <x:c r="T327" s="268"/>
      <x:c r="U327" s="268"/>
      <x:c r="V327" s="268"/>
      <x:c r="W327" s="268"/>
      <x:c r="X327" s="268"/>
      <x:c r="Y327" s="268"/>
      <x:c r="Z327" s="268"/>
      <x:c r="AA327" s="268"/>
      <x:c r="AB327" s="268"/>
      <x:c r="AC327" s="268"/>
    </x:row>
    <x:row r="328">
      <x:c r="A328" s="268"/>
      <x:c r="B328" s="268"/>
      <x:c r="C328" s="268"/>
      <x:c r="D328" s="268"/>
      <x:c r="E328" s="268"/>
      <x:c r="F328" s="268"/>
      <x:c r="G328" s="268"/>
      <x:c r="H328" s="268"/>
      <x:c r="I328" s="268"/>
      <x:c r="J328" s="268"/>
      <x:c r="K328" s="268"/>
      <x:c r="L328" s="268"/>
      <x:c r="M328" s="268"/>
      <x:c r="N328" s="268"/>
      <x:c r="O328" s="268"/>
      <x:c r="P328" s="268"/>
      <x:c r="Q328" s="268"/>
      <x:c r="R328" s="268"/>
      <x:c r="S328" s="268"/>
      <x:c r="T328" s="268"/>
      <x:c r="U328" s="268"/>
      <x:c r="V328" s="268"/>
      <x:c r="W328" s="268"/>
      <x:c r="X328" s="268"/>
      <x:c r="Y328" s="268"/>
      <x:c r="Z328" s="268"/>
      <x:c r="AA328" s="268"/>
      <x:c r="AB328" s="268"/>
      <x:c r="AC328" s="268"/>
    </x:row>
    <x:row r="329">
      <x:c r="A329" s="268"/>
      <x:c r="B329" s="268"/>
      <x:c r="C329" s="268"/>
      <x:c r="D329" s="268"/>
      <x:c r="E329" s="268"/>
      <x:c r="F329" s="268"/>
      <x:c r="G329" s="268"/>
      <x:c r="H329" s="268"/>
      <x:c r="I329" s="268"/>
      <x:c r="J329" s="268"/>
      <x:c r="K329" s="268"/>
      <x:c r="L329" s="268"/>
      <x:c r="M329" s="268"/>
      <x:c r="N329" s="268"/>
      <x:c r="O329" s="268"/>
      <x:c r="P329" s="268"/>
      <x:c r="Q329" s="268"/>
      <x:c r="R329" s="268"/>
      <x:c r="S329" s="268"/>
      <x:c r="T329" s="268"/>
      <x:c r="U329" s="268"/>
      <x:c r="V329" s="268"/>
      <x:c r="W329" s="268"/>
      <x:c r="X329" s="268"/>
      <x:c r="Y329" s="268"/>
      <x:c r="Z329" s="268"/>
      <x:c r="AA329" s="268"/>
      <x:c r="AB329" s="268"/>
      <x:c r="AC329" s="268"/>
    </x:row>
    <x:row r="330">
      <x:c r="A330" s="268"/>
      <x:c r="B330" s="268"/>
      <x:c r="C330" s="268"/>
      <x:c r="D330" s="268"/>
      <x:c r="E330" s="268"/>
      <x:c r="F330" s="268"/>
      <x:c r="G330" s="268"/>
      <x:c r="H330" s="268"/>
      <x:c r="I330" s="268"/>
      <x:c r="J330" s="268"/>
      <x:c r="K330" s="268"/>
      <x:c r="L330" s="268"/>
      <x:c r="M330" s="268"/>
      <x:c r="N330" s="268"/>
      <x:c r="O330" s="268"/>
      <x:c r="P330" s="268"/>
      <x:c r="Q330" s="268"/>
      <x:c r="R330" s="268"/>
      <x:c r="S330" s="268"/>
      <x:c r="T330" s="268"/>
      <x:c r="U330" s="268"/>
      <x:c r="V330" s="268"/>
      <x:c r="W330" s="268"/>
      <x:c r="X330" s="268"/>
      <x:c r="Y330" s="268"/>
      <x:c r="Z330" s="268"/>
      <x:c r="AA330" s="268"/>
      <x:c r="AB330" s="268"/>
      <x:c r="AC330" s="268"/>
    </x:row>
    <x:row r="331">
      <x:c r="A331" s="268"/>
      <x:c r="B331" s="268"/>
      <x:c r="C331" s="268"/>
      <x:c r="D331" s="268"/>
      <x:c r="E331" s="268"/>
      <x:c r="F331" s="268"/>
      <x:c r="G331" s="268"/>
      <x:c r="H331" s="268"/>
      <x:c r="I331" s="268"/>
      <x:c r="J331" s="268"/>
      <x:c r="K331" s="268"/>
      <x:c r="L331" s="268"/>
      <x:c r="M331" s="268"/>
      <x:c r="N331" s="268"/>
      <x:c r="O331" s="268"/>
      <x:c r="P331" s="268"/>
      <x:c r="Q331" s="268"/>
      <x:c r="R331" s="268"/>
      <x:c r="S331" s="268"/>
      <x:c r="T331" s="268"/>
      <x:c r="U331" s="268"/>
      <x:c r="V331" s="268"/>
      <x:c r="W331" s="268"/>
      <x:c r="X331" s="268"/>
      <x:c r="Y331" s="268"/>
      <x:c r="Z331" s="268"/>
      <x:c r="AA331" s="268"/>
      <x:c r="AB331" s="268"/>
      <x:c r="AC331" s="268"/>
    </x:row>
    <x:row r="332">
      <x:c r="A332" s="268"/>
      <x:c r="B332" s="268"/>
      <x:c r="C332" s="268"/>
      <x:c r="D332" s="268"/>
      <x:c r="E332" s="268"/>
      <x:c r="F332" s="268"/>
      <x:c r="G332" s="268"/>
      <x:c r="H332" s="268"/>
      <x:c r="I332" s="268"/>
      <x:c r="J332" s="268"/>
      <x:c r="K332" s="268"/>
      <x:c r="L332" s="268"/>
      <x:c r="M332" s="268"/>
      <x:c r="N332" s="268"/>
      <x:c r="O332" s="268"/>
      <x:c r="P332" s="268"/>
      <x:c r="Q332" s="268"/>
      <x:c r="R332" s="268"/>
      <x:c r="S332" s="268"/>
      <x:c r="T332" s="268"/>
      <x:c r="U332" s="268"/>
      <x:c r="V332" s="268"/>
      <x:c r="W332" s="268"/>
      <x:c r="X332" s="268"/>
      <x:c r="Y332" s="268"/>
      <x:c r="Z332" s="268"/>
      <x:c r="AA332" s="268"/>
      <x:c r="AB332" s="268"/>
      <x:c r="AC332" s="268"/>
    </x:row>
    <x:row r="333">
      <x:c r="A333" s="268"/>
      <x:c r="B333" s="268"/>
      <x:c r="C333" s="268"/>
      <x:c r="D333" s="268"/>
      <x:c r="E333" s="268"/>
      <x:c r="F333" s="268"/>
      <x:c r="G333" s="268"/>
      <x:c r="H333" s="268"/>
      <x:c r="I333" s="268"/>
      <x:c r="J333" s="268"/>
      <x:c r="K333" s="268"/>
      <x:c r="L333" s="268"/>
      <x:c r="M333" s="268"/>
      <x:c r="N333" s="268"/>
      <x:c r="O333" s="268"/>
      <x:c r="P333" s="268"/>
      <x:c r="Q333" s="268"/>
      <x:c r="R333" s="268"/>
      <x:c r="S333" s="268"/>
      <x:c r="T333" s="268"/>
      <x:c r="U333" s="268"/>
      <x:c r="V333" s="268"/>
      <x:c r="W333" s="268"/>
      <x:c r="X333" s="268"/>
      <x:c r="Y333" s="268"/>
      <x:c r="Z333" s="268"/>
      <x:c r="AA333" s="268"/>
      <x:c r="AB333" s="268"/>
      <x:c r="AC333" s="268"/>
    </x:row>
    <x:row r="334">
      <x:c r="A334" s="268"/>
      <x:c r="B334" s="268"/>
      <x:c r="C334" s="268"/>
      <x:c r="D334" s="268"/>
      <x:c r="E334" s="268"/>
      <x:c r="F334" s="268"/>
      <x:c r="G334" s="268"/>
      <x:c r="H334" s="268"/>
      <x:c r="I334" s="268"/>
      <x:c r="J334" s="268"/>
      <x:c r="K334" s="268"/>
      <x:c r="L334" s="268"/>
      <x:c r="M334" s="268"/>
      <x:c r="N334" s="268"/>
      <x:c r="O334" s="268"/>
      <x:c r="P334" s="268"/>
      <x:c r="Q334" s="268"/>
      <x:c r="R334" s="268"/>
      <x:c r="S334" s="268"/>
      <x:c r="T334" s="268"/>
      <x:c r="U334" s="268"/>
      <x:c r="V334" s="268"/>
      <x:c r="W334" s="268"/>
      <x:c r="X334" s="268"/>
      <x:c r="Y334" s="268"/>
      <x:c r="Z334" s="268"/>
      <x:c r="AA334" s="268"/>
      <x:c r="AB334" s="268"/>
      <x:c r="AC334" s="268"/>
    </x:row>
    <x:row r="335">
      <x:c r="A335" s="268"/>
      <x:c r="B335" s="268"/>
      <x:c r="C335" s="268"/>
      <x:c r="D335" s="268"/>
      <x:c r="E335" s="268"/>
      <x:c r="F335" s="268"/>
      <x:c r="G335" s="268"/>
      <x:c r="H335" s="268"/>
      <x:c r="I335" s="268"/>
      <x:c r="J335" s="268"/>
      <x:c r="K335" s="268"/>
      <x:c r="L335" s="268"/>
      <x:c r="M335" s="268"/>
      <x:c r="N335" s="268"/>
      <x:c r="O335" s="268"/>
      <x:c r="P335" s="268"/>
      <x:c r="Q335" s="268"/>
      <x:c r="R335" s="268"/>
      <x:c r="S335" s="268"/>
      <x:c r="T335" s="268"/>
      <x:c r="U335" s="268"/>
      <x:c r="V335" s="268"/>
      <x:c r="W335" s="268"/>
      <x:c r="X335" s="268"/>
      <x:c r="Y335" s="268"/>
      <x:c r="Z335" s="268"/>
      <x:c r="AA335" s="268"/>
      <x:c r="AB335" s="268"/>
      <x:c r="AC335" s="268"/>
    </x:row>
    <x:row r="336">
      <x:c r="A336" s="268"/>
      <x:c r="B336" s="268"/>
      <x:c r="C336" s="268"/>
      <x:c r="D336" s="268"/>
      <x:c r="E336" s="268"/>
      <x:c r="F336" s="268"/>
      <x:c r="G336" s="268"/>
      <x:c r="H336" s="268"/>
      <x:c r="I336" s="268"/>
      <x:c r="J336" s="268"/>
      <x:c r="K336" s="268"/>
      <x:c r="L336" s="268"/>
      <x:c r="M336" s="268"/>
      <x:c r="N336" s="268"/>
      <x:c r="O336" s="268"/>
      <x:c r="P336" s="268"/>
      <x:c r="Q336" s="268"/>
      <x:c r="R336" s="268"/>
      <x:c r="S336" s="268"/>
      <x:c r="T336" s="268"/>
      <x:c r="U336" s="268"/>
      <x:c r="V336" s="268"/>
      <x:c r="W336" s="268"/>
      <x:c r="X336" s="268"/>
      <x:c r="Y336" s="268"/>
      <x:c r="Z336" s="268"/>
      <x:c r="AA336" s="268"/>
      <x:c r="AB336" s="268"/>
      <x:c r="AC336" s="268"/>
    </x:row>
    <x:row r="337">
      <x:c r="A337" s="268"/>
      <x:c r="B337" s="268"/>
      <x:c r="C337" s="268"/>
      <x:c r="D337" s="268"/>
      <x:c r="E337" s="268"/>
      <x:c r="F337" s="268"/>
      <x:c r="G337" s="268"/>
      <x:c r="H337" s="268"/>
      <x:c r="I337" s="268"/>
      <x:c r="J337" s="268"/>
      <x:c r="K337" s="268"/>
      <x:c r="L337" s="268"/>
      <x:c r="M337" s="268"/>
      <x:c r="N337" s="268"/>
      <x:c r="O337" s="268"/>
      <x:c r="P337" s="268"/>
      <x:c r="Q337" s="268"/>
      <x:c r="R337" s="268"/>
      <x:c r="S337" s="268"/>
      <x:c r="T337" s="268"/>
      <x:c r="U337" s="268"/>
      <x:c r="V337" s="268"/>
      <x:c r="W337" s="268"/>
      <x:c r="X337" s="268"/>
      <x:c r="Y337" s="268"/>
      <x:c r="Z337" s="268"/>
      <x:c r="AA337" s="268"/>
      <x:c r="AB337" s="268"/>
      <x:c r="AC337" s="268"/>
    </x:row>
    <x:row r="338">
      <x:c r="A338" s="268"/>
      <x:c r="B338" s="268"/>
      <x:c r="C338" s="268"/>
      <x:c r="D338" s="268"/>
      <x:c r="E338" s="268"/>
      <x:c r="F338" s="268"/>
      <x:c r="G338" s="268"/>
      <x:c r="H338" s="268"/>
      <x:c r="I338" s="268"/>
      <x:c r="J338" s="268"/>
      <x:c r="K338" s="268"/>
      <x:c r="L338" s="268"/>
      <x:c r="M338" s="268"/>
      <x:c r="N338" s="268"/>
      <x:c r="O338" s="268"/>
      <x:c r="P338" s="268"/>
      <x:c r="Q338" s="268"/>
      <x:c r="R338" s="268"/>
      <x:c r="S338" s="268"/>
      <x:c r="T338" s="268"/>
      <x:c r="U338" s="268"/>
      <x:c r="V338" s="268"/>
      <x:c r="W338" s="268"/>
      <x:c r="X338" s="268"/>
      <x:c r="Y338" s="268"/>
      <x:c r="Z338" s="268"/>
      <x:c r="AA338" s="268"/>
      <x:c r="AB338" s="268"/>
      <x:c r="AC338" s="268"/>
    </x:row>
    <x:row r="339">
      <x:c r="A339" s="268"/>
      <x:c r="B339" s="268"/>
      <x:c r="C339" s="268"/>
      <x:c r="D339" s="268"/>
      <x:c r="E339" s="268"/>
      <x:c r="F339" s="268"/>
      <x:c r="G339" s="268"/>
      <x:c r="H339" s="268"/>
      <x:c r="I339" s="268"/>
      <x:c r="J339" s="268"/>
      <x:c r="K339" s="268"/>
      <x:c r="L339" s="268"/>
      <x:c r="M339" s="268"/>
      <x:c r="N339" s="268"/>
      <x:c r="O339" s="268"/>
      <x:c r="P339" s="268"/>
      <x:c r="Q339" s="268"/>
      <x:c r="R339" s="268"/>
      <x:c r="S339" s="268"/>
      <x:c r="T339" s="268"/>
      <x:c r="U339" s="268"/>
      <x:c r="V339" s="268"/>
      <x:c r="W339" s="268"/>
      <x:c r="X339" s="268"/>
      <x:c r="Y339" s="268"/>
      <x:c r="Z339" s="268"/>
      <x:c r="AA339" s="268"/>
      <x:c r="AB339" s="268"/>
      <x:c r="AC339" s="268"/>
    </x:row>
    <x:row r="340">
      <x:c r="A340" s="268"/>
      <x:c r="B340" s="268"/>
      <x:c r="C340" s="268"/>
      <x:c r="D340" s="268"/>
      <x:c r="E340" s="268"/>
      <x:c r="F340" s="268"/>
      <x:c r="G340" s="268"/>
      <x:c r="H340" s="268"/>
      <x:c r="I340" s="268"/>
      <x:c r="J340" s="268"/>
      <x:c r="K340" s="268"/>
      <x:c r="L340" s="268"/>
      <x:c r="M340" s="268"/>
      <x:c r="N340" s="268"/>
      <x:c r="O340" s="268"/>
      <x:c r="P340" s="268"/>
      <x:c r="Q340" s="268"/>
      <x:c r="R340" s="268"/>
      <x:c r="S340" s="268"/>
      <x:c r="T340" s="268"/>
      <x:c r="U340" s="268"/>
      <x:c r="V340" s="268"/>
      <x:c r="W340" s="268"/>
      <x:c r="X340" s="268"/>
      <x:c r="Y340" s="268"/>
      <x:c r="Z340" s="268"/>
      <x:c r="AA340" s="268"/>
      <x:c r="AB340" s="268"/>
      <x:c r="AC340" s="268"/>
    </x:row>
    <x:row r="341">
      <x:c r="A341" s="268"/>
      <x:c r="B341" s="268"/>
      <x:c r="C341" s="268"/>
      <x:c r="D341" s="268"/>
      <x:c r="E341" s="268"/>
      <x:c r="F341" s="268"/>
      <x:c r="G341" s="268"/>
      <x:c r="H341" s="268"/>
      <x:c r="I341" s="268"/>
      <x:c r="J341" s="268"/>
      <x:c r="K341" s="268"/>
      <x:c r="L341" s="268"/>
      <x:c r="M341" s="268"/>
      <x:c r="N341" s="268"/>
      <x:c r="O341" s="268"/>
      <x:c r="P341" s="268"/>
      <x:c r="Q341" s="268"/>
      <x:c r="R341" s="268"/>
      <x:c r="S341" s="268"/>
      <x:c r="T341" s="268"/>
      <x:c r="U341" s="268"/>
      <x:c r="V341" s="268"/>
      <x:c r="W341" s="268"/>
      <x:c r="X341" s="268"/>
      <x:c r="Y341" s="268"/>
      <x:c r="Z341" s="268"/>
      <x:c r="AA341" s="268"/>
      <x:c r="AB341" s="268"/>
      <x:c r="AC341" s="268"/>
    </x:row>
    <x:row r="342">
      <x:c r="A342" s="268"/>
      <x:c r="B342" s="268"/>
      <x:c r="C342" s="268"/>
      <x:c r="D342" s="268"/>
      <x:c r="E342" s="268"/>
      <x:c r="F342" s="268"/>
      <x:c r="G342" s="268"/>
      <x:c r="H342" s="268"/>
      <x:c r="I342" s="268"/>
      <x:c r="J342" s="268"/>
      <x:c r="K342" s="268"/>
      <x:c r="L342" s="268"/>
      <x:c r="M342" s="268"/>
      <x:c r="N342" s="268"/>
      <x:c r="O342" s="268"/>
      <x:c r="P342" s="268"/>
      <x:c r="Q342" s="268"/>
      <x:c r="R342" s="268"/>
      <x:c r="S342" s="268"/>
      <x:c r="T342" s="268"/>
      <x:c r="U342" s="268"/>
      <x:c r="V342" s="268"/>
      <x:c r="W342" s="268"/>
      <x:c r="X342" s="268"/>
      <x:c r="Y342" s="268"/>
      <x:c r="Z342" s="268"/>
      <x:c r="AA342" s="268"/>
      <x:c r="AB342" s="268"/>
      <x:c r="AC342" s="268"/>
    </x:row>
    <x:row r="343">
      <x:c r="A343" s="268"/>
      <x:c r="B343" s="268"/>
      <x:c r="C343" s="268"/>
      <x:c r="D343" s="268"/>
      <x:c r="E343" s="268"/>
      <x:c r="F343" s="268"/>
      <x:c r="G343" s="268"/>
      <x:c r="H343" s="268"/>
      <x:c r="I343" s="268"/>
      <x:c r="J343" s="268"/>
      <x:c r="K343" s="268"/>
      <x:c r="L343" s="268"/>
      <x:c r="M343" s="268"/>
      <x:c r="N343" s="268"/>
      <x:c r="O343" s="268"/>
      <x:c r="P343" s="268"/>
      <x:c r="Q343" s="268"/>
      <x:c r="R343" s="268"/>
      <x:c r="S343" s="268"/>
      <x:c r="T343" s="268"/>
      <x:c r="U343" s="268"/>
      <x:c r="V343" s="268"/>
      <x:c r="W343" s="268"/>
      <x:c r="X343" s="268"/>
      <x:c r="Y343" s="268"/>
      <x:c r="Z343" s="268"/>
      <x:c r="AA343" s="268"/>
      <x:c r="AB343" s="268"/>
      <x:c r="AC343" s="268"/>
    </x:row>
    <x:row r="344">
      <x:c r="A344" s="268"/>
      <x:c r="B344" s="268"/>
      <x:c r="C344" s="268"/>
      <x:c r="D344" s="268"/>
      <x:c r="E344" s="268"/>
      <x:c r="F344" s="268"/>
      <x:c r="G344" s="268"/>
      <x:c r="H344" s="268"/>
      <x:c r="I344" s="268"/>
      <x:c r="J344" s="268"/>
      <x:c r="K344" s="268"/>
      <x:c r="L344" s="268"/>
      <x:c r="M344" s="268"/>
      <x:c r="N344" s="268"/>
      <x:c r="O344" s="268"/>
      <x:c r="P344" s="268"/>
      <x:c r="Q344" s="268"/>
      <x:c r="R344" s="268"/>
      <x:c r="S344" s="268"/>
      <x:c r="T344" s="268"/>
      <x:c r="U344" s="268"/>
      <x:c r="V344" s="268"/>
      <x:c r="W344" s="268"/>
      <x:c r="X344" s="268"/>
      <x:c r="Y344" s="268"/>
      <x:c r="Z344" s="268"/>
      <x:c r="AA344" s="268"/>
      <x:c r="AB344" s="268"/>
      <x:c r="AC344" s="268"/>
    </x:row>
    <x:row r="345">
      <x:c r="A345" s="268"/>
      <x:c r="B345" s="268"/>
      <x:c r="C345" s="268"/>
      <x:c r="D345" s="268"/>
      <x:c r="E345" s="268"/>
      <x:c r="F345" s="268"/>
      <x:c r="G345" s="268"/>
      <x:c r="H345" s="268"/>
      <x:c r="I345" s="268"/>
      <x:c r="J345" s="268"/>
      <x:c r="K345" s="268"/>
      <x:c r="L345" s="268"/>
      <x:c r="M345" s="268"/>
      <x:c r="N345" s="268"/>
      <x:c r="O345" s="268"/>
      <x:c r="P345" s="268"/>
      <x:c r="Q345" s="268"/>
      <x:c r="R345" s="268"/>
      <x:c r="S345" s="268"/>
      <x:c r="T345" s="268"/>
      <x:c r="U345" s="268"/>
      <x:c r="V345" s="268"/>
      <x:c r="W345" s="268"/>
      <x:c r="X345" s="268"/>
      <x:c r="Y345" s="268"/>
      <x:c r="Z345" s="268"/>
      <x:c r="AA345" s="268"/>
      <x:c r="AB345" s="268"/>
      <x:c r="AC345" s="268"/>
    </x:row>
    <x:row r="346">
      <x:c r="A346" s="268"/>
      <x:c r="B346" s="268"/>
      <x:c r="C346" s="268"/>
      <x:c r="D346" s="268"/>
      <x:c r="E346" s="268"/>
      <x:c r="F346" s="268"/>
      <x:c r="G346" s="268"/>
      <x:c r="H346" s="268"/>
      <x:c r="I346" s="268"/>
      <x:c r="J346" s="268"/>
      <x:c r="K346" s="268"/>
      <x:c r="L346" s="268"/>
      <x:c r="M346" s="268"/>
      <x:c r="N346" s="268"/>
      <x:c r="O346" s="268"/>
      <x:c r="P346" s="268"/>
      <x:c r="Q346" s="268"/>
      <x:c r="R346" s="268"/>
      <x:c r="S346" s="268"/>
      <x:c r="T346" s="268"/>
      <x:c r="U346" s="268"/>
      <x:c r="V346" s="268"/>
      <x:c r="W346" s="268"/>
      <x:c r="X346" s="268"/>
      <x:c r="Y346" s="268"/>
      <x:c r="Z346" s="268"/>
      <x:c r="AA346" s="268"/>
      <x:c r="AB346" s="268"/>
      <x:c r="AC346" s="268"/>
    </x:row>
    <x:row r="347">
      <x:c r="A347" s="268"/>
      <x:c r="B347" s="268"/>
      <x:c r="C347" s="268"/>
      <x:c r="D347" s="268"/>
      <x:c r="E347" s="268"/>
      <x:c r="F347" s="268"/>
      <x:c r="G347" s="268"/>
      <x:c r="H347" s="268"/>
      <x:c r="I347" s="268"/>
      <x:c r="J347" s="268"/>
      <x:c r="K347" s="268"/>
      <x:c r="L347" s="268"/>
      <x:c r="M347" s="268"/>
      <x:c r="N347" s="268"/>
      <x:c r="O347" s="268"/>
      <x:c r="P347" s="268"/>
      <x:c r="Q347" s="268"/>
      <x:c r="R347" s="268"/>
      <x:c r="S347" s="268"/>
      <x:c r="T347" s="268"/>
      <x:c r="U347" s="268"/>
      <x:c r="V347" s="268"/>
      <x:c r="W347" s="268"/>
      <x:c r="X347" s="268"/>
      <x:c r="Y347" s="268"/>
      <x:c r="Z347" s="268"/>
      <x:c r="AA347" s="268"/>
      <x:c r="AB347" s="268"/>
      <x:c r="AC347" s="268"/>
    </x:row>
    <x:row r="348">
      <x:c r="A348" s="268"/>
      <x:c r="B348" s="268"/>
      <x:c r="C348" s="268"/>
      <x:c r="D348" s="268"/>
      <x:c r="E348" s="268"/>
      <x:c r="F348" s="268"/>
      <x:c r="G348" s="268"/>
      <x:c r="H348" s="268"/>
      <x:c r="I348" s="268"/>
      <x:c r="J348" s="268"/>
      <x:c r="K348" s="268"/>
      <x:c r="L348" s="268"/>
      <x:c r="M348" s="268"/>
      <x:c r="N348" s="268"/>
      <x:c r="O348" s="268"/>
      <x:c r="P348" s="268"/>
      <x:c r="Q348" s="268"/>
      <x:c r="R348" s="268"/>
      <x:c r="S348" s="268"/>
      <x:c r="T348" s="268"/>
      <x:c r="U348" s="268"/>
      <x:c r="V348" s="268"/>
      <x:c r="W348" s="268"/>
      <x:c r="X348" s="268"/>
      <x:c r="Y348" s="268"/>
      <x:c r="Z348" s="268"/>
      <x:c r="AA348" s="268"/>
      <x:c r="AB348" s="268"/>
      <x:c r="AC348" s="268"/>
    </x:row>
    <x:row r="349">
      <x:c r="A349" s="268"/>
      <x:c r="B349" s="268"/>
      <x:c r="C349" s="268"/>
      <x:c r="D349" s="268"/>
      <x:c r="E349" s="268"/>
      <x:c r="F349" s="268"/>
      <x:c r="G349" s="268"/>
      <x:c r="H349" s="268"/>
      <x:c r="I349" s="268"/>
      <x:c r="J349" s="268"/>
      <x:c r="K349" s="268"/>
      <x:c r="L349" s="268"/>
      <x:c r="M349" s="268"/>
      <x:c r="N349" s="268"/>
      <x:c r="O349" s="268"/>
      <x:c r="P349" s="268"/>
      <x:c r="Q349" s="268"/>
      <x:c r="R349" s="268"/>
      <x:c r="S349" s="268"/>
      <x:c r="T349" s="268"/>
      <x:c r="U349" s="268"/>
      <x:c r="V349" s="268"/>
      <x:c r="W349" s="268"/>
      <x:c r="X349" s="268"/>
      <x:c r="Y349" s="268"/>
      <x:c r="Z349" s="268"/>
      <x:c r="AA349" s="268"/>
      <x:c r="AB349" s="268"/>
      <x:c r="AC349" s="268"/>
    </x:row>
    <x:row r="350">
      <x:c r="A350" s="268"/>
      <x:c r="B350" s="268"/>
      <x:c r="C350" s="268"/>
      <x:c r="D350" s="268"/>
      <x:c r="E350" s="268"/>
      <x:c r="F350" s="268"/>
      <x:c r="G350" s="268"/>
      <x:c r="H350" s="268"/>
      <x:c r="I350" s="268"/>
      <x:c r="J350" s="268"/>
      <x:c r="K350" s="268"/>
      <x:c r="L350" s="268"/>
      <x:c r="M350" s="268"/>
      <x:c r="N350" s="268"/>
      <x:c r="O350" s="268"/>
      <x:c r="P350" s="268"/>
      <x:c r="Q350" s="268"/>
      <x:c r="R350" s="268"/>
      <x:c r="S350" s="268"/>
      <x:c r="T350" s="268"/>
      <x:c r="U350" s="268"/>
      <x:c r="V350" s="268"/>
      <x:c r="W350" s="268"/>
      <x:c r="X350" s="268"/>
      <x:c r="Y350" s="268"/>
      <x:c r="Z350" s="268"/>
      <x:c r="AA350" s="268"/>
      <x:c r="AB350" s="268"/>
      <x:c r="AC350" s="268"/>
    </x:row>
    <x:row r="351">
      <x:c r="A351" s="268"/>
      <x:c r="B351" s="268"/>
      <x:c r="C351" s="268"/>
      <x:c r="D351" s="268"/>
      <x:c r="E351" s="268"/>
      <x:c r="F351" s="268"/>
      <x:c r="G351" s="268"/>
      <x:c r="H351" s="268"/>
      <x:c r="I351" s="268"/>
      <x:c r="J351" s="268"/>
      <x:c r="K351" s="268"/>
      <x:c r="L351" s="268"/>
      <x:c r="M351" s="268"/>
      <x:c r="N351" s="268"/>
      <x:c r="O351" s="268"/>
      <x:c r="P351" s="268"/>
      <x:c r="Q351" s="268"/>
      <x:c r="R351" s="268"/>
      <x:c r="S351" s="268"/>
      <x:c r="T351" s="268"/>
      <x:c r="U351" s="268"/>
      <x:c r="V351" s="268"/>
      <x:c r="W351" s="268"/>
      <x:c r="X351" s="268"/>
      <x:c r="Y351" s="268"/>
      <x:c r="Z351" s="268"/>
      <x:c r="AA351" s="268"/>
      <x:c r="AB351" s="268"/>
      <x:c r="AC351" s="268"/>
    </x:row>
    <x:row r="352">
      <x:c r="A352" s="268"/>
      <x:c r="B352" s="268"/>
      <x:c r="C352" s="268"/>
      <x:c r="D352" s="268"/>
      <x:c r="E352" s="268"/>
      <x:c r="F352" s="268"/>
      <x:c r="G352" s="268"/>
      <x:c r="H352" s="268"/>
      <x:c r="I352" s="268"/>
      <x:c r="J352" s="268"/>
      <x:c r="K352" s="268"/>
      <x:c r="L352" s="268"/>
      <x:c r="M352" s="268"/>
      <x:c r="N352" s="268"/>
      <x:c r="O352" s="268"/>
      <x:c r="P352" s="268"/>
      <x:c r="Q352" s="268"/>
      <x:c r="R352" s="268"/>
      <x:c r="S352" s="268"/>
      <x:c r="T352" s="268"/>
      <x:c r="U352" s="268"/>
      <x:c r="V352" s="268"/>
      <x:c r="W352" s="268"/>
      <x:c r="X352" s="268"/>
      <x:c r="Y352" s="268"/>
      <x:c r="Z352" s="268"/>
      <x:c r="AA352" s="268"/>
      <x:c r="AB352" s="268"/>
      <x:c r="AC352" s="268"/>
    </x:row>
    <x:row r="353">
      <x:c r="A353" s="268"/>
      <x:c r="B353" s="268"/>
      <x:c r="C353" s="268"/>
      <x:c r="D353" s="268"/>
      <x:c r="E353" s="268"/>
      <x:c r="F353" s="268"/>
      <x:c r="G353" s="268"/>
      <x:c r="H353" s="268"/>
      <x:c r="I353" s="268"/>
      <x:c r="J353" s="268"/>
      <x:c r="K353" s="268"/>
      <x:c r="L353" s="268"/>
      <x:c r="M353" s="268"/>
      <x:c r="N353" s="268"/>
      <x:c r="O353" s="268"/>
      <x:c r="P353" s="268"/>
      <x:c r="Q353" s="268"/>
      <x:c r="R353" s="268"/>
      <x:c r="S353" s="268"/>
      <x:c r="T353" s="268"/>
      <x:c r="U353" s="268"/>
      <x:c r="V353" s="268"/>
      <x:c r="W353" s="268"/>
      <x:c r="X353" s="268"/>
      <x:c r="Y353" s="268"/>
      <x:c r="Z353" s="268"/>
      <x:c r="AA353" s="268"/>
      <x:c r="AB353" s="268"/>
      <x:c r="AC353" s="268"/>
    </x:row>
    <x:row r="354">
      <x:c r="A354" s="268"/>
      <x:c r="B354" s="268"/>
      <x:c r="C354" s="268"/>
      <x:c r="D354" s="268"/>
      <x:c r="E354" s="268"/>
      <x:c r="F354" s="268"/>
      <x:c r="G354" s="268"/>
      <x:c r="H354" s="268"/>
      <x:c r="I354" s="268"/>
      <x:c r="J354" s="268"/>
      <x:c r="K354" s="268"/>
      <x:c r="L354" s="268"/>
      <x:c r="M354" s="268"/>
      <x:c r="N354" s="268"/>
      <x:c r="O354" s="268"/>
      <x:c r="P354" s="268"/>
      <x:c r="Q354" s="268"/>
      <x:c r="R354" s="268"/>
      <x:c r="S354" s="268"/>
      <x:c r="T354" s="268"/>
      <x:c r="U354" s="268"/>
      <x:c r="V354" s="268"/>
      <x:c r="W354" s="268"/>
      <x:c r="X354" s="268"/>
      <x:c r="Y354" s="268"/>
      <x:c r="Z354" s="268"/>
      <x:c r="AA354" s="268"/>
      <x:c r="AB354" s="268"/>
      <x:c r="AC354" s="268"/>
    </x:row>
    <x:row r="355">
      <x:c r="A355" s="268"/>
      <x:c r="B355" s="268"/>
      <x:c r="C355" s="268"/>
      <x:c r="D355" s="268"/>
      <x:c r="E355" s="268"/>
      <x:c r="F355" s="268"/>
      <x:c r="G355" s="268"/>
      <x:c r="H355" s="268"/>
      <x:c r="I355" s="268"/>
      <x:c r="J355" s="268"/>
      <x:c r="K355" s="268"/>
      <x:c r="L355" s="268"/>
      <x:c r="M355" s="268"/>
      <x:c r="N355" s="268"/>
      <x:c r="O355" s="268"/>
      <x:c r="P355" s="268"/>
      <x:c r="Q355" s="268"/>
      <x:c r="R355" s="268"/>
      <x:c r="S355" s="268"/>
      <x:c r="T355" s="268"/>
      <x:c r="U355" s="268"/>
      <x:c r="V355" s="268"/>
      <x:c r="W355" s="268"/>
      <x:c r="X355" s="268"/>
      <x:c r="Y355" s="268"/>
      <x:c r="Z355" s="268"/>
      <x:c r="AA355" s="268"/>
      <x:c r="AB355" s="268"/>
      <x:c r="AC355" s="268"/>
    </x:row>
    <x:row r="356">
      <x:c r="A356" s="268"/>
      <x:c r="B356" s="268"/>
      <x:c r="C356" s="268"/>
      <x:c r="D356" s="268"/>
      <x:c r="E356" s="268"/>
      <x:c r="F356" s="268"/>
      <x:c r="G356" s="268"/>
      <x:c r="H356" s="268"/>
      <x:c r="I356" s="268"/>
      <x:c r="J356" s="268"/>
      <x:c r="K356" s="268"/>
      <x:c r="L356" s="268"/>
      <x:c r="M356" s="268"/>
      <x:c r="N356" s="268"/>
      <x:c r="O356" s="268"/>
      <x:c r="P356" s="268"/>
      <x:c r="Q356" s="268"/>
      <x:c r="R356" s="268"/>
      <x:c r="S356" s="268"/>
      <x:c r="T356" s="268"/>
      <x:c r="U356" s="268"/>
      <x:c r="V356" s="268"/>
      <x:c r="W356" s="268"/>
      <x:c r="X356" s="268"/>
      <x:c r="Y356" s="268"/>
      <x:c r="Z356" s="268"/>
      <x:c r="AA356" s="268"/>
      <x:c r="AB356" s="268"/>
      <x:c r="AC356" s="268"/>
    </x:row>
    <x:row r="357">
      <x:c r="A357" s="268"/>
      <x:c r="B357" s="268"/>
      <x:c r="C357" s="268"/>
      <x:c r="D357" s="268"/>
      <x:c r="E357" s="268"/>
      <x:c r="F357" s="268"/>
      <x:c r="G357" s="268"/>
      <x:c r="H357" s="268"/>
      <x:c r="I357" s="268"/>
      <x:c r="J357" s="268"/>
      <x:c r="K357" s="268"/>
      <x:c r="L357" s="268"/>
      <x:c r="M357" s="268"/>
      <x:c r="N357" s="268"/>
      <x:c r="O357" s="268"/>
      <x:c r="P357" s="268"/>
      <x:c r="Q357" s="268"/>
      <x:c r="R357" s="268"/>
      <x:c r="S357" s="268"/>
      <x:c r="T357" s="268"/>
      <x:c r="U357" s="268"/>
      <x:c r="V357" s="268"/>
      <x:c r="W357" s="268"/>
      <x:c r="X357" s="268"/>
      <x:c r="Y357" s="268"/>
      <x:c r="Z357" s="268"/>
      <x:c r="AA357" s="268"/>
      <x:c r="AB357" s="268"/>
      <x:c r="AC357" s="268"/>
    </x:row>
    <x:row r="358">
      <x:c r="A358" s="268"/>
      <x:c r="B358" s="268"/>
      <x:c r="C358" s="268"/>
      <x:c r="D358" s="268"/>
      <x:c r="E358" s="268"/>
      <x:c r="F358" s="268"/>
      <x:c r="G358" s="268"/>
      <x:c r="H358" s="268"/>
      <x:c r="I358" s="268"/>
      <x:c r="J358" s="268"/>
      <x:c r="K358" s="268"/>
      <x:c r="L358" s="268"/>
      <x:c r="M358" s="268"/>
      <x:c r="N358" s="268"/>
      <x:c r="O358" s="268"/>
      <x:c r="P358" s="268"/>
      <x:c r="Q358" s="268"/>
      <x:c r="R358" s="268"/>
      <x:c r="S358" s="268"/>
      <x:c r="T358" s="268"/>
      <x:c r="U358" s="268"/>
      <x:c r="V358" s="268"/>
      <x:c r="W358" s="268"/>
      <x:c r="X358" s="268"/>
      <x:c r="Y358" s="268"/>
      <x:c r="Z358" s="268"/>
      <x:c r="AA358" s="268"/>
      <x:c r="AB358" s="268"/>
      <x:c r="AC358" s="268"/>
    </x:row>
    <x:row r="359">
      <x:c r="A359" s="268"/>
      <x:c r="B359" s="268"/>
      <x:c r="C359" s="268"/>
      <x:c r="D359" s="268"/>
      <x:c r="E359" s="268"/>
      <x:c r="F359" s="268"/>
      <x:c r="G359" s="268"/>
      <x:c r="H359" s="268"/>
      <x:c r="I359" s="268"/>
      <x:c r="J359" s="268"/>
      <x:c r="K359" s="268"/>
      <x:c r="L359" s="268"/>
      <x:c r="M359" s="268"/>
      <x:c r="N359" s="268"/>
      <x:c r="O359" s="268"/>
      <x:c r="P359" s="268"/>
      <x:c r="Q359" s="268"/>
      <x:c r="R359" s="268"/>
      <x:c r="S359" s="268"/>
      <x:c r="T359" s="268"/>
      <x:c r="U359" s="268"/>
      <x:c r="V359" s="268"/>
      <x:c r="W359" s="268"/>
      <x:c r="X359" s="268"/>
      <x:c r="Y359" s="268"/>
      <x:c r="Z359" s="268"/>
      <x:c r="AA359" s="268"/>
      <x:c r="AB359" s="268"/>
      <x:c r="AC359" s="268"/>
    </x:row>
    <x:row r="360">
      <x:c r="A360" s="268"/>
      <x:c r="B360" s="268"/>
      <x:c r="C360" s="268"/>
      <x:c r="D360" s="268"/>
      <x:c r="E360" s="268"/>
      <x:c r="F360" s="268"/>
      <x:c r="G360" s="268"/>
      <x:c r="H360" s="268"/>
      <x:c r="I360" s="268"/>
      <x:c r="J360" s="268"/>
      <x:c r="K360" s="268"/>
      <x:c r="L360" s="268"/>
      <x:c r="M360" s="268"/>
      <x:c r="N360" s="268"/>
      <x:c r="O360" s="268"/>
      <x:c r="P360" s="268"/>
      <x:c r="Q360" s="268"/>
      <x:c r="R360" s="268"/>
      <x:c r="S360" s="268"/>
      <x:c r="T360" s="268"/>
      <x:c r="U360" s="268"/>
      <x:c r="V360" s="268"/>
      <x:c r="W360" s="268"/>
      <x:c r="X360" s="268"/>
      <x:c r="Y360" s="268"/>
      <x:c r="Z360" s="268"/>
      <x:c r="AA360" s="268"/>
      <x:c r="AB360" s="268"/>
      <x:c r="AC360" s="268"/>
    </x:row>
    <x:row r="361">
      <x:c r="A361" s="268"/>
      <x:c r="B361" s="268"/>
      <x:c r="C361" s="268"/>
      <x:c r="D361" s="268"/>
      <x:c r="E361" s="268"/>
      <x:c r="F361" s="268"/>
      <x:c r="G361" s="268"/>
      <x:c r="H361" s="268"/>
      <x:c r="I361" s="268"/>
      <x:c r="J361" s="268"/>
      <x:c r="K361" s="268"/>
      <x:c r="L361" s="268"/>
      <x:c r="M361" s="268"/>
      <x:c r="N361" s="268"/>
      <x:c r="O361" s="268"/>
      <x:c r="P361" s="268"/>
      <x:c r="Q361" s="268"/>
      <x:c r="R361" s="268"/>
      <x:c r="S361" s="268"/>
      <x:c r="T361" s="268"/>
      <x:c r="U361" s="268"/>
      <x:c r="V361" s="268"/>
      <x:c r="W361" s="268"/>
      <x:c r="X361" s="268"/>
      <x:c r="Y361" s="268"/>
      <x:c r="Z361" s="268"/>
      <x:c r="AA361" s="268"/>
      <x:c r="AB361" s="268"/>
      <x:c r="AC361" s="268"/>
    </x:row>
    <x:row r="362">
      <x:c r="A362" s="268"/>
      <x:c r="B362" s="268"/>
      <x:c r="C362" s="268"/>
      <x:c r="D362" s="268"/>
      <x:c r="E362" s="268"/>
      <x:c r="F362" s="268"/>
      <x:c r="G362" s="268"/>
      <x:c r="H362" s="268"/>
      <x:c r="I362" s="268"/>
      <x:c r="J362" s="268"/>
      <x:c r="K362" s="268"/>
      <x:c r="L362" s="268"/>
      <x:c r="M362" s="268"/>
      <x:c r="N362" s="268"/>
      <x:c r="O362" s="268"/>
      <x:c r="P362" s="268"/>
      <x:c r="Q362" s="268"/>
      <x:c r="R362" s="268"/>
      <x:c r="S362" s="268"/>
      <x:c r="T362" s="268"/>
      <x:c r="U362" s="268"/>
      <x:c r="V362" s="268"/>
      <x:c r="W362" s="268"/>
      <x:c r="X362" s="268"/>
      <x:c r="Y362" s="268"/>
      <x:c r="Z362" s="268"/>
      <x:c r="AA362" s="268"/>
      <x:c r="AB362" s="268"/>
      <x:c r="AC362" s="268"/>
    </x:row>
    <x:row r="363">
      <x:c r="A363" s="268"/>
      <x:c r="B363" s="268"/>
      <x:c r="C363" s="268"/>
      <x:c r="D363" s="268"/>
      <x:c r="E363" s="268"/>
      <x:c r="F363" s="268"/>
      <x:c r="G363" s="268"/>
      <x:c r="H363" s="268"/>
      <x:c r="I363" s="268"/>
      <x:c r="J363" s="268"/>
      <x:c r="K363" s="268"/>
      <x:c r="L363" s="268"/>
      <x:c r="M363" s="268"/>
      <x:c r="N363" s="268"/>
      <x:c r="O363" s="268"/>
      <x:c r="P363" s="268"/>
      <x:c r="Q363" s="268"/>
      <x:c r="R363" s="268"/>
      <x:c r="S363" s="268"/>
      <x:c r="T363" s="268"/>
      <x:c r="U363" s="268"/>
      <x:c r="V363" s="268"/>
      <x:c r="W363" s="268"/>
      <x:c r="X363" s="268"/>
      <x:c r="Y363" s="268"/>
      <x:c r="Z363" s="268"/>
      <x:c r="AA363" s="268"/>
      <x:c r="AB363" s="268"/>
      <x:c r="AC363" s="268"/>
    </x:row>
    <x:row r="364">
      <x:c r="A364" s="268"/>
      <x:c r="B364" s="268"/>
      <x:c r="C364" s="268"/>
      <x:c r="D364" s="268"/>
      <x:c r="E364" s="268"/>
      <x:c r="F364" s="268"/>
      <x:c r="G364" s="268"/>
      <x:c r="H364" s="268"/>
      <x:c r="I364" s="268"/>
      <x:c r="J364" s="268"/>
      <x:c r="K364" s="268"/>
      <x:c r="L364" s="268"/>
      <x:c r="M364" s="268"/>
      <x:c r="N364" s="268"/>
      <x:c r="O364" s="268"/>
      <x:c r="P364" s="268"/>
      <x:c r="Q364" s="268"/>
      <x:c r="R364" s="268"/>
      <x:c r="S364" s="268"/>
      <x:c r="T364" s="268"/>
      <x:c r="U364" s="268"/>
      <x:c r="V364" s="268"/>
      <x:c r="W364" s="268"/>
      <x:c r="X364" s="268"/>
      <x:c r="Y364" s="268"/>
      <x:c r="Z364" s="268"/>
      <x:c r="AA364" s="268"/>
      <x:c r="AB364" s="268"/>
      <x:c r="AC364" s="268"/>
    </x:row>
    <x:row r="365">
      <x:c r="A365" s="268"/>
      <x:c r="B365" s="268"/>
      <x:c r="C365" s="268"/>
      <x:c r="D365" s="268"/>
      <x:c r="E365" s="268"/>
      <x:c r="F365" s="268"/>
      <x:c r="G365" s="268"/>
      <x:c r="H365" s="268"/>
      <x:c r="I365" s="268"/>
      <x:c r="J365" s="268"/>
      <x:c r="K365" s="268"/>
      <x:c r="L365" s="268"/>
      <x:c r="M365" s="268"/>
      <x:c r="N365" s="268"/>
      <x:c r="O365" s="268"/>
      <x:c r="P365" s="268"/>
      <x:c r="Q365" s="268"/>
      <x:c r="R365" s="268"/>
      <x:c r="S365" s="268"/>
      <x:c r="T365" s="268"/>
      <x:c r="U365" s="268"/>
      <x:c r="V365" s="268"/>
      <x:c r="W365" s="268"/>
      <x:c r="X365" s="268"/>
      <x:c r="Y365" s="268"/>
      <x:c r="Z365" s="268"/>
      <x:c r="AA365" s="268"/>
      <x:c r="AB365" s="268"/>
      <x:c r="AC365" s="268"/>
    </x:row>
    <x:row r="366">
      <x:c r="A366" s="268"/>
      <x:c r="B366" s="268"/>
      <x:c r="C366" s="268"/>
      <x:c r="D366" s="268"/>
      <x:c r="E366" s="268"/>
      <x:c r="F366" s="268"/>
      <x:c r="G366" s="268"/>
      <x:c r="H366" s="268"/>
      <x:c r="I366" s="268"/>
      <x:c r="J366" s="268"/>
      <x:c r="K366" s="268"/>
      <x:c r="L366" s="268"/>
      <x:c r="M366" s="268"/>
      <x:c r="N366" s="268"/>
      <x:c r="O366" s="268"/>
      <x:c r="P366" s="268"/>
      <x:c r="Q366" s="268"/>
      <x:c r="R366" s="268"/>
      <x:c r="S366" s="268"/>
      <x:c r="T366" s="268"/>
      <x:c r="U366" s="268"/>
      <x:c r="V366" s="268"/>
      <x:c r="W366" s="268"/>
      <x:c r="X366" s="268"/>
      <x:c r="Y366" s="268"/>
      <x:c r="Z366" s="268"/>
      <x:c r="AA366" s="268"/>
      <x:c r="AB366" s="268"/>
      <x:c r="AC366" s="268"/>
    </x:row>
    <x:row r="367">
      <x:c r="A367" s="268"/>
      <x:c r="B367" s="268"/>
      <x:c r="C367" s="268"/>
      <x:c r="D367" s="268"/>
      <x:c r="E367" s="268"/>
      <x:c r="F367" s="268"/>
      <x:c r="G367" s="268"/>
      <x:c r="H367" s="268"/>
      <x:c r="I367" s="268"/>
      <x:c r="J367" s="268"/>
      <x:c r="K367" s="268"/>
      <x:c r="L367" s="268"/>
      <x:c r="M367" s="268"/>
      <x:c r="N367" s="268"/>
      <x:c r="O367" s="268"/>
      <x:c r="P367" s="268"/>
      <x:c r="Q367" s="268"/>
      <x:c r="R367" s="268"/>
      <x:c r="S367" s="268"/>
      <x:c r="T367" s="268"/>
      <x:c r="U367" s="268"/>
      <x:c r="V367" s="268"/>
      <x:c r="W367" s="268"/>
      <x:c r="X367" s="268"/>
      <x:c r="Y367" s="268"/>
      <x:c r="Z367" s="268"/>
      <x:c r="AA367" s="268"/>
      <x:c r="AB367" s="268"/>
      <x:c r="AC367" s="268"/>
    </x:row>
    <x:row r="368">
      <x:c r="A368" s="268"/>
      <x:c r="B368" s="268"/>
      <x:c r="C368" s="268"/>
      <x:c r="D368" s="268"/>
      <x:c r="E368" s="268"/>
      <x:c r="F368" s="268"/>
      <x:c r="G368" s="268"/>
      <x:c r="H368" s="268"/>
      <x:c r="I368" s="268"/>
      <x:c r="J368" s="268"/>
      <x:c r="K368" s="268"/>
      <x:c r="L368" s="268"/>
      <x:c r="M368" s="268"/>
      <x:c r="N368" s="268"/>
      <x:c r="O368" s="268"/>
      <x:c r="P368" s="268"/>
      <x:c r="Q368" s="268"/>
      <x:c r="R368" s="268"/>
      <x:c r="S368" s="268"/>
      <x:c r="T368" s="268"/>
      <x:c r="U368" s="268"/>
      <x:c r="V368" s="268"/>
      <x:c r="W368" s="268"/>
      <x:c r="X368" s="268"/>
      <x:c r="Y368" s="268"/>
      <x:c r="Z368" s="268"/>
      <x:c r="AA368" s="268"/>
      <x:c r="AB368" s="268"/>
      <x:c r="AC368" s="268"/>
    </x:row>
    <x:row r="369">
      <x:c r="A369" s="268"/>
      <x:c r="B369" s="268"/>
      <x:c r="C369" s="268"/>
      <x:c r="D369" s="268"/>
      <x:c r="E369" s="268"/>
      <x:c r="F369" s="268"/>
      <x:c r="G369" s="268"/>
      <x:c r="H369" s="268"/>
      <x:c r="I369" s="268"/>
      <x:c r="J369" s="268"/>
      <x:c r="K369" s="268"/>
      <x:c r="L369" s="268"/>
      <x:c r="M369" s="268"/>
      <x:c r="N369" s="268"/>
      <x:c r="O369" s="268"/>
      <x:c r="P369" s="268"/>
      <x:c r="Q369" s="268"/>
      <x:c r="R369" s="268"/>
      <x:c r="S369" s="268"/>
      <x:c r="T369" s="268"/>
      <x:c r="U369" s="268"/>
      <x:c r="V369" s="268"/>
      <x:c r="W369" s="268"/>
      <x:c r="X369" s="268"/>
      <x:c r="Y369" s="268"/>
      <x:c r="Z369" s="268"/>
      <x:c r="AA369" s="268"/>
      <x:c r="AB369" s="268"/>
      <x:c r="AC369" s="268"/>
    </x:row>
    <x:row r="370">
      <x:c r="A370" s="268"/>
      <x:c r="B370" s="268"/>
      <x:c r="C370" s="268"/>
      <x:c r="D370" s="268"/>
      <x:c r="E370" s="268"/>
      <x:c r="F370" s="268"/>
      <x:c r="G370" s="268"/>
      <x:c r="H370" s="268"/>
      <x:c r="I370" s="268"/>
      <x:c r="J370" s="268"/>
      <x:c r="K370" s="268"/>
      <x:c r="L370" s="268"/>
      <x:c r="M370" s="268"/>
      <x:c r="N370" s="268"/>
      <x:c r="O370" s="268"/>
      <x:c r="P370" s="268"/>
      <x:c r="Q370" s="268"/>
      <x:c r="R370" s="268"/>
      <x:c r="S370" s="268"/>
      <x:c r="T370" s="268"/>
      <x:c r="U370" s="268"/>
      <x:c r="V370" s="268"/>
      <x:c r="W370" s="268"/>
      <x:c r="X370" s="268"/>
      <x:c r="Y370" s="268"/>
      <x:c r="Z370" s="268"/>
      <x:c r="AA370" s="268"/>
      <x:c r="AB370" s="268"/>
      <x:c r="AC370" s="268"/>
    </x:row>
    <x:row r="371">
      <x:c r="A371" s="268"/>
      <x:c r="B371" s="268"/>
      <x:c r="C371" s="268"/>
      <x:c r="D371" s="268"/>
      <x:c r="E371" s="268"/>
      <x:c r="F371" s="268"/>
      <x:c r="G371" s="268"/>
      <x:c r="H371" s="268"/>
      <x:c r="I371" s="268"/>
      <x:c r="J371" s="268"/>
      <x:c r="K371" s="268"/>
      <x:c r="L371" s="268"/>
      <x:c r="M371" s="268"/>
      <x:c r="N371" s="268"/>
      <x:c r="O371" s="268"/>
      <x:c r="P371" s="268"/>
      <x:c r="Q371" s="268"/>
      <x:c r="R371" s="268"/>
      <x:c r="S371" s="268"/>
      <x:c r="T371" s="268"/>
      <x:c r="U371" s="268"/>
      <x:c r="V371" s="268"/>
      <x:c r="W371" s="268"/>
      <x:c r="X371" s="268"/>
      <x:c r="Y371" s="268"/>
      <x:c r="Z371" s="268"/>
      <x:c r="AA371" s="268"/>
      <x:c r="AB371" s="268"/>
      <x:c r="AC371" s="268"/>
    </x:row>
    <x:row r="372">
      <x:c r="A372" s="268"/>
      <x:c r="B372" s="268"/>
      <x:c r="C372" s="268"/>
      <x:c r="D372" s="268"/>
      <x:c r="E372" s="268"/>
      <x:c r="F372" s="268"/>
      <x:c r="G372" s="268"/>
      <x:c r="H372" s="268"/>
      <x:c r="I372" s="268"/>
      <x:c r="J372" s="268"/>
      <x:c r="K372" s="268"/>
      <x:c r="L372" s="268"/>
      <x:c r="M372" s="268"/>
      <x:c r="N372" s="268"/>
      <x:c r="O372" s="268"/>
      <x:c r="P372" s="268"/>
      <x:c r="Q372" s="268"/>
      <x:c r="R372" s="268"/>
      <x:c r="S372" s="268"/>
      <x:c r="T372" s="268"/>
      <x:c r="U372" s="268"/>
      <x:c r="V372" s="268"/>
      <x:c r="W372" s="268"/>
      <x:c r="X372" s="268"/>
      <x:c r="Y372" s="268"/>
      <x:c r="Z372" s="268"/>
      <x:c r="AA372" s="268"/>
      <x:c r="AB372" s="268"/>
      <x:c r="AC372" s="268"/>
    </x:row>
    <x:row r="373">
      <x:c r="A373" s="268"/>
      <x:c r="B373" s="268"/>
      <x:c r="C373" s="268"/>
      <x:c r="D373" s="268"/>
      <x:c r="E373" s="268"/>
      <x:c r="F373" s="268"/>
      <x:c r="G373" s="268"/>
      <x:c r="H373" s="268"/>
      <x:c r="I373" s="268"/>
      <x:c r="J373" s="268"/>
      <x:c r="K373" s="268"/>
      <x:c r="L373" s="268"/>
      <x:c r="M373" s="268"/>
      <x:c r="N373" s="268"/>
      <x:c r="O373" s="268"/>
      <x:c r="P373" s="268"/>
      <x:c r="Q373" s="268"/>
      <x:c r="R373" s="268"/>
      <x:c r="S373" s="268"/>
      <x:c r="T373" s="268"/>
      <x:c r="U373" s="268"/>
      <x:c r="V373" s="268"/>
      <x:c r="W373" s="268"/>
      <x:c r="X373" s="268"/>
      <x:c r="Y373" s="268"/>
      <x:c r="Z373" s="268"/>
      <x:c r="AA373" s="268"/>
      <x:c r="AB373" s="268"/>
      <x:c r="AC373" s="268"/>
    </x:row>
    <x:row r="374">
      <x:c r="A374" s="268"/>
      <x:c r="B374" s="268"/>
      <x:c r="C374" s="268"/>
      <x:c r="D374" s="268"/>
      <x:c r="E374" s="268"/>
      <x:c r="F374" s="268"/>
      <x:c r="G374" s="268"/>
      <x:c r="H374" s="268"/>
      <x:c r="I374" s="268"/>
      <x:c r="J374" s="268"/>
      <x:c r="K374" s="268"/>
      <x:c r="L374" s="268"/>
      <x:c r="M374" s="268"/>
      <x:c r="N374" s="268"/>
      <x:c r="O374" s="268"/>
      <x:c r="P374" s="268"/>
      <x:c r="Q374" s="268"/>
      <x:c r="R374" s="268"/>
      <x:c r="S374" s="268"/>
      <x:c r="T374" s="268"/>
      <x:c r="U374" s="268"/>
      <x:c r="V374" s="268"/>
      <x:c r="W374" s="268"/>
      <x:c r="X374" s="268"/>
      <x:c r="Y374" s="268"/>
      <x:c r="Z374" s="268"/>
      <x:c r="AA374" s="268"/>
      <x:c r="AB374" s="268"/>
      <x:c r="AC374" s="268"/>
    </x:row>
    <x:row r="375">
      <x:c r="A375" s="268"/>
      <x:c r="B375" s="268"/>
      <x:c r="C375" s="268"/>
      <x:c r="D375" s="268"/>
      <x:c r="E375" s="268"/>
      <x:c r="F375" s="268"/>
      <x:c r="G375" s="268"/>
      <x:c r="H375" s="268"/>
      <x:c r="I375" s="268"/>
      <x:c r="J375" s="268"/>
      <x:c r="K375" s="268"/>
      <x:c r="L375" s="268"/>
      <x:c r="M375" s="268"/>
      <x:c r="N375" s="268"/>
      <x:c r="O375" s="268"/>
      <x:c r="P375" s="268"/>
      <x:c r="Q375" s="268"/>
      <x:c r="R375" s="268"/>
      <x:c r="S375" s="268"/>
      <x:c r="T375" s="268"/>
      <x:c r="U375" s="268"/>
      <x:c r="V375" s="268"/>
      <x:c r="W375" s="268"/>
      <x:c r="X375" s="268"/>
      <x:c r="Y375" s="268"/>
      <x:c r="Z375" s="268"/>
      <x:c r="AA375" s="268"/>
      <x:c r="AB375" s="268"/>
      <x:c r="AC375" s="268"/>
    </x:row>
    <x:row r="376">
      <x:c r="A376" s="268"/>
      <x:c r="B376" s="268"/>
      <x:c r="C376" s="268"/>
      <x:c r="D376" s="268"/>
      <x:c r="E376" s="268"/>
      <x:c r="F376" s="268"/>
      <x:c r="G376" s="268"/>
      <x:c r="H376" s="268"/>
      <x:c r="I376" s="268"/>
      <x:c r="J376" s="268"/>
      <x:c r="K376" s="268"/>
      <x:c r="L376" s="268"/>
      <x:c r="M376" s="268"/>
      <x:c r="N376" s="268"/>
      <x:c r="O376" s="268"/>
      <x:c r="P376" s="268"/>
      <x:c r="Q376" s="268"/>
      <x:c r="R376" s="268"/>
      <x:c r="S376" s="268"/>
      <x:c r="T376" s="268"/>
      <x:c r="U376" s="268"/>
      <x:c r="V376" s="268"/>
      <x:c r="W376" s="268"/>
      <x:c r="X376" s="268"/>
      <x:c r="Y376" s="268"/>
      <x:c r="Z376" s="268"/>
      <x:c r="AA376" s="268"/>
      <x:c r="AB376" s="268"/>
      <x:c r="AC376" s="268"/>
    </x:row>
    <x:row r="377">
      <x:c r="A377" s="268"/>
      <x:c r="B377" s="268"/>
      <x:c r="C377" s="268"/>
      <x:c r="D377" s="268"/>
      <x:c r="E377" s="268"/>
      <x:c r="F377" s="268"/>
      <x:c r="G377" s="268"/>
      <x:c r="H377" s="268"/>
      <x:c r="I377" s="268"/>
      <x:c r="J377" s="268"/>
      <x:c r="K377" s="268"/>
      <x:c r="L377" s="268"/>
      <x:c r="M377" s="268"/>
      <x:c r="N377" s="268"/>
      <x:c r="O377" s="268"/>
      <x:c r="P377" s="268"/>
      <x:c r="Q377" s="268"/>
      <x:c r="R377" s="268"/>
      <x:c r="S377" s="268"/>
      <x:c r="T377" s="268"/>
      <x:c r="U377" s="268"/>
      <x:c r="V377" s="268"/>
      <x:c r="W377" s="268"/>
      <x:c r="X377" s="268"/>
      <x:c r="Y377" s="268"/>
      <x:c r="Z377" s="268"/>
      <x:c r="AA377" s="268"/>
      <x:c r="AB377" s="268"/>
      <x:c r="AC377" s="268"/>
    </x:row>
    <x:row r="378">
      <x:c r="A378" s="268"/>
      <x:c r="B378" s="268"/>
      <x:c r="C378" s="268"/>
      <x:c r="D378" s="268"/>
      <x:c r="E378" s="268"/>
      <x:c r="F378" s="268"/>
      <x:c r="G378" s="268"/>
      <x:c r="H378" s="268"/>
      <x:c r="I378" s="268"/>
      <x:c r="J378" s="268"/>
      <x:c r="K378" s="268"/>
      <x:c r="L378" s="268"/>
      <x:c r="M378" s="268"/>
      <x:c r="N378" s="268"/>
      <x:c r="O378" s="268"/>
      <x:c r="P378" s="268"/>
      <x:c r="Q378" s="268"/>
      <x:c r="R378" s="268"/>
      <x:c r="S378" s="268"/>
      <x:c r="T378" s="268"/>
      <x:c r="U378" s="268"/>
      <x:c r="V378" s="268"/>
      <x:c r="W378" s="268"/>
      <x:c r="X378" s="268"/>
      <x:c r="Y378" s="268"/>
      <x:c r="Z378" s="268"/>
      <x:c r="AA378" s="268"/>
      <x:c r="AB378" s="268"/>
      <x:c r="AC378" s="268"/>
    </x:row>
    <x:row r="379">
      <x:c r="A379" s="268"/>
      <x:c r="B379" s="268"/>
      <x:c r="C379" s="268"/>
      <x:c r="D379" s="268"/>
      <x:c r="E379" s="268"/>
      <x:c r="F379" s="268"/>
      <x:c r="G379" s="268"/>
      <x:c r="H379" s="268"/>
      <x:c r="I379" s="268"/>
      <x:c r="J379" s="268"/>
      <x:c r="K379" s="268"/>
      <x:c r="L379" s="268"/>
      <x:c r="M379" s="268"/>
      <x:c r="N379" s="268"/>
      <x:c r="O379" s="268"/>
      <x:c r="P379" s="268"/>
      <x:c r="Q379" s="268"/>
      <x:c r="R379" s="268"/>
      <x:c r="S379" s="268"/>
      <x:c r="T379" s="268"/>
      <x:c r="U379" s="268"/>
      <x:c r="V379" s="268"/>
      <x:c r="W379" s="268"/>
      <x:c r="X379" s="268"/>
      <x:c r="Y379" s="268"/>
      <x:c r="Z379" s="268"/>
      <x:c r="AA379" s="268"/>
      <x:c r="AB379" s="268"/>
      <x:c r="AC379" s="268"/>
    </x:row>
    <x:row r="380">
      <x:c r="A380" s="268"/>
      <x:c r="B380" s="268"/>
      <x:c r="C380" s="268"/>
      <x:c r="D380" s="268"/>
      <x:c r="E380" s="268"/>
      <x:c r="F380" s="268"/>
      <x:c r="G380" s="268"/>
      <x:c r="H380" s="268"/>
      <x:c r="I380" s="268"/>
      <x:c r="J380" s="268"/>
      <x:c r="K380" s="268"/>
      <x:c r="L380" s="268"/>
      <x:c r="M380" s="268"/>
      <x:c r="N380" s="268"/>
      <x:c r="O380" s="268"/>
      <x:c r="P380" s="268"/>
      <x:c r="Q380" s="268"/>
      <x:c r="R380" s="268"/>
      <x:c r="S380" s="268"/>
      <x:c r="T380" s="268"/>
      <x:c r="U380" s="268"/>
      <x:c r="V380" s="268"/>
      <x:c r="W380" s="268"/>
      <x:c r="X380" s="268"/>
      <x:c r="Y380" s="268"/>
      <x:c r="Z380" s="268"/>
      <x:c r="AA380" s="268"/>
      <x:c r="AB380" s="268"/>
      <x:c r="AC380" s="268"/>
    </x:row>
    <x:row r="381">
      <x:c r="A381" s="268"/>
      <x:c r="B381" s="268"/>
      <x:c r="C381" s="268"/>
      <x:c r="D381" s="268"/>
      <x:c r="E381" s="268"/>
      <x:c r="F381" s="268"/>
      <x:c r="G381" s="268"/>
      <x:c r="H381" s="268"/>
      <x:c r="I381" s="268"/>
      <x:c r="J381" s="268"/>
      <x:c r="K381" s="268"/>
      <x:c r="L381" s="268"/>
      <x:c r="M381" s="268"/>
      <x:c r="N381" s="268"/>
      <x:c r="O381" s="268"/>
      <x:c r="P381" s="268"/>
      <x:c r="Q381" s="268"/>
      <x:c r="R381" s="268"/>
      <x:c r="S381" s="268"/>
      <x:c r="T381" s="268"/>
      <x:c r="U381" s="268"/>
      <x:c r="V381" s="268"/>
      <x:c r="W381" s="268"/>
      <x:c r="X381" s="268"/>
      <x:c r="Y381" s="268"/>
      <x:c r="Z381" s="268"/>
      <x:c r="AA381" s="268"/>
      <x:c r="AB381" s="268"/>
      <x:c r="AC381" s="268"/>
    </x:row>
    <x:row r="382">
      <x:c r="A382" s="268"/>
      <x:c r="B382" s="268"/>
      <x:c r="C382" s="268"/>
      <x:c r="D382" s="268"/>
      <x:c r="E382" s="268"/>
      <x:c r="F382" s="268"/>
      <x:c r="G382" s="268"/>
      <x:c r="H382" s="268"/>
      <x:c r="I382" s="268"/>
      <x:c r="J382" s="268"/>
      <x:c r="K382" s="268"/>
      <x:c r="L382" s="268"/>
      <x:c r="M382" s="268"/>
      <x:c r="N382" s="268"/>
      <x:c r="O382" s="268"/>
      <x:c r="P382" s="268"/>
      <x:c r="Q382" s="268"/>
      <x:c r="R382" s="268"/>
      <x:c r="S382" s="268"/>
      <x:c r="T382" s="268"/>
      <x:c r="U382" s="268"/>
      <x:c r="V382" s="268"/>
      <x:c r="W382" s="268"/>
      <x:c r="X382" s="268"/>
      <x:c r="Y382" s="268"/>
      <x:c r="Z382" s="268"/>
      <x:c r="AA382" s="268"/>
      <x:c r="AB382" s="268"/>
      <x:c r="AC382" s="268"/>
    </x:row>
    <x:row r="383">
      <x:c r="A383" s="268"/>
      <x:c r="B383" s="268"/>
      <x:c r="C383" s="268"/>
      <x:c r="D383" s="268"/>
      <x:c r="E383" s="268"/>
      <x:c r="F383" s="268"/>
      <x:c r="G383" s="268"/>
      <x:c r="H383" s="268"/>
      <x:c r="I383" s="268"/>
      <x:c r="J383" s="268"/>
      <x:c r="K383" s="268"/>
      <x:c r="L383" s="268"/>
      <x:c r="M383" s="268"/>
      <x:c r="N383" s="268"/>
      <x:c r="O383" s="268"/>
      <x:c r="P383" s="268"/>
      <x:c r="Q383" s="268"/>
      <x:c r="R383" s="268"/>
      <x:c r="S383" s="268"/>
      <x:c r="T383" s="268"/>
      <x:c r="U383" s="268"/>
      <x:c r="V383" s="268"/>
      <x:c r="W383" s="268"/>
      <x:c r="X383" s="268"/>
      <x:c r="Y383" s="268"/>
      <x:c r="Z383" s="268"/>
      <x:c r="AA383" s="268"/>
      <x:c r="AB383" s="268"/>
      <x:c r="AC383" s="268"/>
    </x:row>
    <x:row r="384">
      <x:c r="A384" s="268"/>
      <x:c r="B384" s="268"/>
      <x:c r="C384" s="268"/>
      <x:c r="D384" s="268"/>
      <x:c r="E384" s="268"/>
      <x:c r="F384" s="268"/>
      <x:c r="G384" s="268"/>
      <x:c r="H384" s="268"/>
      <x:c r="I384" s="268"/>
      <x:c r="J384" s="268"/>
      <x:c r="K384" s="268"/>
      <x:c r="L384" s="268"/>
      <x:c r="M384" s="268"/>
      <x:c r="N384" s="268"/>
      <x:c r="O384" s="268"/>
      <x:c r="P384" s="268"/>
      <x:c r="Q384" s="268"/>
      <x:c r="R384" s="268"/>
      <x:c r="S384" s="268"/>
      <x:c r="T384" s="268"/>
      <x:c r="U384" s="268"/>
      <x:c r="V384" s="268"/>
      <x:c r="W384" s="268"/>
      <x:c r="X384" s="268"/>
      <x:c r="Y384" s="268"/>
      <x:c r="Z384" s="268"/>
      <x:c r="AA384" s="268"/>
      <x:c r="AB384" s="268"/>
      <x:c r="AC384" s="268"/>
    </x:row>
    <x:row r="385">
      <x:c r="A385" s="268"/>
      <x:c r="B385" s="268"/>
      <x:c r="C385" s="268"/>
      <x:c r="D385" s="268"/>
      <x:c r="E385" s="268"/>
      <x:c r="F385" s="268"/>
      <x:c r="G385" s="268"/>
      <x:c r="H385" s="268"/>
      <x:c r="I385" s="268"/>
      <x:c r="J385" s="268"/>
      <x:c r="K385" s="268"/>
      <x:c r="L385" s="268"/>
      <x:c r="M385" s="268"/>
      <x:c r="N385" s="268"/>
      <x:c r="O385" s="268"/>
      <x:c r="P385" s="268"/>
      <x:c r="Q385" s="268"/>
      <x:c r="R385" s="268"/>
      <x:c r="S385" s="268"/>
      <x:c r="T385" s="268"/>
      <x:c r="U385" s="268"/>
      <x:c r="V385" s="268"/>
      <x:c r="W385" s="268"/>
      <x:c r="X385" s="268"/>
      <x:c r="Y385" s="268"/>
      <x:c r="Z385" s="268"/>
      <x:c r="AA385" s="268"/>
      <x:c r="AB385" s="268"/>
      <x:c r="AC385" s="268"/>
    </x:row>
    <x:row r="386">
      <x:c r="A386" s="268"/>
      <x:c r="B386" s="268"/>
      <x:c r="C386" s="268"/>
      <x:c r="D386" s="268"/>
      <x:c r="E386" s="268"/>
      <x:c r="F386" s="268"/>
      <x:c r="G386" s="268"/>
      <x:c r="H386" s="268"/>
      <x:c r="I386" s="268"/>
      <x:c r="J386" s="268"/>
      <x:c r="K386" s="268"/>
      <x:c r="L386" s="268"/>
      <x:c r="M386" s="268"/>
      <x:c r="N386" s="268"/>
      <x:c r="O386" s="268"/>
      <x:c r="P386" s="268"/>
      <x:c r="Q386" s="268"/>
      <x:c r="R386" s="268"/>
      <x:c r="S386" s="268"/>
      <x:c r="T386" s="268"/>
      <x:c r="U386" s="268"/>
      <x:c r="V386" s="268"/>
      <x:c r="W386" s="268"/>
      <x:c r="X386" s="268"/>
      <x:c r="Y386" s="268"/>
      <x:c r="Z386" s="268"/>
      <x:c r="AA386" s="268"/>
      <x:c r="AB386" s="268"/>
      <x:c r="AC386" s="268"/>
    </x:row>
    <x:row r="387">
      <x:c r="A387" s="268"/>
      <x:c r="B387" s="268"/>
      <x:c r="C387" s="268"/>
      <x:c r="D387" s="268"/>
      <x:c r="E387" s="268"/>
      <x:c r="F387" s="268"/>
      <x:c r="G387" s="268"/>
      <x:c r="H387" s="268"/>
      <x:c r="I387" s="268"/>
      <x:c r="J387" s="268"/>
      <x:c r="K387" s="268"/>
      <x:c r="L387" s="268"/>
      <x:c r="M387" s="268"/>
      <x:c r="N387" s="268"/>
      <x:c r="O387" s="268"/>
      <x:c r="P387" s="268"/>
      <x:c r="Q387" s="268"/>
      <x:c r="R387" s="268"/>
      <x:c r="S387" s="268"/>
      <x:c r="T387" s="268"/>
      <x:c r="U387" s="268"/>
      <x:c r="V387" s="268"/>
      <x:c r="W387" s="268"/>
      <x:c r="X387" s="268"/>
      <x:c r="Y387" s="268"/>
      <x:c r="Z387" s="268"/>
      <x:c r="AA387" s="268"/>
      <x:c r="AB387" s="268"/>
      <x:c r="AC387" s="268"/>
    </x:row>
    <x:row r="388">
      <x:c r="A388" s="268"/>
      <x:c r="B388" s="268"/>
      <x:c r="C388" s="268"/>
      <x:c r="D388" s="268"/>
      <x:c r="E388" s="268"/>
      <x:c r="F388" s="268"/>
      <x:c r="G388" s="268"/>
      <x:c r="H388" s="268"/>
      <x:c r="I388" s="268"/>
      <x:c r="J388" s="268"/>
      <x:c r="K388" s="268"/>
      <x:c r="L388" s="268"/>
      <x:c r="M388" s="268"/>
      <x:c r="N388" s="268"/>
      <x:c r="O388" s="268"/>
      <x:c r="P388" s="268"/>
      <x:c r="Q388" s="268"/>
      <x:c r="R388" s="268"/>
      <x:c r="S388" s="268"/>
      <x:c r="T388" s="268"/>
      <x:c r="U388" s="268"/>
      <x:c r="V388" s="268"/>
      <x:c r="W388" s="268"/>
      <x:c r="X388" s="268"/>
      <x:c r="Y388" s="268"/>
      <x:c r="Z388" s="268"/>
      <x:c r="AA388" s="268"/>
      <x:c r="AB388" s="268"/>
      <x:c r="AC388" s="268"/>
    </x:row>
    <x:row r="389">
      <x:c r="A389" s="268"/>
      <x:c r="B389" s="268"/>
      <x:c r="C389" s="268"/>
      <x:c r="D389" s="268"/>
      <x:c r="E389" s="268"/>
      <x:c r="F389" s="268"/>
      <x:c r="G389" s="268"/>
      <x:c r="H389" s="268"/>
      <x:c r="I389" s="268"/>
      <x:c r="J389" s="268"/>
      <x:c r="K389" s="268"/>
      <x:c r="L389" s="268"/>
      <x:c r="M389" s="268"/>
      <x:c r="N389" s="268"/>
      <x:c r="O389" s="268"/>
      <x:c r="P389" s="268"/>
      <x:c r="Q389" s="268"/>
      <x:c r="R389" s="268"/>
      <x:c r="S389" s="268"/>
      <x:c r="T389" s="268"/>
      <x:c r="U389" s="268"/>
      <x:c r="V389" s="268"/>
      <x:c r="W389" s="268"/>
      <x:c r="X389" s="268"/>
      <x:c r="Y389" s="268"/>
      <x:c r="Z389" s="268"/>
      <x:c r="AA389" s="268"/>
      <x:c r="AB389" s="268"/>
      <x:c r="AC389" s="268"/>
    </x:row>
    <x:row r="390">
      <x:c r="A390" s="268"/>
      <x:c r="B390" s="268"/>
      <x:c r="C390" s="268"/>
      <x:c r="D390" s="268"/>
      <x:c r="E390" s="268"/>
      <x:c r="F390" s="268"/>
      <x:c r="G390" s="268"/>
      <x:c r="H390" s="268"/>
      <x:c r="I390" s="268"/>
      <x:c r="J390" s="268"/>
      <x:c r="K390" s="268"/>
      <x:c r="L390" s="268"/>
      <x:c r="M390" s="268"/>
      <x:c r="N390" s="268"/>
      <x:c r="O390" s="268"/>
      <x:c r="P390" s="268"/>
      <x:c r="Q390" s="268"/>
      <x:c r="R390" s="268"/>
      <x:c r="S390" s="268"/>
      <x:c r="T390" s="268"/>
      <x:c r="U390" s="268"/>
      <x:c r="V390" s="268"/>
      <x:c r="W390" s="268"/>
      <x:c r="X390" s="268"/>
      <x:c r="Y390" s="268"/>
      <x:c r="Z390" s="268"/>
      <x:c r="AA390" s="268"/>
      <x:c r="AB390" s="268"/>
      <x:c r="AC390" s="268"/>
    </x:row>
    <x:row r="391">
      <x:c r="A391" s="268"/>
      <x:c r="B391" s="268"/>
      <x:c r="C391" s="268"/>
      <x:c r="D391" s="268"/>
      <x:c r="E391" s="268"/>
      <x:c r="F391" s="268"/>
      <x:c r="G391" s="268"/>
      <x:c r="H391" s="268"/>
      <x:c r="I391" s="268"/>
      <x:c r="J391" s="268"/>
      <x:c r="K391" s="268"/>
      <x:c r="L391" s="268"/>
      <x:c r="M391" s="268"/>
      <x:c r="N391" s="268"/>
      <x:c r="O391" s="268"/>
      <x:c r="P391" s="268"/>
      <x:c r="Q391" s="268"/>
      <x:c r="R391" s="268"/>
      <x:c r="S391" s="268"/>
      <x:c r="T391" s="268"/>
      <x:c r="U391" s="268"/>
      <x:c r="V391" s="268"/>
      <x:c r="W391" s="268"/>
      <x:c r="X391" s="268"/>
      <x:c r="Y391" s="268"/>
      <x:c r="Z391" s="268"/>
      <x:c r="AA391" s="268"/>
      <x:c r="AB391" s="268"/>
      <x:c r="AC391" s="268"/>
    </x:row>
    <x:row r="392">
      <x:c r="A392" s="268"/>
      <x:c r="B392" s="268"/>
      <x:c r="C392" s="268"/>
      <x:c r="D392" s="268"/>
      <x:c r="E392" s="268"/>
      <x:c r="F392" s="268"/>
      <x:c r="G392" s="268"/>
      <x:c r="H392" s="268"/>
      <x:c r="I392" s="268"/>
      <x:c r="J392" s="268"/>
      <x:c r="K392" s="268"/>
      <x:c r="L392" s="268"/>
      <x:c r="M392" s="268"/>
      <x:c r="N392" s="268"/>
      <x:c r="O392" s="268"/>
      <x:c r="P392" s="268"/>
      <x:c r="Q392" s="268"/>
      <x:c r="R392" s="268"/>
      <x:c r="S392" s="268"/>
      <x:c r="T392" s="268"/>
      <x:c r="U392" s="268"/>
      <x:c r="V392" s="268"/>
      <x:c r="W392" s="268"/>
      <x:c r="X392" s="268"/>
      <x:c r="Y392" s="268"/>
      <x:c r="Z392" s="268"/>
      <x:c r="AA392" s="268"/>
      <x:c r="AB392" s="268"/>
      <x:c r="AC392" s="268"/>
    </x:row>
    <x:row r="393">
      <x:c r="A393" s="268"/>
      <x:c r="B393" s="268"/>
      <x:c r="C393" s="268"/>
      <x:c r="D393" s="268"/>
      <x:c r="E393" s="268"/>
      <x:c r="F393" s="268"/>
      <x:c r="G393" s="268"/>
      <x:c r="H393" s="268"/>
      <x:c r="I393" s="268"/>
      <x:c r="J393" s="268"/>
      <x:c r="K393" s="268"/>
      <x:c r="L393" s="268"/>
      <x:c r="M393" s="268"/>
      <x:c r="N393" s="268"/>
      <x:c r="O393" s="268"/>
      <x:c r="P393" s="268"/>
      <x:c r="Q393" s="268"/>
      <x:c r="R393" s="268"/>
      <x:c r="S393" s="268"/>
      <x:c r="T393" s="268"/>
      <x:c r="U393" s="268"/>
      <x:c r="V393" s="268"/>
      <x:c r="W393" s="268"/>
      <x:c r="X393" s="268"/>
      <x:c r="Y393" s="268"/>
      <x:c r="Z393" s="268"/>
      <x:c r="AA393" s="268"/>
      <x:c r="AB393" s="268"/>
      <x:c r="AC393" s="268"/>
    </x:row>
    <x:row r="394">
      <x:c r="A394" s="268"/>
      <x:c r="B394" s="268"/>
      <x:c r="C394" s="268"/>
      <x:c r="D394" s="268"/>
      <x:c r="E394" s="268"/>
      <x:c r="F394" s="268"/>
      <x:c r="G394" s="268"/>
      <x:c r="H394" s="268"/>
      <x:c r="I394" s="268"/>
      <x:c r="J394" s="268"/>
      <x:c r="K394" s="268"/>
      <x:c r="L394" s="268"/>
      <x:c r="M394" s="268"/>
      <x:c r="N394" s="268"/>
      <x:c r="O394" s="268"/>
      <x:c r="P394" s="268"/>
      <x:c r="Q394" s="268"/>
      <x:c r="R394" s="268"/>
      <x:c r="S394" s="268"/>
      <x:c r="T394" s="268"/>
      <x:c r="U394" s="268"/>
      <x:c r="V394" s="268"/>
      <x:c r="W394" s="268"/>
      <x:c r="X394" s="268"/>
      <x:c r="Y394" s="268"/>
      <x:c r="Z394" s="268"/>
      <x:c r="AA394" s="268"/>
      <x:c r="AB394" s="268"/>
      <x:c r="AC394" s="268"/>
    </x:row>
    <x:row r="395">
      <x:c r="A395" s="268"/>
      <x:c r="B395" s="268"/>
      <x:c r="C395" s="268"/>
      <x:c r="D395" s="268"/>
      <x:c r="E395" s="268"/>
      <x:c r="F395" s="268"/>
      <x:c r="G395" s="268"/>
      <x:c r="H395" s="268"/>
      <x:c r="I395" s="268"/>
      <x:c r="J395" s="268"/>
      <x:c r="K395" s="268"/>
      <x:c r="L395" s="268"/>
      <x:c r="M395" s="268"/>
      <x:c r="N395" s="268"/>
      <x:c r="O395" s="268"/>
      <x:c r="P395" s="268"/>
      <x:c r="Q395" s="268"/>
      <x:c r="R395" s="268"/>
      <x:c r="S395" s="268"/>
      <x:c r="T395" s="268"/>
      <x:c r="U395" s="268"/>
      <x:c r="V395" s="268"/>
      <x:c r="W395" s="268"/>
      <x:c r="X395" s="268"/>
      <x:c r="Y395" s="268"/>
      <x:c r="Z395" s="268"/>
      <x:c r="AA395" s="268"/>
      <x:c r="AB395" s="268"/>
      <x:c r="AC395" s="268"/>
    </x:row>
    <x:row r="396">
      <x:c r="A396" s="268"/>
      <x:c r="B396" s="268"/>
      <x:c r="C396" s="268"/>
      <x:c r="D396" s="268"/>
      <x:c r="E396" s="268"/>
      <x:c r="F396" s="268"/>
      <x:c r="G396" s="268"/>
      <x:c r="H396" s="268"/>
      <x:c r="I396" s="268"/>
      <x:c r="J396" s="268"/>
      <x:c r="K396" s="268"/>
      <x:c r="L396" s="268"/>
      <x:c r="M396" s="268"/>
      <x:c r="N396" s="268"/>
      <x:c r="O396" s="268"/>
      <x:c r="P396" s="268"/>
      <x:c r="Q396" s="268"/>
      <x:c r="R396" s="268"/>
      <x:c r="S396" s="268"/>
      <x:c r="T396" s="268"/>
      <x:c r="U396" s="268"/>
      <x:c r="V396" s="268"/>
      <x:c r="W396" s="268"/>
      <x:c r="X396" s="268"/>
      <x:c r="Y396" s="268"/>
      <x:c r="Z396" s="268"/>
      <x:c r="AA396" s="268"/>
      <x:c r="AB396" s="268"/>
      <x:c r="AC396" s="268"/>
    </x:row>
    <x:row r="397">
      <x:c r="A397" s="268"/>
      <x:c r="B397" s="268"/>
      <x:c r="C397" s="268"/>
      <x:c r="D397" s="268"/>
      <x:c r="E397" s="268"/>
      <x:c r="F397" s="268"/>
      <x:c r="G397" s="268"/>
      <x:c r="H397" s="268"/>
      <x:c r="I397" s="268"/>
      <x:c r="J397" s="268"/>
      <x:c r="K397" s="268"/>
      <x:c r="L397" s="268"/>
      <x:c r="M397" s="268"/>
      <x:c r="N397" s="268"/>
      <x:c r="O397" s="268"/>
      <x:c r="P397" s="268"/>
      <x:c r="Q397" s="268"/>
      <x:c r="R397" s="268"/>
      <x:c r="S397" s="268"/>
      <x:c r="T397" s="268"/>
      <x:c r="U397" s="268"/>
      <x:c r="V397" s="268"/>
      <x:c r="W397" s="268"/>
      <x:c r="X397" s="268"/>
      <x:c r="Y397" s="268"/>
      <x:c r="Z397" s="268"/>
      <x:c r="AA397" s="268"/>
      <x:c r="AB397" s="268"/>
      <x:c r="AC397" s="268"/>
    </x:row>
    <x:row r="398">
      <x:c r="A398" s="268"/>
      <x:c r="B398" s="268"/>
      <x:c r="C398" s="268"/>
      <x:c r="D398" s="268"/>
      <x:c r="E398" s="268"/>
      <x:c r="F398" s="268"/>
      <x:c r="G398" s="268"/>
      <x:c r="H398" s="268"/>
      <x:c r="I398" s="268"/>
      <x:c r="J398" s="268"/>
      <x:c r="K398" s="268"/>
      <x:c r="L398" s="268"/>
      <x:c r="M398" s="268"/>
      <x:c r="N398" s="268"/>
      <x:c r="O398" s="268"/>
      <x:c r="P398" s="268"/>
      <x:c r="Q398" s="268"/>
      <x:c r="R398" s="268"/>
      <x:c r="S398" s="268"/>
      <x:c r="T398" s="268"/>
      <x:c r="U398" s="268"/>
      <x:c r="V398" s="268"/>
      <x:c r="W398" s="268"/>
      <x:c r="X398" s="268"/>
      <x:c r="Y398" s="268"/>
      <x:c r="Z398" s="268"/>
      <x:c r="AA398" s="268"/>
      <x:c r="AB398" s="268"/>
      <x:c r="AC398" s="268"/>
    </x:row>
    <x:row r="399">
      <x:c r="A399" s="268"/>
      <x:c r="B399" s="268"/>
      <x:c r="C399" s="268"/>
      <x:c r="D399" s="268"/>
      <x:c r="E399" s="268"/>
      <x:c r="F399" s="268"/>
      <x:c r="G399" s="268"/>
      <x:c r="H399" s="268"/>
      <x:c r="I399" s="268"/>
      <x:c r="J399" s="268"/>
      <x:c r="K399" s="268"/>
      <x:c r="L399" s="268"/>
      <x:c r="M399" s="268"/>
      <x:c r="N399" s="268"/>
      <x:c r="O399" s="268"/>
      <x:c r="P399" s="268"/>
      <x:c r="Q399" s="268"/>
      <x:c r="R399" s="268"/>
      <x:c r="S399" s="268"/>
      <x:c r="T399" s="268"/>
      <x:c r="U399" s="268"/>
      <x:c r="V399" s="268"/>
      <x:c r="W399" s="268"/>
      <x:c r="X399" s="268"/>
      <x:c r="Y399" s="268"/>
      <x:c r="Z399" s="268"/>
      <x:c r="AA399" s="268"/>
      <x:c r="AB399" s="268"/>
      <x:c r="AC399" s="268"/>
    </x:row>
    <x:row r="400">
      <x:c r="A400" s="268"/>
      <x:c r="B400" s="268"/>
      <x:c r="C400" s="268"/>
      <x:c r="D400" s="268"/>
      <x:c r="E400" s="268"/>
      <x:c r="F400" s="268"/>
      <x:c r="G400" s="268"/>
      <x:c r="H400" s="268"/>
      <x:c r="I400" s="268"/>
      <x:c r="J400" s="268"/>
      <x:c r="K400" s="268"/>
      <x:c r="L400" s="268"/>
      <x:c r="M400" s="268"/>
      <x:c r="N400" s="268"/>
      <x:c r="O400" s="268"/>
      <x:c r="P400" s="268"/>
      <x:c r="Q400" s="268"/>
      <x:c r="R400" s="268"/>
      <x:c r="S400" s="268"/>
      <x:c r="T400" s="268"/>
      <x:c r="U400" s="268"/>
      <x:c r="V400" s="268"/>
      <x:c r="W400" s="268"/>
      <x:c r="X400" s="268"/>
      <x:c r="Y400" s="268"/>
      <x:c r="Z400" s="268"/>
      <x:c r="AA400" s="268"/>
      <x:c r="AB400" s="268"/>
      <x:c r="AC400" s="268"/>
    </x:row>
    <x:row r="401">
      <x:c r="A401" s="268"/>
      <x:c r="B401" s="268"/>
      <x:c r="C401" s="268"/>
      <x:c r="D401" s="268"/>
      <x:c r="E401" s="268"/>
      <x:c r="F401" s="268"/>
      <x:c r="G401" s="268"/>
      <x:c r="H401" s="268"/>
      <x:c r="I401" s="268"/>
      <x:c r="J401" s="268"/>
      <x:c r="K401" s="268"/>
      <x:c r="L401" s="268"/>
      <x:c r="M401" s="268"/>
      <x:c r="N401" s="268"/>
      <x:c r="O401" s="268"/>
      <x:c r="P401" s="268"/>
      <x:c r="Q401" s="268"/>
      <x:c r="R401" s="268"/>
      <x:c r="S401" s="268"/>
      <x:c r="T401" s="268"/>
      <x:c r="U401" s="268"/>
      <x:c r="V401" s="268"/>
      <x:c r="W401" s="268"/>
      <x:c r="X401" s="268"/>
      <x:c r="Y401" s="268"/>
      <x:c r="Z401" s="268"/>
      <x:c r="AA401" s="268"/>
      <x:c r="AB401" s="268"/>
      <x:c r="AC401" s="268"/>
    </x:row>
    <x:row r="402">
      <x:c r="A402" s="268"/>
      <x:c r="B402" s="268"/>
      <x:c r="C402" s="268"/>
      <x:c r="D402" s="268"/>
      <x:c r="E402" s="268"/>
      <x:c r="F402" s="268"/>
      <x:c r="G402" s="268"/>
      <x:c r="H402" s="268"/>
      <x:c r="I402" s="268"/>
      <x:c r="J402" s="268"/>
      <x:c r="K402" s="268"/>
      <x:c r="L402" s="268"/>
      <x:c r="M402" s="268"/>
      <x:c r="N402" s="268"/>
      <x:c r="O402" s="268"/>
      <x:c r="P402" s="268"/>
      <x:c r="Q402" s="268"/>
      <x:c r="R402" s="268"/>
      <x:c r="S402" s="268"/>
      <x:c r="T402" s="268"/>
      <x:c r="U402" s="268"/>
      <x:c r="V402" s="268"/>
      <x:c r="W402" s="268"/>
      <x:c r="X402" s="268"/>
      <x:c r="Y402" s="268"/>
      <x:c r="Z402" s="268"/>
      <x:c r="AA402" s="268"/>
      <x:c r="AB402" s="268"/>
      <x:c r="AC402" s="268"/>
    </x:row>
    <x:row r="403">
      <x:c r="A403" s="268"/>
      <x:c r="B403" s="268"/>
      <x:c r="C403" s="268"/>
      <x:c r="D403" s="268"/>
      <x:c r="E403" s="268"/>
      <x:c r="F403" s="268"/>
      <x:c r="G403" s="268"/>
      <x:c r="H403" s="268"/>
      <x:c r="I403" s="268"/>
      <x:c r="J403" s="268"/>
      <x:c r="K403" s="268"/>
      <x:c r="L403" s="268"/>
      <x:c r="M403" s="268"/>
      <x:c r="N403" s="268"/>
      <x:c r="O403" s="268"/>
      <x:c r="P403" s="268"/>
      <x:c r="Q403" s="268"/>
      <x:c r="R403" s="268"/>
      <x:c r="S403" s="268"/>
      <x:c r="T403" s="268"/>
      <x:c r="U403" s="268"/>
      <x:c r="V403" s="268"/>
      <x:c r="W403" s="268"/>
      <x:c r="X403" s="268"/>
      <x:c r="Y403" s="268"/>
      <x:c r="Z403" s="268"/>
      <x:c r="AA403" s="268"/>
      <x:c r="AB403" s="268"/>
      <x:c r="AC403" s="268"/>
    </x:row>
    <x:row r="404">
      <x:c r="A404" s="268"/>
      <x:c r="B404" s="268"/>
      <x:c r="C404" s="268"/>
      <x:c r="D404" s="268"/>
      <x:c r="E404" s="268"/>
      <x:c r="F404" s="268"/>
      <x:c r="G404" s="268"/>
      <x:c r="H404" s="268"/>
      <x:c r="I404" s="268"/>
      <x:c r="J404" s="268"/>
      <x:c r="K404" s="268"/>
      <x:c r="L404" s="268"/>
      <x:c r="M404" s="268"/>
      <x:c r="N404" s="268"/>
      <x:c r="O404" s="268"/>
      <x:c r="P404" s="268"/>
      <x:c r="Q404" s="268"/>
      <x:c r="R404" s="268"/>
      <x:c r="S404" s="268"/>
      <x:c r="T404" s="268"/>
      <x:c r="U404" s="268"/>
      <x:c r="V404" s="268"/>
      <x:c r="W404" s="268"/>
      <x:c r="X404" s="268"/>
      <x:c r="Y404" s="268"/>
      <x:c r="Z404" s="268"/>
      <x:c r="AA404" s="268"/>
      <x:c r="AB404" s="268"/>
      <x:c r="AC404" s="268"/>
    </x:row>
    <x:row r="405">
      <x:c r="A405" s="268"/>
      <x:c r="B405" s="268"/>
      <x:c r="C405" s="268"/>
      <x:c r="D405" s="268"/>
      <x:c r="E405" s="268"/>
      <x:c r="F405" s="268"/>
      <x:c r="G405" s="268"/>
      <x:c r="H405" s="268"/>
      <x:c r="I405" s="268"/>
      <x:c r="J405" s="268"/>
      <x:c r="K405" s="268"/>
      <x:c r="L405" s="268"/>
      <x:c r="M405" s="268"/>
      <x:c r="N405" s="268"/>
      <x:c r="O405" s="268"/>
      <x:c r="P405" s="268"/>
      <x:c r="Q405" s="268"/>
      <x:c r="R405" s="268"/>
      <x:c r="S405" s="268"/>
      <x:c r="T405" s="268"/>
      <x:c r="U405" s="268"/>
      <x:c r="V405" s="268"/>
      <x:c r="W405" s="268"/>
      <x:c r="X405" s="268"/>
      <x:c r="Y405" s="268"/>
      <x:c r="Z405" s="268"/>
      <x:c r="AA405" s="268"/>
      <x:c r="AB405" s="268"/>
      <x:c r="AC405" s="268"/>
    </x:row>
    <x:row r="406">
      <x:c r="A406" s="268"/>
      <x:c r="B406" s="268"/>
      <x:c r="C406" s="268"/>
      <x:c r="D406" s="268"/>
      <x:c r="E406" s="268"/>
      <x:c r="F406" s="268"/>
      <x:c r="G406" s="268"/>
      <x:c r="H406" s="268"/>
      <x:c r="I406" s="268"/>
      <x:c r="J406" s="268"/>
      <x:c r="K406" s="268"/>
      <x:c r="L406" s="268"/>
      <x:c r="M406" s="268"/>
      <x:c r="N406" s="268"/>
      <x:c r="O406" s="268"/>
      <x:c r="P406" s="268"/>
      <x:c r="Q406" s="268"/>
      <x:c r="R406" s="268"/>
      <x:c r="S406" s="268"/>
      <x:c r="T406" s="268"/>
      <x:c r="U406" s="268"/>
      <x:c r="V406" s="268"/>
      <x:c r="W406" s="268"/>
      <x:c r="X406" s="268"/>
      <x:c r="Y406" s="268"/>
      <x:c r="Z406" s="268"/>
      <x:c r="AA406" s="268"/>
      <x:c r="AB406" s="268"/>
      <x:c r="AC406" s="268"/>
    </x:row>
    <x:row r="407">
      <x:c r="A407" s="268"/>
      <x:c r="B407" s="268"/>
      <x:c r="C407" s="268"/>
      <x:c r="D407" s="268"/>
      <x:c r="E407" s="268"/>
      <x:c r="F407" s="268"/>
      <x:c r="G407" s="268"/>
      <x:c r="H407" s="268"/>
      <x:c r="I407" s="268"/>
      <x:c r="J407" s="268"/>
      <x:c r="K407" s="268"/>
      <x:c r="L407" s="268"/>
      <x:c r="M407" s="268"/>
      <x:c r="N407" s="268"/>
      <x:c r="O407" s="268"/>
      <x:c r="P407" s="268"/>
      <x:c r="Q407" s="268"/>
      <x:c r="R407" s="268"/>
      <x:c r="S407" s="268"/>
      <x:c r="T407" s="268"/>
      <x:c r="U407" s="268"/>
      <x:c r="V407" s="268"/>
      <x:c r="W407" s="268"/>
      <x:c r="X407" s="268"/>
      <x:c r="Y407" s="268"/>
      <x:c r="Z407" s="268"/>
      <x:c r="AA407" s="268"/>
      <x:c r="AB407" s="268"/>
      <x:c r="AC407" s="268"/>
    </x:row>
    <x:row r="408">
      <x:c r="A408" s="268"/>
      <x:c r="B408" s="268"/>
      <x:c r="C408" s="268"/>
      <x:c r="D408" s="268"/>
      <x:c r="E408" s="268"/>
      <x:c r="F408" s="268"/>
      <x:c r="G408" s="268"/>
      <x:c r="H408" s="268"/>
      <x:c r="I408" s="268"/>
      <x:c r="J408" s="268"/>
      <x:c r="K408" s="268"/>
      <x:c r="L408" s="268"/>
      <x:c r="M408" s="268"/>
      <x:c r="N408" s="268"/>
      <x:c r="O408" s="268"/>
      <x:c r="P408" s="268"/>
      <x:c r="Q408" s="268"/>
      <x:c r="R408" s="268"/>
      <x:c r="S408" s="268"/>
      <x:c r="T408" s="268"/>
      <x:c r="U408" s="268"/>
      <x:c r="V408" s="268"/>
      <x:c r="W408" s="268"/>
      <x:c r="X408" s="268"/>
      <x:c r="Y408" s="268"/>
      <x:c r="Z408" s="268"/>
      <x:c r="AA408" s="268"/>
      <x:c r="AB408" s="268"/>
      <x:c r="AC408" s="268"/>
    </x:row>
    <x:row r="409">
      <x:c r="A409" s="268"/>
      <x:c r="B409" s="268"/>
      <x:c r="C409" s="268"/>
      <x:c r="D409" s="268"/>
      <x:c r="E409" s="268"/>
      <x:c r="F409" s="268"/>
      <x:c r="G409" s="268"/>
      <x:c r="H409" s="268"/>
      <x:c r="I409" s="268"/>
      <x:c r="J409" s="268"/>
      <x:c r="K409" s="268"/>
      <x:c r="L409" s="268"/>
      <x:c r="M409" s="268"/>
      <x:c r="N409" s="268"/>
      <x:c r="O409" s="268"/>
      <x:c r="P409" s="268"/>
      <x:c r="Q409" s="268"/>
      <x:c r="R409" s="268"/>
      <x:c r="S409" s="268"/>
      <x:c r="T409" s="268"/>
      <x:c r="U409" s="268"/>
      <x:c r="V409" s="268"/>
      <x:c r="W409" s="268"/>
      <x:c r="X409" s="268"/>
      <x:c r="Y409" s="268"/>
      <x:c r="Z409" s="268"/>
      <x:c r="AA409" s="268"/>
      <x:c r="AB409" s="268"/>
      <x:c r="AC409" s="268"/>
    </x:row>
    <x:row r="410">
      <x:c r="A410" s="268"/>
      <x:c r="B410" s="268"/>
      <x:c r="C410" s="268"/>
      <x:c r="D410" s="268"/>
      <x:c r="E410" s="268"/>
      <x:c r="F410" s="268"/>
      <x:c r="G410" s="268"/>
      <x:c r="H410" s="268"/>
      <x:c r="I410" s="268"/>
      <x:c r="J410" s="268"/>
      <x:c r="K410" s="268"/>
      <x:c r="L410" s="268"/>
      <x:c r="M410" s="268"/>
      <x:c r="N410" s="268"/>
      <x:c r="O410" s="268"/>
      <x:c r="P410" s="268"/>
      <x:c r="Q410" s="268"/>
      <x:c r="R410" s="268"/>
      <x:c r="S410" s="268"/>
      <x:c r="T410" s="268"/>
      <x:c r="U410" s="268"/>
      <x:c r="V410" s="268"/>
      <x:c r="W410" s="268"/>
      <x:c r="X410" s="268"/>
      <x:c r="Y410" s="268"/>
      <x:c r="Z410" s="268"/>
      <x:c r="AA410" s="268"/>
      <x:c r="AB410" s="268"/>
      <x:c r="AC410" s="268"/>
    </x:row>
    <x:row r="411">
      <x:c r="A411" s="268"/>
      <x:c r="B411" s="268"/>
      <x:c r="C411" s="268"/>
      <x:c r="D411" s="268"/>
      <x:c r="E411" s="268"/>
      <x:c r="F411" s="268"/>
      <x:c r="G411" s="268"/>
      <x:c r="H411" s="268"/>
      <x:c r="I411" s="268"/>
      <x:c r="J411" s="268"/>
      <x:c r="K411" s="268"/>
      <x:c r="L411" s="268"/>
      <x:c r="M411" s="268"/>
      <x:c r="N411" s="268"/>
      <x:c r="O411" s="268"/>
      <x:c r="P411" s="268"/>
      <x:c r="Q411" s="268"/>
      <x:c r="R411" s="268"/>
      <x:c r="S411" s="268"/>
      <x:c r="T411" s="268"/>
      <x:c r="U411" s="268"/>
      <x:c r="V411" s="268"/>
      <x:c r="W411" s="268"/>
      <x:c r="X411" s="268"/>
      <x:c r="Y411" s="268"/>
      <x:c r="Z411" s="268"/>
      <x:c r="AA411" s="268"/>
      <x:c r="AB411" s="268"/>
      <x:c r="AC411" s="268"/>
    </x:row>
    <x:row r="412">
      <x:c r="A412" s="268"/>
      <x:c r="B412" s="268"/>
      <x:c r="C412" s="268"/>
      <x:c r="D412" s="268"/>
      <x:c r="E412" s="268"/>
      <x:c r="F412" s="268"/>
      <x:c r="G412" s="268"/>
      <x:c r="H412" s="268"/>
      <x:c r="I412" s="268"/>
      <x:c r="J412" s="268"/>
      <x:c r="K412" s="268"/>
      <x:c r="L412" s="268"/>
      <x:c r="M412" s="268"/>
      <x:c r="N412" s="268"/>
      <x:c r="O412" s="268"/>
      <x:c r="P412" s="268"/>
      <x:c r="Q412" s="268"/>
      <x:c r="R412" s="268"/>
      <x:c r="S412" s="268"/>
      <x:c r="T412" s="268"/>
      <x:c r="U412" s="268"/>
      <x:c r="V412" s="268"/>
      <x:c r="W412" s="268"/>
      <x:c r="X412" s="268"/>
      <x:c r="Y412" s="268"/>
      <x:c r="Z412" s="268"/>
      <x:c r="AA412" s="268"/>
      <x:c r="AB412" s="268"/>
      <x:c r="AC412" s="268"/>
    </x:row>
    <x:row r="413">
      <x:c r="A413" s="268"/>
      <x:c r="B413" s="268"/>
      <x:c r="C413" s="268"/>
      <x:c r="D413" s="268"/>
      <x:c r="E413" s="268"/>
      <x:c r="F413" s="268"/>
      <x:c r="G413" s="268"/>
      <x:c r="H413" s="268"/>
      <x:c r="I413" s="268"/>
      <x:c r="J413" s="268"/>
      <x:c r="K413" s="268"/>
      <x:c r="L413" s="268"/>
      <x:c r="M413" s="268"/>
      <x:c r="N413" s="268"/>
      <x:c r="O413" s="268"/>
      <x:c r="P413" s="268"/>
      <x:c r="Q413" s="268"/>
      <x:c r="R413" s="268"/>
      <x:c r="S413" s="268"/>
      <x:c r="T413" s="268"/>
      <x:c r="U413" s="268"/>
      <x:c r="V413" s="268"/>
      <x:c r="W413" s="268"/>
      <x:c r="X413" s="268"/>
      <x:c r="Y413" s="268"/>
      <x:c r="Z413" s="268"/>
      <x:c r="AA413" s="268"/>
      <x:c r="AB413" s="268"/>
      <x:c r="AC413" s="268"/>
    </x:row>
    <x:row r="414">
      <x:c r="A414" s="268"/>
      <x:c r="B414" s="268"/>
      <x:c r="C414" s="268"/>
      <x:c r="D414" s="268"/>
      <x:c r="E414" s="268"/>
      <x:c r="F414" s="268"/>
      <x:c r="G414" s="268"/>
      <x:c r="H414" s="268"/>
      <x:c r="I414" s="268"/>
      <x:c r="J414" s="268"/>
      <x:c r="K414" s="268"/>
      <x:c r="L414" s="268"/>
      <x:c r="M414" s="268"/>
      <x:c r="N414" s="268"/>
      <x:c r="O414" s="268"/>
      <x:c r="P414" s="268"/>
      <x:c r="Q414" s="268"/>
      <x:c r="R414" s="268"/>
      <x:c r="S414" s="268"/>
      <x:c r="T414" s="268"/>
      <x:c r="U414" s="268"/>
      <x:c r="V414" s="268"/>
      <x:c r="W414" s="268"/>
      <x:c r="X414" s="268"/>
      <x:c r="Y414" s="268"/>
      <x:c r="Z414" s="268"/>
      <x:c r="AA414" s="268"/>
      <x:c r="AB414" s="268"/>
      <x:c r="AC414" s="268"/>
    </x:row>
    <x:row r="415">
      <x:c r="A415" s="268"/>
      <x:c r="B415" s="268"/>
      <x:c r="C415" s="268"/>
      <x:c r="D415" s="268"/>
      <x:c r="E415" s="268"/>
      <x:c r="F415" s="268"/>
      <x:c r="G415" s="268"/>
      <x:c r="H415" s="268"/>
      <x:c r="I415" s="268"/>
      <x:c r="J415" s="268"/>
      <x:c r="K415" s="268"/>
      <x:c r="L415" s="268"/>
      <x:c r="M415" s="268"/>
      <x:c r="N415" s="268"/>
      <x:c r="O415" s="268"/>
      <x:c r="P415" s="268"/>
      <x:c r="Q415" s="268"/>
      <x:c r="R415" s="268"/>
      <x:c r="S415" s="268"/>
      <x:c r="T415" s="268"/>
      <x:c r="U415" s="268"/>
      <x:c r="V415" s="268"/>
      <x:c r="W415" s="268"/>
      <x:c r="X415" s="268"/>
      <x:c r="Y415" s="268"/>
      <x:c r="Z415" s="268"/>
      <x:c r="AA415" s="268"/>
      <x:c r="AB415" s="268"/>
      <x:c r="AC415" s="268"/>
    </x:row>
    <x:row r="416">
      <x:c r="A416" s="268"/>
      <x:c r="B416" s="268"/>
      <x:c r="C416" s="268"/>
      <x:c r="D416" s="268"/>
      <x:c r="E416" s="268"/>
      <x:c r="F416" s="268"/>
      <x:c r="G416" s="268"/>
      <x:c r="H416" s="268"/>
      <x:c r="I416" s="268"/>
      <x:c r="J416" s="268"/>
      <x:c r="K416" s="268"/>
      <x:c r="L416" s="268"/>
      <x:c r="M416" s="268"/>
      <x:c r="N416" s="268"/>
      <x:c r="O416" s="268"/>
      <x:c r="P416" s="268"/>
      <x:c r="Q416" s="268"/>
      <x:c r="R416" s="268"/>
      <x:c r="S416" s="268"/>
      <x:c r="T416" s="268"/>
      <x:c r="U416" s="268"/>
      <x:c r="V416" s="268"/>
      <x:c r="W416" s="268"/>
      <x:c r="X416" s="268"/>
      <x:c r="Y416" s="268"/>
      <x:c r="Z416" s="268"/>
      <x:c r="AA416" s="268"/>
      <x:c r="AB416" s="268"/>
      <x:c r="AC416" s="268"/>
    </x:row>
    <x:row r="417">
      <x:c r="A417" s="268"/>
      <x:c r="B417" s="268"/>
      <x:c r="C417" s="268"/>
      <x:c r="D417" s="268"/>
      <x:c r="E417" s="268"/>
      <x:c r="F417" s="268"/>
      <x:c r="G417" s="268"/>
      <x:c r="H417" s="268"/>
      <x:c r="I417" s="268"/>
      <x:c r="J417" s="268"/>
      <x:c r="K417" s="268"/>
      <x:c r="L417" s="268"/>
      <x:c r="M417" s="268"/>
      <x:c r="N417" s="268"/>
      <x:c r="O417" s="268"/>
      <x:c r="P417" s="268"/>
      <x:c r="Q417" s="268"/>
      <x:c r="R417" s="268"/>
      <x:c r="S417" s="268"/>
      <x:c r="T417" s="268"/>
      <x:c r="U417" s="268"/>
      <x:c r="V417" s="268"/>
      <x:c r="W417" s="268"/>
      <x:c r="X417" s="268"/>
      <x:c r="Y417" s="268"/>
      <x:c r="Z417" s="268"/>
      <x:c r="AA417" s="268"/>
      <x:c r="AB417" s="268"/>
      <x:c r="AC417" s="268"/>
    </x:row>
    <x:row r="418">
      <x:c r="A418" s="268"/>
      <x:c r="B418" s="268"/>
      <x:c r="C418" s="268"/>
      <x:c r="D418" s="268"/>
      <x:c r="E418" s="268"/>
      <x:c r="F418" s="268"/>
      <x:c r="G418" s="268"/>
      <x:c r="H418" s="268"/>
      <x:c r="I418" s="268"/>
      <x:c r="J418" s="268"/>
      <x:c r="K418" s="268"/>
      <x:c r="L418" s="268"/>
      <x:c r="M418" s="268"/>
      <x:c r="N418" s="268"/>
      <x:c r="O418" s="268"/>
      <x:c r="P418" s="268"/>
      <x:c r="Q418" s="268"/>
      <x:c r="R418" s="268"/>
      <x:c r="S418" s="268"/>
      <x:c r="T418" s="268"/>
      <x:c r="U418" s="268"/>
      <x:c r="V418" s="268"/>
      <x:c r="W418" s="268"/>
      <x:c r="X418" s="268"/>
      <x:c r="Y418" s="268"/>
      <x:c r="Z418" s="268"/>
      <x:c r="AA418" s="268"/>
      <x:c r="AB418" s="268"/>
      <x:c r="AC418" s="268"/>
    </x:row>
    <x:row r="419">
      <x:c r="A419" s="268"/>
      <x:c r="B419" s="268"/>
      <x:c r="C419" s="268"/>
      <x:c r="D419" s="268"/>
      <x:c r="E419" s="268"/>
      <x:c r="F419" s="268"/>
      <x:c r="G419" s="268"/>
      <x:c r="H419" s="268"/>
      <x:c r="I419" s="268"/>
      <x:c r="J419" s="268"/>
      <x:c r="K419" s="268"/>
      <x:c r="L419" s="268"/>
      <x:c r="M419" s="268"/>
      <x:c r="N419" s="268"/>
      <x:c r="O419" s="268"/>
      <x:c r="P419" s="268"/>
      <x:c r="Q419" s="268"/>
      <x:c r="R419" s="268"/>
      <x:c r="S419" s="268"/>
      <x:c r="T419" s="268"/>
      <x:c r="U419" s="268"/>
      <x:c r="V419" s="268"/>
      <x:c r="W419" s="268"/>
      <x:c r="X419" s="268"/>
      <x:c r="Y419" s="268"/>
      <x:c r="Z419" s="268"/>
      <x:c r="AA419" s="268"/>
      <x:c r="AB419" s="268"/>
      <x:c r="AC419" s="268"/>
    </x:row>
    <x:row r="420">
      <x:c r="A420" s="268"/>
      <x:c r="B420" s="268"/>
      <x:c r="C420" s="268"/>
      <x:c r="D420" s="268"/>
      <x:c r="E420" s="268"/>
      <x:c r="F420" s="268"/>
      <x:c r="G420" s="268"/>
      <x:c r="H420" s="268"/>
      <x:c r="I420" s="268"/>
      <x:c r="J420" s="268"/>
      <x:c r="K420" s="268"/>
      <x:c r="L420" s="268"/>
      <x:c r="M420" s="268"/>
      <x:c r="N420" s="268"/>
      <x:c r="O420" s="268"/>
      <x:c r="P420" s="268"/>
      <x:c r="Q420" s="268"/>
      <x:c r="R420" s="268"/>
      <x:c r="S420" s="268"/>
      <x:c r="T420" s="268"/>
      <x:c r="U420" s="268"/>
      <x:c r="V420" s="268"/>
      <x:c r="W420" s="268"/>
      <x:c r="X420" s="268"/>
      <x:c r="Y420" s="268"/>
      <x:c r="Z420" s="268"/>
      <x:c r="AA420" s="268"/>
      <x:c r="AB420" s="268"/>
      <x:c r="AC420" s="268"/>
    </x:row>
    <x:row r="421">
      <x:c r="A421" s="268"/>
      <x:c r="B421" s="268"/>
      <x:c r="C421" s="268"/>
      <x:c r="D421" s="268"/>
      <x:c r="E421" s="268"/>
      <x:c r="F421" s="268"/>
      <x:c r="G421" s="268"/>
      <x:c r="H421" s="268"/>
      <x:c r="I421" s="268"/>
      <x:c r="J421" s="268"/>
      <x:c r="K421" s="268"/>
      <x:c r="L421" s="268"/>
      <x:c r="M421" s="268"/>
      <x:c r="N421" s="268"/>
      <x:c r="O421" s="268"/>
      <x:c r="P421" s="268"/>
      <x:c r="Q421" s="268"/>
      <x:c r="R421" s="268"/>
      <x:c r="S421" s="268"/>
      <x:c r="T421" s="268"/>
      <x:c r="U421" s="268"/>
      <x:c r="V421" s="268"/>
      <x:c r="W421" s="268"/>
      <x:c r="X421" s="268"/>
      <x:c r="Y421" s="268"/>
      <x:c r="Z421" s="268"/>
      <x:c r="AA421" s="268"/>
      <x:c r="AB421" s="268"/>
      <x:c r="AC421" s="268"/>
    </x:row>
    <x:row r="422">
      <x:c r="A422" s="268"/>
      <x:c r="B422" s="268"/>
      <x:c r="C422" s="268"/>
      <x:c r="D422" s="268"/>
      <x:c r="E422" s="268"/>
      <x:c r="F422" s="268"/>
      <x:c r="G422" s="268"/>
      <x:c r="H422" s="268"/>
      <x:c r="I422" s="268"/>
      <x:c r="J422" s="268"/>
      <x:c r="K422" s="268"/>
      <x:c r="L422" s="268"/>
      <x:c r="M422" s="268"/>
      <x:c r="N422" s="268"/>
      <x:c r="O422" s="268"/>
      <x:c r="P422" s="268"/>
      <x:c r="Q422" s="268"/>
      <x:c r="R422" s="268"/>
      <x:c r="S422" s="268"/>
      <x:c r="T422" s="268"/>
      <x:c r="U422" s="268"/>
      <x:c r="V422" s="268"/>
      <x:c r="W422" s="268"/>
      <x:c r="X422" s="268"/>
      <x:c r="Y422" s="268"/>
      <x:c r="Z422" s="268"/>
      <x:c r="AA422" s="268"/>
      <x:c r="AB422" s="268"/>
      <x:c r="AC422" s="268"/>
    </x:row>
    <x:row r="423">
      <x:c r="A423" s="268"/>
      <x:c r="B423" s="268"/>
      <x:c r="C423" s="268"/>
      <x:c r="D423" s="268"/>
      <x:c r="E423" s="268"/>
      <x:c r="F423" s="268"/>
      <x:c r="G423" s="268"/>
      <x:c r="H423" s="268"/>
      <x:c r="I423" s="268"/>
      <x:c r="J423" s="268"/>
      <x:c r="K423" s="268"/>
      <x:c r="L423" s="268"/>
      <x:c r="M423" s="268"/>
      <x:c r="N423" s="268"/>
      <x:c r="O423" s="268"/>
      <x:c r="P423" s="268"/>
      <x:c r="Q423" s="268"/>
      <x:c r="R423" s="268"/>
      <x:c r="S423" s="268"/>
      <x:c r="T423" s="268"/>
      <x:c r="U423" s="268"/>
      <x:c r="V423" s="268"/>
      <x:c r="W423" s="268"/>
      <x:c r="X423" s="268"/>
      <x:c r="Y423" s="268"/>
      <x:c r="Z423" s="268"/>
      <x:c r="AA423" s="268"/>
      <x:c r="AB423" s="268"/>
      <x:c r="AC423" s="268"/>
    </x:row>
    <x:row r="424">
      <x:c r="A424" s="268"/>
      <x:c r="B424" s="268"/>
      <x:c r="C424" s="268"/>
      <x:c r="D424" s="268"/>
      <x:c r="E424" s="268"/>
      <x:c r="F424" s="268"/>
      <x:c r="G424" s="268"/>
      <x:c r="H424" s="268"/>
      <x:c r="I424" s="268"/>
      <x:c r="J424" s="268"/>
      <x:c r="K424" s="268"/>
      <x:c r="L424" s="268"/>
      <x:c r="M424" s="268"/>
      <x:c r="N424" s="268"/>
      <x:c r="O424" s="268"/>
      <x:c r="P424" s="268"/>
      <x:c r="Q424" s="268"/>
      <x:c r="R424" s="268"/>
      <x:c r="S424" s="268"/>
      <x:c r="T424" s="268"/>
      <x:c r="U424" s="268"/>
      <x:c r="V424" s="268"/>
      <x:c r="W424" s="268"/>
      <x:c r="X424" s="268"/>
      <x:c r="Y424" s="268"/>
      <x:c r="Z424" s="268"/>
      <x:c r="AA424" s="268"/>
      <x:c r="AB424" s="268"/>
      <x:c r="AC424" s="268"/>
    </x:row>
    <x:row r="425">
      <x:c r="A425" s="268"/>
      <x:c r="B425" s="268"/>
      <x:c r="C425" s="268"/>
      <x:c r="D425" s="268"/>
      <x:c r="E425" s="268"/>
      <x:c r="F425" s="268"/>
      <x:c r="G425" s="268"/>
      <x:c r="H425" s="268"/>
      <x:c r="I425" s="268"/>
      <x:c r="J425" s="268"/>
      <x:c r="K425" s="268"/>
      <x:c r="L425" s="268"/>
      <x:c r="M425" s="268"/>
      <x:c r="N425" s="268"/>
      <x:c r="O425" s="268"/>
      <x:c r="P425" s="268"/>
      <x:c r="Q425" s="268"/>
      <x:c r="R425" s="268"/>
      <x:c r="S425" s="268"/>
      <x:c r="T425" s="268"/>
      <x:c r="U425" s="268"/>
      <x:c r="V425" s="268"/>
      <x:c r="W425" s="268"/>
      <x:c r="X425" s="268"/>
      <x:c r="Y425" s="268"/>
      <x:c r="Z425" s="268"/>
      <x:c r="AA425" s="268"/>
      <x:c r="AB425" s="268"/>
      <x:c r="AC425" s="268"/>
    </x:row>
    <x:row r="426">
      <x:c r="A426" s="268"/>
      <x:c r="B426" s="268"/>
      <x:c r="C426" s="268"/>
      <x:c r="D426" s="268"/>
      <x:c r="E426" s="268"/>
      <x:c r="F426" s="268"/>
      <x:c r="G426" s="268"/>
      <x:c r="H426" s="268"/>
      <x:c r="I426" s="268"/>
      <x:c r="J426" s="268"/>
      <x:c r="K426" s="268"/>
      <x:c r="L426" s="268"/>
      <x:c r="M426" s="268"/>
      <x:c r="N426" s="268"/>
      <x:c r="O426" s="268"/>
      <x:c r="P426" s="268"/>
      <x:c r="Q426" s="268"/>
      <x:c r="R426" s="268"/>
      <x:c r="S426" s="268"/>
      <x:c r="T426" s="268"/>
      <x:c r="U426" s="268"/>
      <x:c r="V426" s="268"/>
      <x:c r="W426" s="268"/>
      <x:c r="X426" s="268"/>
      <x:c r="Y426" s="268"/>
      <x:c r="Z426" s="268"/>
      <x:c r="AA426" s="268"/>
      <x:c r="AB426" s="268"/>
      <x:c r="AC426" s="268"/>
    </x:row>
    <x:row r="427">
      <x:c r="A427" s="268"/>
      <x:c r="B427" s="268"/>
      <x:c r="C427" s="268"/>
      <x:c r="D427" s="268"/>
      <x:c r="E427" s="268"/>
      <x:c r="F427" s="268"/>
      <x:c r="G427" s="268"/>
      <x:c r="H427" s="268"/>
      <x:c r="I427" s="268"/>
      <x:c r="J427" s="268"/>
      <x:c r="K427" s="268"/>
      <x:c r="L427" s="268"/>
      <x:c r="M427" s="268"/>
      <x:c r="N427" s="268"/>
      <x:c r="O427" s="268"/>
      <x:c r="P427" s="268"/>
      <x:c r="Q427" s="268"/>
      <x:c r="R427" s="268"/>
      <x:c r="S427" s="268"/>
      <x:c r="T427" s="268"/>
      <x:c r="U427" s="268"/>
      <x:c r="V427" s="268"/>
      <x:c r="W427" s="268"/>
      <x:c r="X427" s="268"/>
      <x:c r="Y427" s="268"/>
      <x:c r="Z427" s="268"/>
      <x:c r="AA427" s="268"/>
      <x:c r="AB427" s="268"/>
      <x:c r="AC427" s="268"/>
    </x:row>
    <x:row r="428">
      <x:c r="A428" s="268"/>
      <x:c r="B428" s="268"/>
      <x:c r="C428" s="268"/>
      <x:c r="D428" s="268"/>
      <x:c r="E428" s="268"/>
      <x:c r="F428" s="268"/>
      <x:c r="G428" s="268"/>
      <x:c r="H428" s="268"/>
      <x:c r="I428" s="268"/>
      <x:c r="J428" s="268"/>
      <x:c r="K428" s="268"/>
      <x:c r="L428" s="268"/>
      <x:c r="M428" s="268"/>
      <x:c r="N428" s="268"/>
      <x:c r="O428" s="268"/>
      <x:c r="P428" s="268"/>
      <x:c r="Q428" s="268"/>
      <x:c r="R428" s="268"/>
      <x:c r="S428" s="268"/>
      <x:c r="T428" s="268"/>
      <x:c r="U428" s="268"/>
      <x:c r="V428" s="268"/>
      <x:c r="W428" s="268"/>
      <x:c r="X428" s="268"/>
      <x:c r="Y428" s="268"/>
      <x:c r="Z428" s="268"/>
      <x:c r="AA428" s="268"/>
      <x:c r="AB428" s="268"/>
      <x:c r="AC428" s="268"/>
    </x:row>
    <x:row r="429">
      <x:c r="A429" s="268"/>
      <x:c r="B429" s="268"/>
      <x:c r="C429" s="268"/>
      <x:c r="D429" s="268"/>
      <x:c r="E429" s="268"/>
      <x:c r="F429" s="268"/>
      <x:c r="G429" s="268"/>
      <x:c r="H429" s="268"/>
      <x:c r="I429" s="268"/>
      <x:c r="J429" s="268"/>
      <x:c r="K429" s="268"/>
      <x:c r="L429" s="268"/>
      <x:c r="M429" s="268"/>
      <x:c r="N429" s="268"/>
      <x:c r="O429" s="268"/>
      <x:c r="P429" s="268"/>
      <x:c r="Q429" s="268"/>
      <x:c r="R429" s="268"/>
      <x:c r="S429" s="268"/>
      <x:c r="T429" s="268"/>
      <x:c r="U429" s="268"/>
      <x:c r="V429" s="268"/>
      <x:c r="W429" s="268"/>
      <x:c r="X429" s="268"/>
      <x:c r="Y429" s="268"/>
      <x:c r="Z429" s="268"/>
      <x:c r="AA429" s="268"/>
      <x:c r="AB429" s="268"/>
      <x:c r="AC429" s="268"/>
    </x:row>
    <x:row r="430">
      <x:c r="A430" s="268"/>
      <x:c r="B430" s="268"/>
      <x:c r="C430" s="268"/>
      <x:c r="D430" s="268"/>
      <x:c r="E430" s="268"/>
      <x:c r="F430" s="268"/>
      <x:c r="G430" s="268"/>
      <x:c r="H430" s="268"/>
      <x:c r="I430" s="268"/>
      <x:c r="J430" s="268"/>
      <x:c r="K430" s="268"/>
      <x:c r="L430" s="268"/>
      <x:c r="M430" s="268"/>
      <x:c r="N430" s="268"/>
      <x:c r="O430" s="268"/>
      <x:c r="P430" s="268"/>
      <x:c r="Q430" s="268"/>
      <x:c r="R430" s="268"/>
      <x:c r="S430" s="268"/>
      <x:c r="T430" s="268"/>
      <x:c r="U430" s="268"/>
      <x:c r="V430" s="268"/>
      <x:c r="W430" s="268"/>
      <x:c r="X430" s="268"/>
      <x:c r="Y430" s="268"/>
      <x:c r="Z430" s="268"/>
      <x:c r="AA430" s="268"/>
      <x:c r="AB430" s="268"/>
      <x:c r="AC430" s="268"/>
    </x:row>
    <x:row r="431">
      <x:c r="A431" s="268"/>
      <x:c r="B431" s="268"/>
      <x:c r="C431" s="268"/>
      <x:c r="D431" s="268"/>
      <x:c r="E431" s="268"/>
      <x:c r="F431" s="268"/>
      <x:c r="G431" s="268"/>
      <x:c r="H431" s="268"/>
      <x:c r="I431" s="268"/>
      <x:c r="J431" s="268"/>
      <x:c r="K431" s="268"/>
      <x:c r="L431" s="268"/>
      <x:c r="M431" s="268"/>
      <x:c r="N431" s="268"/>
      <x:c r="O431" s="268"/>
      <x:c r="P431" s="268"/>
      <x:c r="Q431" s="268"/>
      <x:c r="R431" s="268"/>
      <x:c r="S431" s="268"/>
      <x:c r="T431" s="268"/>
      <x:c r="U431" s="268"/>
      <x:c r="V431" s="268"/>
      <x:c r="W431" s="268"/>
      <x:c r="X431" s="268"/>
      <x:c r="Y431" s="268"/>
      <x:c r="Z431" s="268"/>
      <x:c r="AA431" s="268"/>
      <x:c r="AB431" s="268"/>
      <x:c r="AC431" s="268"/>
    </x:row>
    <x:row r="432">
      <x:c r="A432" s="268"/>
      <x:c r="B432" s="268"/>
      <x:c r="C432" s="268"/>
      <x:c r="D432" s="268"/>
      <x:c r="E432" s="268"/>
      <x:c r="F432" s="268"/>
      <x:c r="G432" s="268"/>
      <x:c r="H432" s="268"/>
      <x:c r="I432" s="268"/>
      <x:c r="J432" s="268"/>
      <x:c r="K432" s="268"/>
      <x:c r="L432" s="268"/>
      <x:c r="M432" s="268"/>
      <x:c r="N432" s="268"/>
      <x:c r="O432" s="268"/>
      <x:c r="P432" s="268"/>
      <x:c r="Q432" s="268"/>
      <x:c r="R432" s="268"/>
      <x:c r="S432" s="268"/>
      <x:c r="T432" s="268"/>
      <x:c r="U432" s="268"/>
      <x:c r="V432" s="268"/>
      <x:c r="W432" s="268"/>
      <x:c r="X432" s="268"/>
      <x:c r="Y432" s="268"/>
      <x:c r="Z432" s="268"/>
      <x:c r="AA432" s="268"/>
      <x:c r="AB432" s="268"/>
      <x:c r="AC432" s="268"/>
    </x:row>
    <x:row r="433">
      <x:c r="A433" s="268"/>
      <x:c r="B433" s="268"/>
      <x:c r="C433" s="268"/>
      <x:c r="D433" s="268"/>
      <x:c r="E433" s="268"/>
      <x:c r="F433" s="268"/>
      <x:c r="G433" s="268"/>
      <x:c r="H433" s="268"/>
      <x:c r="I433" s="268"/>
      <x:c r="J433" s="268"/>
      <x:c r="K433" s="268"/>
      <x:c r="L433" s="268"/>
      <x:c r="M433" s="268"/>
      <x:c r="N433" s="268"/>
      <x:c r="O433" s="268"/>
      <x:c r="P433" s="268"/>
      <x:c r="Q433" s="268"/>
      <x:c r="R433" s="268"/>
      <x:c r="S433" s="268"/>
      <x:c r="T433" s="268"/>
      <x:c r="U433" s="268"/>
      <x:c r="V433" s="268"/>
      <x:c r="W433" s="268"/>
      <x:c r="X433" s="268"/>
      <x:c r="Y433" s="268"/>
      <x:c r="Z433" s="268"/>
      <x:c r="AA433" s="268"/>
      <x:c r="AB433" s="268"/>
      <x:c r="AC433" s="268"/>
    </x:row>
    <x:row r="434">
      <x:c r="A434" s="268"/>
      <x:c r="B434" s="268"/>
      <x:c r="C434" s="268"/>
      <x:c r="D434" s="268"/>
      <x:c r="E434" s="268"/>
      <x:c r="F434" s="268"/>
      <x:c r="G434" s="268"/>
      <x:c r="H434" s="268"/>
      <x:c r="I434" s="268"/>
      <x:c r="J434" s="268"/>
      <x:c r="K434" s="268"/>
      <x:c r="L434" s="268"/>
      <x:c r="M434" s="268"/>
      <x:c r="N434" s="268"/>
      <x:c r="O434" s="268"/>
      <x:c r="P434" s="268"/>
      <x:c r="Q434" s="268"/>
      <x:c r="R434" s="268"/>
      <x:c r="S434" s="268"/>
      <x:c r="T434" s="268"/>
      <x:c r="U434" s="268"/>
      <x:c r="V434" s="268"/>
      <x:c r="W434" s="268"/>
      <x:c r="X434" s="268"/>
      <x:c r="Y434" s="268"/>
      <x:c r="Z434" s="268"/>
      <x:c r="AA434" s="268"/>
      <x:c r="AB434" s="268"/>
      <x:c r="AC434" s="268"/>
    </x:row>
    <x:row r="435">
      <x:c r="A435" s="268"/>
      <x:c r="B435" s="268"/>
      <x:c r="C435" s="268"/>
      <x:c r="D435" s="268"/>
      <x:c r="E435" s="268"/>
      <x:c r="F435" s="268"/>
      <x:c r="G435" s="268"/>
      <x:c r="H435" s="268"/>
      <x:c r="I435" s="268"/>
      <x:c r="J435" s="268"/>
      <x:c r="K435" s="268"/>
      <x:c r="L435" s="268"/>
      <x:c r="M435" s="268"/>
      <x:c r="N435" s="268"/>
      <x:c r="O435" s="268"/>
      <x:c r="P435" s="268"/>
      <x:c r="Q435" s="268"/>
      <x:c r="R435" s="268"/>
      <x:c r="S435" s="268"/>
      <x:c r="T435" s="268"/>
      <x:c r="U435" s="268"/>
      <x:c r="V435" s="268"/>
      <x:c r="W435" s="268"/>
      <x:c r="X435" s="268"/>
      <x:c r="Y435" s="268"/>
      <x:c r="Z435" s="268"/>
      <x:c r="AA435" s="268"/>
      <x:c r="AB435" s="268"/>
      <x:c r="AC435" s="268"/>
    </x:row>
    <x:row r="436">
      <x:c r="A436" s="268"/>
      <x:c r="B436" s="268"/>
      <x:c r="C436" s="268"/>
      <x:c r="D436" s="268"/>
      <x:c r="E436" s="268"/>
      <x:c r="F436" s="268"/>
      <x:c r="G436" s="268"/>
      <x:c r="H436" s="268"/>
      <x:c r="I436" s="268"/>
      <x:c r="J436" s="268"/>
      <x:c r="K436" s="268"/>
      <x:c r="L436" s="268"/>
      <x:c r="M436" s="268"/>
      <x:c r="N436" s="268"/>
      <x:c r="O436" s="268"/>
      <x:c r="P436" s="268"/>
      <x:c r="Q436" s="268"/>
      <x:c r="R436" s="268"/>
      <x:c r="S436" s="268"/>
      <x:c r="T436" s="268"/>
      <x:c r="U436" s="268"/>
      <x:c r="V436" s="268"/>
      <x:c r="W436" s="268"/>
      <x:c r="X436" s="268"/>
      <x:c r="Y436" s="268"/>
      <x:c r="Z436" s="268"/>
      <x:c r="AA436" s="268"/>
      <x:c r="AB436" s="268"/>
      <x:c r="AC436" s="268"/>
    </x:row>
    <x:row r="437">
      <x:c r="A437" s="268"/>
      <x:c r="B437" s="268"/>
      <x:c r="C437" s="268"/>
      <x:c r="D437" s="268"/>
      <x:c r="E437" s="268"/>
      <x:c r="F437" s="268"/>
      <x:c r="G437" s="268"/>
      <x:c r="H437" s="268"/>
      <x:c r="I437" s="268"/>
      <x:c r="J437" s="268"/>
      <x:c r="K437" s="268"/>
      <x:c r="L437" s="268"/>
      <x:c r="M437" s="268"/>
      <x:c r="N437" s="268"/>
      <x:c r="O437" s="268"/>
      <x:c r="P437" s="268"/>
      <x:c r="Q437" s="268"/>
      <x:c r="R437" s="268"/>
      <x:c r="S437" s="268"/>
      <x:c r="T437" s="268"/>
      <x:c r="U437" s="268"/>
      <x:c r="V437" s="268"/>
      <x:c r="W437" s="268"/>
      <x:c r="X437" s="268"/>
      <x:c r="Y437" s="268"/>
      <x:c r="Z437" s="268"/>
      <x:c r="AA437" s="268"/>
      <x:c r="AB437" s="268"/>
      <x:c r="AC437" s="268"/>
    </x:row>
    <x:row r="438">
      <x:c r="A438" s="268"/>
      <x:c r="B438" s="268"/>
      <x:c r="C438" s="268"/>
      <x:c r="D438" s="268"/>
      <x:c r="E438" s="268"/>
      <x:c r="F438" s="268"/>
      <x:c r="G438" s="268"/>
      <x:c r="H438" s="268"/>
      <x:c r="I438" s="268"/>
      <x:c r="J438" s="268"/>
      <x:c r="K438" s="268"/>
      <x:c r="L438" s="268"/>
      <x:c r="M438" s="268"/>
      <x:c r="N438" s="268"/>
      <x:c r="O438" s="268"/>
      <x:c r="P438" s="268"/>
      <x:c r="Q438" s="268"/>
      <x:c r="R438" s="268"/>
      <x:c r="S438" s="268"/>
      <x:c r="T438" s="268"/>
      <x:c r="U438" s="268"/>
      <x:c r="V438" s="268"/>
      <x:c r="W438" s="268"/>
      <x:c r="X438" s="268"/>
      <x:c r="Y438" s="268"/>
      <x:c r="Z438" s="268"/>
      <x:c r="AA438" s="268"/>
      <x:c r="AB438" s="268"/>
      <x:c r="AC438" s="268"/>
    </x:row>
    <x:row r="439">
      <x:c r="A439" s="268"/>
      <x:c r="B439" s="268"/>
      <x:c r="C439" s="268"/>
      <x:c r="D439" s="268"/>
      <x:c r="E439" s="268"/>
      <x:c r="F439" s="268"/>
      <x:c r="G439" s="268"/>
      <x:c r="H439" s="268"/>
      <x:c r="I439" s="268"/>
      <x:c r="J439" s="268"/>
      <x:c r="K439" s="268"/>
      <x:c r="L439" s="268"/>
      <x:c r="M439" s="268"/>
      <x:c r="N439" s="268"/>
      <x:c r="O439" s="268"/>
      <x:c r="P439" s="268"/>
      <x:c r="Q439" s="268"/>
      <x:c r="R439" s="268"/>
      <x:c r="S439" s="268"/>
      <x:c r="T439" s="268"/>
      <x:c r="U439" s="268"/>
      <x:c r="V439" s="268"/>
      <x:c r="W439" s="268"/>
      <x:c r="X439" s="268"/>
      <x:c r="Y439" s="268"/>
      <x:c r="Z439" s="268"/>
      <x:c r="AA439" s="268"/>
      <x:c r="AB439" s="268"/>
      <x:c r="AC439" s="268"/>
    </x:row>
    <x:row r="440">
      <x:c r="A440" s="268"/>
      <x:c r="B440" s="268"/>
      <x:c r="C440" s="268"/>
      <x:c r="D440" s="268"/>
      <x:c r="E440" s="268"/>
      <x:c r="F440" s="268"/>
      <x:c r="G440" s="268"/>
      <x:c r="H440" s="268"/>
      <x:c r="I440" s="268"/>
      <x:c r="J440" s="268"/>
      <x:c r="K440" s="268"/>
      <x:c r="L440" s="268"/>
      <x:c r="M440" s="268"/>
      <x:c r="N440" s="268"/>
      <x:c r="O440" s="268"/>
      <x:c r="P440" s="268"/>
      <x:c r="Q440" s="268"/>
      <x:c r="R440" s="268"/>
      <x:c r="S440" s="268"/>
      <x:c r="T440" s="268"/>
      <x:c r="U440" s="268"/>
      <x:c r="V440" s="268"/>
      <x:c r="W440" s="268"/>
      <x:c r="X440" s="268"/>
      <x:c r="Y440" s="268"/>
      <x:c r="Z440" s="268"/>
      <x:c r="AA440" s="268"/>
      <x:c r="AB440" s="268"/>
      <x:c r="AC440" s="268"/>
    </x:row>
    <x:row r="441">
      <x:c r="A441" s="268"/>
      <x:c r="B441" s="268"/>
      <x:c r="C441" s="268"/>
      <x:c r="D441" s="268"/>
      <x:c r="E441" s="268"/>
      <x:c r="F441" s="268"/>
      <x:c r="G441" s="268"/>
      <x:c r="H441" s="268"/>
      <x:c r="I441" s="268"/>
      <x:c r="J441" s="268"/>
      <x:c r="K441" s="268"/>
      <x:c r="L441" s="268"/>
      <x:c r="M441" s="268"/>
      <x:c r="N441" s="268"/>
      <x:c r="O441" s="268"/>
      <x:c r="P441" s="268"/>
      <x:c r="Q441" s="268"/>
      <x:c r="R441" s="268"/>
      <x:c r="S441" s="268"/>
      <x:c r="T441" s="268"/>
      <x:c r="U441" s="268"/>
      <x:c r="V441" s="268"/>
      <x:c r="W441" s="268"/>
      <x:c r="X441" s="268"/>
      <x:c r="Y441" s="268"/>
      <x:c r="Z441" s="268"/>
      <x:c r="AA441" s="268"/>
      <x:c r="AB441" s="268"/>
      <x:c r="AC441" s="268"/>
    </x:row>
    <x:row r="442">
      <x:c r="A442" s="268"/>
      <x:c r="B442" s="268"/>
      <x:c r="C442" s="268"/>
      <x:c r="D442" s="268"/>
      <x:c r="E442" s="268"/>
      <x:c r="F442" s="268"/>
      <x:c r="G442" s="268"/>
      <x:c r="H442" s="268"/>
      <x:c r="I442" s="268"/>
      <x:c r="J442" s="268"/>
      <x:c r="K442" s="268"/>
      <x:c r="L442" s="268"/>
      <x:c r="M442" s="268"/>
      <x:c r="N442" s="268"/>
      <x:c r="O442" s="268"/>
      <x:c r="P442" s="268"/>
      <x:c r="Q442" s="268"/>
      <x:c r="R442" s="268"/>
      <x:c r="S442" s="268"/>
      <x:c r="T442" s="268"/>
      <x:c r="U442" s="268"/>
      <x:c r="V442" s="268"/>
      <x:c r="W442" s="268"/>
      <x:c r="X442" s="268"/>
      <x:c r="Y442" s="268"/>
      <x:c r="Z442" s="268"/>
      <x:c r="AA442" s="268"/>
      <x:c r="AB442" s="268"/>
      <x:c r="AC442" s="268"/>
    </x:row>
    <x:row r="443">
      <x:c r="A443" s="268"/>
      <x:c r="B443" s="268"/>
      <x:c r="C443" s="268"/>
      <x:c r="D443" s="268"/>
      <x:c r="E443" s="268"/>
      <x:c r="F443" s="268"/>
      <x:c r="G443" s="268"/>
      <x:c r="H443" s="268"/>
      <x:c r="I443" s="268"/>
      <x:c r="J443" s="268"/>
      <x:c r="K443" s="268"/>
      <x:c r="L443" s="268"/>
      <x:c r="M443" s="268"/>
      <x:c r="N443" s="268"/>
      <x:c r="O443" s="268"/>
      <x:c r="P443" s="268"/>
      <x:c r="Q443" s="268"/>
      <x:c r="R443" s="268"/>
      <x:c r="S443" s="268"/>
      <x:c r="T443" s="268"/>
      <x:c r="U443" s="268"/>
      <x:c r="V443" s="268"/>
      <x:c r="W443" s="268"/>
      <x:c r="X443" s="268"/>
      <x:c r="Y443" s="268"/>
      <x:c r="Z443" s="268"/>
      <x:c r="AA443" s="268"/>
      <x:c r="AB443" s="268"/>
      <x:c r="AC443" s="268"/>
    </x:row>
    <x:row r="444">
      <x:c r="A444" s="268"/>
      <x:c r="B444" s="268"/>
      <x:c r="C444" s="268"/>
      <x:c r="D444" s="268"/>
      <x:c r="E444" s="268"/>
      <x:c r="F444" s="268"/>
      <x:c r="G444" s="268"/>
      <x:c r="H444" s="268"/>
      <x:c r="I444" s="268"/>
      <x:c r="J444" s="268"/>
      <x:c r="K444" s="268"/>
      <x:c r="L444" s="268"/>
      <x:c r="M444" s="268"/>
      <x:c r="N444" s="268"/>
      <x:c r="O444" s="268"/>
      <x:c r="P444" s="268"/>
      <x:c r="Q444" s="268"/>
      <x:c r="R444" s="268"/>
      <x:c r="S444" s="268"/>
      <x:c r="T444" s="268"/>
      <x:c r="U444" s="268"/>
      <x:c r="V444" s="268"/>
      <x:c r="W444" s="268"/>
      <x:c r="X444" s="268"/>
      <x:c r="Y444" s="268"/>
      <x:c r="Z444" s="268"/>
      <x:c r="AA444" s="268"/>
      <x:c r="AB444" s="268"/>
      <x:c r="AC444" s="268"/>
    </x:row>
    <x:row r="445">
      <x:c r="A445" s="268"/>
      <x:c r="B445" s="268"/>
      <x:c r="C445" s="268"/>
      <x:c r="D445" s="268"/>
      <x:c r="E445" s="268"/>
      <x:c r="F445" s="268"/>
      <x:c r="G445" s="268"/>
      <x:c r="H445" s="268"/>
      <x:c r="I445" s="268"/>
      <x:c r="J445" s="268"/>
      <x:c r="K445" s="268"/>
      <x:c r="L445" s="268"/>
      <x:c r="M445" s="268"/>
      <x:c r="N445" s="268"/>
      <x:c r="O445" s="268"/>
      <x:c r="P445" s="268"/>
      <x:c r="Q445" s="268"/>
      <x:c r="R445" s="268"/>
      <x:c r="S445" s="268"/>
      <x:c r="T445" s="268"/>
      <x:c r="U445" s="268"/>
      <x:c r="V445" s="268"/>
      <x:c r="W445" s="268"/>
      <x:c r="X445" s="268"/>
      <x:c r="Y445" s="268"/>
      <x:c r="Z445" s="268"/>
      <x:c r="AA445" s="268"/>
      <x:c r="AB445" s="268"/>
      <x:c r="AC445" s="268"/>
    </x:row>
    <x:row r="446">
      <x:c r="A446" s="268"/>
      <x:c r="B446" s="268"/>
      <x:c r="C446" s="268"/>
      <x:c r="D446" s="268"/>
      <x:c r="E446" s="268"/>
      <x:c r="F446" s="268"/>
      <x:c r="G446" s="268"/>
      <x:c r="H446" s="268"/>
      <x:c r="I446" s="268"/>
      <x:c r="J446" s="268"/>
      <x:c r="K446" s="268"/>
      <x:c r="L446" s="268"/>
      <x:c r="M446" s="268"/>
      <x:c r="N446" s="268"/>
      <x:c r="O446" s="268"/>
      <x:c r="P446" s="268"/>
      <x:c r="Q446" s="268"/>
      <x:c r="R446" s="268"/>
      <x:c r="S446" s="268"/>
      <x:c r="T446" s="268"/>
      <x:c r="U446" s="268"/>
      <x:c r="V446" s="268"/>
      <x:c r="W446" s="268"/>
      <x:c r="X446" s="268"/>
      <x:c r="Y446" s="268"/>
      <x:c r="Z446" s="268"/>
      <x:c r="AA446" s="268"/>
      <x:c r="AB446" s="268"/>
      <x:c r="AC446" s="268"/>
    </x:row>
    <x:row r="447">
      <x:c r="A447" s="268"/>
      <x:c r="B447" s="268"/>
      <x:c r="C447" s="268"/>
      <x:c r="D447" s="268"/>
      <x:c r="E447" s="268"/>
      <x:c r="F447" s="268"/>
      <x:c r="G447" s="268"/>
      <x:c r="H447" s="268"/>
      <x:c r="I447" s="268"/>
      <x:c r="J447" s="268"/>
      <x:c r="K447" s="268"/>
      <x:c r="L447" s="268"/>
      <x:c r="M447" s="268"/>
      <x:c r="N447" s="268"/>
      <x:c r="O447" s="268"/>
      <x:c r="P447" s="268"/>
      <x:c r="Q447" s="268"/>
      <x:c r="R447" s="268"/>
      <x:c r="S447" s="268"/>
      <x:c r="T447" s="268"/>
      <x:c r="U447" s="268"/>
      <x:c r="V447" s="268"/>
      <x:c r="W447" s="268"/>
      <x:c r="X447" s="268"/>
      <x:c r="Y447" s="268"/>
      <x:c r="Z447" s="268"/>
      <x:c r="AA447" s="268"/>
      <x:c r="AB447" s="268"/>
      <x:c r="AC447" s="268"/>
    </x:row>
    <x:row r="448">
      <x:c r="A448" s="268"/>
      <x:c r="B448" s="268"/>
      <x:c r="C448" s="268"/>
      <x:c r="D448" s="268"/>
      <x:c r="E448" s="268"/>
      <x:c r="F448" s="268"/>
      <x:c r="G448" s="268"/>
      <x:c r="H448" s="268"/>
      <x:c r="I448" s="268"/>
      <x:c r="J448" s="268"/>
      <x:c r="K448" s="268"/>
      <x:c r="L448" s="268"/>
      <x:c r="M448" s="268"/>
      <x:c r="N448" s="268"/>
      <x:c r="O448" s="268"/>
      <x:c r="P448" s="268"/>
      <x:c r="Q448" s="268"/>
      <x:c r="R448" s="268"/>
      <x:c r="S448" s="268"/>
      <x:c r="T448" s="268"/>
      <x:c r="U448" s="268"/>
      <x:c r="V448" s="268"/>
      <x:c r="W448" s="268"/>
      <x:c r="X448" s="268"/>
      <x:c r="Y448" s="268"/>
      <x:c r="Z448" s="268"/>
      <x:c r="AA448" s="268"/>
      <x:c r="AB448" s="268"/>
      <x:c r="AC448" s="268"/>
    </x:row>
    <x:row r="449">
      <x:c r="A449" s="268"/>
      <x:c r="B449" s="268"/>
      <x:c r="C449" s="268"/>
      <x:c r="D449" s="268"/>
      <x:c r="E449" s="268"/>
      <x:c r="F449" s="268"/>
      <x:c r="G449" s="268"/>
      <x:c r="H449" s="268"/>
      <x:c r="I449" s="268"/>
      <x:c r="J449" s="268"/>
      <x:c r="K449" s="268"/>
      <x:c r="L449" s="268"/>
      <x:c r="M449" s="268"/>
      <x:c r="N449" s="268"/>
      <x:c r="O449" s="268"/>
      <x:c r="P449" s="268"/>
      <x:c r="Q449" s="268"/>
      <x:c r="R449" s="268"/>
      <x:c r="S449" s="268"/>
      <x:c r="T449" s="268"/>
      <x:c r="U449" s="268"/>
      <x:c r="V449" s="268"/>
      <x:c r="W449" s="268"/>
      <x:c r="X449" s="268"/>
      <x:c r="Y449" s="268"/>
      <x:c r="Z449" s="268"/>
      <x:c r="AA449" s="268"/>
      <x:c r="AB449" s="268"/>
      <x:c r="AC449" s="268"/>
    </x:row>
    <x:row r="450">
      <x:c r="A450" s="268"/>
      <x:c r="B450" s="268"/>
      <x:c r="C450" s="268"/>
      <x:c r="D450" s="268"/>
      <x:c r="E450" s="268"/>
      <x:c r="F450" s="268"/>
      <x:c r="G450" s="268"/>
      <x:c r="H450" s="268"/>
      <x:c r="I450" s="268"/>
      <x:c r="J450" s="268"/>
      <x:c r="K450" s="268"/>
      <x:c r="L450" s="268"/>
      <x:c r="M450" s="268"/>
      <x:c r="N450" s="268"/>
      <x:c r="O450" s="268"/>
      <x:c r="P450" s="268"/>
      <x:c r="Q450" s="268"/>
      <x:c r="R450" s="268"/>
      <x:c r="S450" s="268"/>
      <x:c r="T450" s="268"/>
      <x:c r="U450" s="268"/>
      <x:c r="V450" s="268"/>
      <x:c r="W450" s="268"/>
      <x:c r="X450" s="268"/>
      <x:c r="Y450" s="268"/>
      <x:c r="Z450" s="268"/>
      <x:c r="AA450" s="268"/>
      <x:c r="AB450" s="268"/>
      <x:c r="AC450" s="268"/>
    </x:row>
    <x:row r="451">
      <x:c r="A451" s="268"/>
      <x:c r="B451" s="268"/>
      <x:c r="C451" s="268"/>
      <x:c r="D451" s="268"/>
      <x:c r="E451" s="268"/>
      <x:c r="F451" s="268"/>
      <x:c r="G451" s="268"/>
      <x:c r="H451" s="268"/>
      <x:c r="I451" s="268"/>
      <x:c r="J451" s="268"/>
      <x:c r="K451" s="268"/>
      <x:c r="L451" s="268"/>
      <x:c r="M451" s="268"/>
      <x:c r="N451" s="268"/>
      <x:c r="O451" s="268"/>
      <x:c r="P451" s="268"/>
      <x:c r="Q451" s="268"/>
      <x:c r="R451" s="268"/>
      <x:c r="S451" s="268"/>
      <x:c r="T451" s="268"/>
      <x:c r="U451" s="268"/>
      <x:c r="V451" s="268"/>
      <x:c r="W451" s="268"/>
      <x:c r="X451" s="268"/>
      <x:c r="Y451" s="268"/>
      <x:c r="Z451" s="268"/>
      <x:c r="AA451" s="268"/>
      <x:c r="AB451" s="268"/>
      <x:c r="AC451" s="268"/>
    </x:row>
    <x:row r="452">
      <x:c r="A452" s="268"/>
      <x:c r="B452" s="268"/>
      <x:c r="C452" s="268"/>
      <x:c r="D452" s="268"/>
      <x:c r="E452" s="268"/>
      <x:c r="F452" s="268"/>
      <x:c r="G452" s="268"/>
      <x:c r="H452" s="268"/>
      <x:c r="I452" s="268"/>
      <x:c r="J452" s="268"/>
      <x:c r="K452" s="268"/>
      <x:c r="L452" s="268"/>
      <x:c r="M452" s="268"/>
      <x:c r="N452" s="268"/>
      <x:c r="O452" s="268"/>
      <x:c r="P452" s="268"/>
      <x:c r="Q452" s="268"/>
      <x:c r="R452" s="268"/>
      <x:c r="S452" s="268"/>
      <x:c r="T452" s="268"/>
      <x:c r="U452" s="268"/>
      <x:c r="V452" s="268"/>
      <x:c r="W452" s="268"/>
      <x:c r="X452" s="268"/>
      <x:c r="Y452" s="268"/>
      <x:c r="Z452" s="268"/>
      <x:c r="AA452" s="268"/>
      <x:c r="AB452" s="268"/>
      <x:c r="AC452" s="268"/>
    </x:row>
    <x:row r="453">
      <x:c r="A453" s="268"/>
      <x:c r="B453" s="268"/>
      <x:c r="C453" s="268"/>
      <x:c r="D453" s="268"/>
      <x:c r="E453" s="268"/>
      <x:c r="F453" s="268"/>
      <x:c r="G453" s="268"/>
      <x:c r="H453" s="268"/>
      <x:c r="I453" s="268"/>
      <x:c r="J453" s="268"/>
      <x:c r="K453" s="268"/>
      <x:c r="L453" s="268"/>
      <x:c r="M453" s="268"/>
      <x:c r="N453" s="268"/>
      <x:c r="O453" s="268"/>
      <x:c r="P453" s="268"/>
      <x:c r="Q453" s="268"/>
      <x:c r="R453" s="268"/>
      <x:c r="S453" s="268"/>
      <x:c r="T453" s="268"/>
      <x:c r="U453" s="268"/>
      <x:c r="V453" s="268"/>
      <x:c r="W453" s="268"/>
      <x:c r="X453" s="268"/>
      <x:c r="Y453" s="268"/>
      <x:c r="Z453" s="268"/>
      <x:c r="AA453" s="268"/>
      <x:c r="AB453" s="268"/>
      <x:c r="AC453" s="268"/>
    </x:row>
    <x:row r="454">
      <x:c r="A454" s="268"/>
      <x:c r="B454" s="268"/>
      <x:c r="C454" s="268"/>
      <x:c r="D454" s="268"/>
      <x:c r="E454" s="268"/>
      <x:c r="F454" s="268"/>
      <x:c r="G454" s="268"/>
      <x:c r="H454" s="268"/>
      <x:c r="I454" s="268"/>
      <x:c r="J454" s="268"/>
      <x:c r="K454" s="268"/>
      <x:c r="L454" s="268"/>
      <x:c r="M454" s="268"/>
      <x:c r="N454" s="268"/>
      <x:c r="O454" s="268"/>
      <x:c r="P454" s="268"/>
      <x:c r="Q454" s="268"/>
      <x:c r="R454" s="268"/>
      <x:c r="S454" s="268"/>
      <x:c r="T454" s="268"/>
      <x:c r="U454" s="268"/>
      <x:c r="V454" s="268"/>
      <x:c r="W454" s="268"/>
      <x:c r="X454" s="268"/>
      <x:c r="Y454" s="268"/>
      <x:c r="Z454" s="268"/>
      <x:c r="AA454" s="268"/>
      <x:c r="AB454" s="268"/>
      <x:c r="AC454" s="268"/>
    </x:row>
    <x:row r="455">
      <x:c r="A455" s="268"/>
      <x:c r="B455" s="268"/>
      <x:c r="C455" s="268"/>
      <x:c r="D455" s="268"/>
      <x:c r="E455" s="268"/>
      <x:c r="F455" s="268"/>
      <x:c r="G455" s="268"/>
      <x:c r="H455" s="268"/>
      <x:c r="I455" s="268"/>
      <x:c r="J455" s="268"/>
      <x:c r="K455" s="268"/>
      <x:c r="L455" s="268"/>
      <x:c r="M455" s="268"/>
      <x:c r="N455" s="268"/>
      <x:c r="O455" s="268"/>
      <x:c r="P455" s="268"/>
      <x:c r="Q455" s="268"/>
      <x:c r="R455" s="268"/>
      <x:c r="S455" s="268"/>
      <x:c r="T455" s="268"/>
      <x:c r="U455" s="268"/>
      <x:c r="V455" s="268"/>
      <x:c r="W455" s="268"/>
      <x:c r="X455" s="268"/>
      <x:c r="Y455" s="268"/>
      <x:c r="Z455" s="268"/>
      <x:c r="AA455" s="268"/>
      <x:c r="AB455" s="268"/>
      <x:c r="AC455" s="268"/>
    </x:row>
    <x:row r="456">
      <x:c r="A456" s="268"/>
      <x:c r="B456" s="268"/>
      <x:c r="C456" s="268"/>
      <x:c r="D456" s="268"/>
      <x:c r="E456" s="268"/>
      <x:c r="F456" s="268"/>
      <x:c r="G456" s="268"/>
      <x:c r="H456" s="268"/>
      <x:c r="I456" s="268"/>
      <x:c r="J456" s="268"/>
      <x:c r="K456" s="268"/>
      <x:c r="L456" s="268"/>
      <x:c r="M456" s="268"/>
      <x:c r="N456" s="268"/>
      <x:c r="O456" s="268"/>
      <x:c r="P456" s="268"/>
      <x:c r="Q456" s="268"/>
      <x:c r="R456" s="268"/>
      <x:c r="S456" s="268"/>
      <x:c r="T456" s="268"/>
      <x:c r="U456" s="268"/>
      <x:c r="V456" s="268"/>
      <x:c r="W456" s="268"/>
      <x:c r="X456" s="268"/>
      <x:c r="Y456" s="268"/>
      <x:c r="Z456" s="268"/>
      <x:c r="AA456" s="268"/>
      <x:c r="AB456" s="268"/>
      <x:c r="AC456" s="268"/>
    </x:row>
    <x:row r="457">
      <x:c r="A457" s="268"/>
      <x:c r="B457" s="268"/>
      <x:c r="C457" s="268"/>
      <x:c r="D457" s="268"/>
      <x:c r="E457" s="268"/>
      <x:c r="F457" s="268"/>
      <x:c r="G457" s="268"/>
      <x:c r="H457" s="268"/>
      <x:c r="I457" s="268"/>
      <x:c r="J457" s="268"/>
      <x:c r="K457" s="268"/>
      <x:c r="L457" s="268"/>
      <x:c r="M457" s="268"/>
      <x:c r="N457" s="268"/>
      <x:c r="O457" s="268"/>
      <x:c r="P457" s="268"/>
      <x:c r="Q457" s="268"/>
      <x:c r="R457" s="268"/>
      <x:c r="S457" s="268"/>
      <x:c r="T457" s="268"/>
      <x:c r="U457" s="268"/>
      <x:c r="V457" s="268"/>
      <x:c r="W457" s="268"/>
      <x:c r="X457" s="268"/>
      <x:c r="Y457" s="268"/>
      <x:c r="Z457" s="268"/>
      <x:c r="AA457" s="268"/>
      <x:c r="AB457" s="268"/>
      <x:c r="AC457" s="268"/>
    </x:row>
    <x:row r="458">
      <x:c r="A458" s="268"/>
      <x:c r="B458" s="268"/>
      <x:c r="C458" s="268"/>
      <x:c r="D458" s="268"/>
      <x:c r="E458" s="268"/>
      <x:c r="F458" s="268"/>
      <x:c r="G458" s="268"/>
      <x:c r="H458" s="268"/>
      <x:c r="I458" s="268"/>
      <x:c r="J458" s="268"/>
      <x:c r="K458" s="268"/>
      <x:c r="L458" s="268"/>
      <x:c r="M458" s="268"/>
      <x:c r="N458" s="268"/>
      <x:c r="O458" s="268"/>
      <x:c r="P458" s="268"/>
      <x:c r="Q458" s="268"/>
      <x:c r="R458" s="268"/>
      <x:c r="S458" s="268"/>
      <x:c r="T458" s="268"/>
      <x:c r="U458" s="268"/>
      <x:c r="V458" s="268"/>
      <x:c r="W458" s="268"/>
      <x:c r="X458" s="268"/>
      <x:c r="Y458" s="268"/>
      <x:c r="Z458" s="268"/>
      <x:c r="AA458" s="268"/>
      <x:c r="AB458" s="268"/>
      <x:c r="AC458" s="268"/>
    </x:row>
    <x:row r="459">
      <x:c r="A459" s="268"/>
      <x:c r="B459" s="268"/>
      <x:c r="C459" s="268"/>
      <x:c r="D459" s="268"/>
      <x:c r="E459" s="268"/>
      <x:c r="F459" s="268"/>
      <x:c r="G459" s="268"/>
      <x:c r="H459" s="268"/>
      <x:c r="I459" s="268"/>
      <x:c r="J459" s="268"/>
      <x:c r="K459" s="268"/>
      <x:c r="L459" s="268"/>
      <x:c r="M459" s="268"/>
      <x:c r="N459" s="268"/>
      <x:c r="O459" s="268"/>
      <x:c r="P459" s="268"/>
      <x:c r="Q459" s="268"/>
      <x:c r="R459" s="268"/>
      <x:c r="S459" s="268"/>
      <x:c r="T459" s="268"/>
      <x:c r="U459" s="268"/>
      <x:c r="V459" s="268"/>
      <x:c r="W459" s="268"/>
      <x:c r="X459" s="268"/>
      <x:c r="Y459" s="268"/>
      <x:c r="Z459" s="268"/>
      <x:c r="AA459" s="268"/>
      <x:c r="AB459" s="268"/>
      <x:c r="AC459" s="268"/>
    </x:row>
    <x:row r="460">
      <x:c r="A460" s="268"/>
      <x:c r="B460" s="268"/>
      <x:c r="C460" s="268"/>
      <x:c r="D460" s="268"/>
      <x:c r="E460" s="268"/>
      <x:c r="F460" s="268"/>
      <x:c r="G460" s="268"/>
      <x:c r="H460" s="268"/>
      <x:c r="I460" s="268"/>
      <x:c r="J460" s="268"/>
      <x:c r="K460" s="268"/>
      <x:c r="L460" s="268"/>
      <x:c r="M460" s="268"/>
      <x:c r="N460" s="268"/>
      <x:c r="O460" s="268"/>
      <x:c r="P460" s="268"/>
      <x:c r="Q460" s="268"/>
      <x:c r="R460" s="268"/>
      <x:c r="S460" s="268"/>
      <x:c r="T460" s="268"/>
      <x:c r="U460" s="268"/>
      <x:c r="V460" s="268"/>
      <x:c r="W460" s="268"/>
      <x:c r="X460" s="268"/>
      <x:c r="Y460" s="268"/>
      <x:c r="Z460" s="268"/>
      <x:c r="AA460" s="268"/>
      <x:c r="AB460" s="268"/>
      <x:c r="AC460" s="268"/>
    </x:row>
    <x:row r="461">
      <x:c r="A461" s="268"/>
      <x:c r="B461" s="268"/>
      <x:c r="C461" s="268"/>
      <x:c r="D461" s="268"/>
      <x:c r="E461" s="268"/>
      <x:c r="F461" s="268"/>
      <x:c r="G461" s="268"/>
      <x:c r="H461" s="268"/>
      <x:c r="I461" s="268"/>
      <x:c r="J461" s="268"/>
      <x:c r="K461" s="268"/>
      <x:c r="L461" s="268"/>
      <x:c r="M461" s="268"/>
      <x:c r="N461" s="268"/>
      <x:c r="O461" s="268"/>
      <x:c r="P461" s="268"/>
      <x:c r="Q461" s="268"/>
      <x:c r="R461" s="268"/>
      <x:c r="S461" s="268"/>
      <x:c r="T461" s="268"/>
      <x:c r="U461" s="268"/>
      <x:c r="V461" s="268"/>
      <x:c r="W461" s="268"/>
      <x:c r="X461" s="268"/>
      <x:c r="Y461" s="268"/>
      <x:c r="Z461" s="268"/>
      <x:c r="AA461" s="268"/>
      <x:c r="AB461" s="268"/>
      <x:c r="AC461" s="268"/>
    </x:row>
    <x:row r="462">
      <x:c r="A462" s="268"/>
      <x:c r="B462" s="268"/>
      <x:c r="C462" s="268"/>
      <x:c r="D462" s="268"/>
      <x:c r="E462" s="268"/>
      <x:c r="F462" s="268"/>
      <x:c r="G462" s="268"/>
      <x:c r="H462" s="268"/>
      <x:c r="I462" s="268"/>
      <x:c r="J462" s="268"/>
      <x:c r="K462" s="268"/>
      <x:c r="L462" s="268"/>
      <x:c r="M462" s="268"/>
      <x:c r="N462" s="268"/>
      <x:c r="O462" s="268"/>
      <x:c r="P462" s="268"/>
      <x:c r="Q462" s="268"/>
      <x:c r="R462" s="268"/>
      <x:c r="S462" s="268"/>
      <x:c r="T462" s="268"/>
      <x:c r="U462" s="268"/>
      <x:c r="V462" s="268"/>
      <x:c r="W462" s="268"/>
      <x:c r="X462" s="268"/>
      <x:c r="Y462" s="268"/>
      <x:c r="Z462" s="268"/>
      <x:c r="AA462" s="268"/>
      <x:c r="AB462" s="268"/>
      <x:c r="AC462" s="268"/>
    </x:row>
    <x:row r="463">
      <x:c r="A463" s="268"/>
      <x:c r="B463" s="268"/>
      <x:c r="C463" s="268"/>
      <x:c r="D463" s="268"/>
      <x:c r="E463" s="268"/>
      <x:c r="F463" s="268"/>
      <x:c r="G463" s="268"/>
      <x:c r="H463" s="268"/>
      <x:c r="I463" s="268"/>
      <x:c r="J463" s="268"/>
      <x:c r="K463" s="268"/>
      <x:c r="L463" s="268"/>
      <x:c r="M463" s="268"/>
      <x:c r="N463" s="268"/>
      <x:c r="O463" s="268"/>
      <x:c r="P463" s="268"/>
      <x:c r="Q463" s="268"/>
      <x:c r="R463" s="268"/>
      <x:c r="S463" s="268"/>
      <x:c r="T463" s="268"/>
      <x:c r="U463" s="268"/>
      <x:c r="V463" s="268"/>
      <x:c r="W463" s="268"/>
      <x:c r="X463" s="268"/>
      <x:c r="Y463" s="268"/>
      <x:c r="Z463" s="268"/>
      <x:c r="AA463" s="268"/>
      <x:c r="AB463" s="268"/>
      <x:c r="AC463" s="268"/>
    </x:row>
    <x:row r="464">
      <x:c r="A464" s="268"/>
      <x:c r="B464" s="268"/>
      <x:c r="C464" s="268"/>
      <x:c r="D464" s="268"/>
      <x:c r="E464" s="268"/>
      <x:c r="F464" s="268"/>
      <x:c r="G464" s="268"/>
      <x:c r="H464" s="268"/>
      <x:c r="I464" s="268"/>
      <x:c r="J464" s="268"/>
      <x:c r="K464" s="268"/>
      <x:c r="L464" s="268"/>
      <x:c r="M464" s="268"/>
      <x:c r="N464" s="268"/>
      <x:c r="O464" s="268"/>
      <x:c r="P464" s="268"/>
      <x:c r="Q464" s="268"/>
      <x:c r="R464" s="268"/>
      <x:c r="S464" s="268"/>
      <x:c r="T464" s="268"/>
      <x:c r="U464" s="268"/>
      <x:c r="V464" s="268"/>
      <x:c r="W464" s="268"/>
      <x:c r="X464" s="268"/>
      <x:c r="Y464" s="268"/>
      <x:c r="Z464" s="268"/>
      <x:c r="AA464" s="268"/>
      <x:c r="AB464" s="268"/>
      <x:c r="AC464" s="268"/>
    </x:row>
    <x:row r="465">
      <x:c r="A465" s="268"/>
      <x:c r="B465" s="268"/>
      <x:c r="C465" s="268"/>
      <x:c r="D465" s="268"/>
      <x:c r="E465" s="268"/>
      <x:c r="F465" s="268"/>
      <x:c r="G465" s="268"/>
      <x:c r="H465" s="268"/>
      <x:c r="I465" s="268"/>
      <x:c r="J465" s="268"/>
      <x:c r="K465" s="268"/>
      <x:c r="L465" s="268"/>
      <x:c r="M465" s="268"/>
      <x:c r="N465" s="268"/>
      <x:c r="O465" s="268"/>
      <x:c r="P465" s="268"/>
      <x:c r="Q465" s="268"/>
      <x:c r="R465" s="268"/>
      <x:c r="S465" s="268"/>
      <x:c r="T465" s="268"/>
      <x:c r="U465" s="268"/>
      <x:c r="V465" s="268"/>
      <x:c r="W465" s="268"/>
      <x:c r="X465" s="268"/>
      <x:c r="Y465" s="268"/>
      <x:c r="Z465" s="268"/>
      <x:c r="AA465" s="268"/>
      <x:c r="AB465" s="268"/>
      <x:c r="AC465" s="268"/>
    </x:row>
    <x:row r="466">
      <x:c r="A466" s="268"/>
      <x:c r="B466" s="268"/>
      <x:c r="C466" s="268"/>
      <x:c r="D466" s="268"/>
      <x:c r="E466" s="268"/>
      <x:c r="F466" s="268"/>
      <x:c r="G466" s="268"/>
      <x:c r="H466" s="268"/>
      <x:c r="I466" s="268"/>
      <x:c r="J466" s="268"/>
      <x:c r="K466" s="268"/>
      <x:c r="L466" s="268"/>
      <x:c r="M466" s="268"/>
      <x:c r="N466" s="268"/>
      <x:c r="O466" s="268"/>
      <x:c r="P466" s="268"/>
      <x:c r="Q466" s="268"/>
      <x:c r="R466" s="268"/>
      <x:c r="S466" s="268"/>
      <x:c r="T466" s="268"/>
      <x:c r="U466" s="268"/>
      <x:c r="V466" s="268"/>
      <x:c r="W466" s="268"/>
      <x:c r="X466" s="268"/>
      <x:c r="Y466" s="268"/>
      <x:c r="Z466" s="268"/>
      <x:c r="AA466" s="268"/>
      <x:c r="AB466" s="268"/>
      <x:c r="AC466" s="268"/>
    </x:row>
    <x:row r="467">
      <x:c r="A467" s="268"/>
      <x:c r="B467" s="268"/>
      <x:c r="C467" s="268"/>
      <x:c r="D467" s="268"/>
      <x:c r="E467" s="268"/>
      <x:c r="F467" s="268"/>
      <x:c r="G467" s="268"/>
      <x:c r="H467" s="268"/>
      <x:c r="I467" s="268"/>
      <x:c r="J467" s="268"/>
      <x:c r="K467" s="268"/>
      <x:c r="L467" s="268"/>
      <x:c r="M467" s="268"/>
      <x:c r="N467" s="268"/>
      <x:c r="O467" s="268"/>
      <x:c r="P467" s="268"/>
      <x:c r="Q467" s="268"/>
      <x:c r="R467" s="268"/>
      <x:c r="S467" s="268"/>
      <x:c r="T467" s="268"/>
      <x:c r="U467" s="268"/>
      <x:c r="V467" s="268"/>
      <x:c r="W467" s="268"/>
      <x:c r="X467" s="268"/>
      <x:c r="Y467" s="268"/>
      <x:c r="Z467" s="268"/>
      <x:c r="AA467" s="268"/>
      <x:c r="AB467" s="268"/>
      <x:c r="AC467" s="268"/>
    </x:row>
    <x:row r="468">
      <x:c r="A468" s="268"/>
      <x:c r="B468" s="268"/>
      <x:c r="C468" s="268"/>
      <x:c r="D468" s="268"/>
      <x:c r="E468" s="268"/>
      <x:c r="F468" s="268"/>
      <x:c r="G468" s="268"/>
      <x:c r="H468" s="268"/>
      <x:c r="I468" s="268"/>
      <x:c r="J468" s="268"/>
      <x:c r="K468" s="268"/>
      <x:c r="L468" s="268"/>
      <x:c r="M468" s="268"/>
      <x:c r="N468" s="268"/>
      <x:c r="O468" s="268"/>
      <x:c r="P468" s="268"/>
      <x:c r="Q468" s="268"/>
      <x:c r="R468" s="268"/>
      <x:c r="S468" s="268"/>
      <x:c r="T468" s="268"/>
      <x:c r="U468" s="268"/>
      <x:c r="V468" s="268"/>
      <x:c r="W468" s="268"/>
      <x:c r="X468" s="268"/>
      <x:c r="Y468" s="268"/>
      <x:c r="Z468" s="268"/>
      <x:c r="AA468" s="268"/>
      <x:c r="AB468" s="268"/>
      <x:c r="AC468" s="268"/>
    </x:row>
    <x:row r="469">
      <x:c r="A469" s="268"/>
      <x:c r="B469" s="268"/>
      <x:c r="C469" s="268"/>
      <x:c r="D469" s="268"/>
      <x:c r="E469" s="268"/>
      <x:c r="F469" s="268"/>
      <x:c r="G469" s="268"/>
      <x:c r="H469" s="268"/>
      <x:c r="I469" s="268"/>
      <x:c r="J469" s="268"/>
      <x:c r="K469" s="268"/>
      <x:c r="L469" s="268"/>
      <x:c r="M469" s="268"/>
      <x:c r="N469" s="268"/>
      <x:c r="O469" s="268"/>
      <x:c r="P469" s="268"/>
      <x:c r="Q469" s="268"/>
      <x:c r="R469" s="268"/>
      <x:c r="S469" s="268"/>
      <x:c r="T469" s="268"/>
      <x:c r="U469" s="268"/>
      <x:c r="V469" s="268"/>
      <x:c r="W469" s="268"/>
      <x:c r="X469" s="268"/>
      <x:c r="Y469" s="268"/>
      <x:c r="Z469" s="268"/>
      <x:c r="AA469" s="268"/>
      <x:c r="AB469" s="268"/>
      <x:c r="AC469" s="268"/>
    </x:row>
    <x:row r="470">
      <x:c r="A470" s="268"/>
      <x:c r="B470" s="268"/>
      <x:c r="C470" s="268"/>
      <x:c r="D470" s="268"/>
      <x:c r="E470" s="268"/>
      <x:c r="F470" s="268"/>
      <x:c r="G470" s="268"/>
      <x:c r="H470" s="268"/>
      <x:c r="I470" s="268"/>
      <x:c r="J470" s="268"/>
      <x:c r="K470" s="268"/>
      <x:c r="L470" s="268"/>
      <x:c r="M470" s="268"/>
      <x:c r="N470" s="268"/>
      <x:c r="O470" s="268"/>
      <x:c r="P470" s="268"/>
      <x:c r="Q470" s="268"/>
      <x:c r="R470" s="268"/>
      <x:c r="S470" s="268"/>
      <x:c r="T470" s="268"/>
      <x:c r="U470" s="268"/>
      <x:c r="V470" s="268"/>
      <x:c r="W470" s="268"/>
      <x:c r="X470" s="268"/>
      <x:c r="Y470" s="268"/>
      <x:c r="Z470" s="268"/>
      <x:c r="AA470" s="268"/>
      <x:c r="AB470" s="268"/>
      <x:c r="AC470" s="268"/>
    </x:row>
    <x:row r="471">
      <x:c r="A471" s="268"/>
      <x:c r="B471" s="268"/>
      <x:c r="C471" s="268"/>
      <x:c r="D471" s="268"/>
      <x:c r="E471" s="268"/>
      <x:c r="F471" s="268"/>
      <x:c r="G471" s="268"/>
      <x:c r="H471" s="268"/>
      <x:c r="I471" s="268"/>
      <x:c r="J471" s="268"/>
      <x:c r="K471" s="268"/>
      <x:c r="L471" s="268"/>
      <x:c r="M471" s="268"/>
      <x:c r="N471" s="268"/>
      <x:c r="O471" s="268"/>
      <x:c r="P471" s="268"/>
      <x:c r="Q471" s="268"/>
      <x:c r="R471" s="268"/>
      <x:c r="S471" s="268"/>
      <x:c r="T471" s="268"/>
      <x:c r="U471" s="268"/>
      <x:c r="V471" s="268"/>
      <x:c r="W471" s="268"/>
      <x:c r="X471" s="268"/>
      <x:c r="Y471" s="268"/>
      <x:c r="Z471" s="268"/>
      <x:c r="AA471" s="268"/>
      <x:c r="AB471" s="268"/>
      <x:c r="AC471" s="268"/>
    </x:row>
    <x:row r="472">
      <x:c r="A472" s="268"/>
      <x:c r="B472" s="268"/>
      <x:c r="C472" s="268"/>
      <x:c r="D472" s="268"/>
      <x:c r="E472" s="268"/>
      <x:c r="F472" s="268"/>
      <x:c r="G472" s="268"/>
      <x:c r="H472" s="268"/>
      <x:c r="I472" s="268"/>
      <x:c r="J472" s="268"/>
      <x:c r="K472" s="268"/>
      <x:c r="L472" s="268"/>
      <x:c r="M472" s="268"/>
      <x:c r="N472" s="268"/>
      <x:c r="O472" s="268"/>
      <x:c r="P472" s="268"/>
      <x:c r="Q472" s="268"/>
      <x:c r="R472" s="268"/>
      <x:c r="S472" s="268"/>
      <x:c r="T472" s="268"/>
      <x:c r="U472" s="268"/>
      <x:c r="V472" s="268"/>
      <x:c r="W472" s="268"/>
      <x:c r="X472" s="268"/>
      <x:c r="Y472" s="268"/>
      <x:c r="Z472" s="268"/>
      <x:c r="AA472" s="268"/>
      <x:c r="AB472" s="268"/>
      <x:c r="AC472" s="268"/>
    </x:row>
    <x:row r="473">
      <x:c r="A473" s="268"/>
      <x:c r="B473" s="268"/>
      <x:c r="C473" s="268"/>
      <x:c r="D473" s="268"/>
      <x:c r="E473" s="268"/>
      <x:c r="F473" s="268"/>
      <x:c r="G473" s="268"/>
      <x:c r="H473" s="268"/>
      <x:c r="I473" s="268"/>
      <x:c r="J473" s="268"/>
      <x:c r="K473" s="268"/>
      <x:c r="L473" s="268"/>
      <x:c r="M473" s="268"/>
      <x:c r="N473" s="268"/>
      <x:c r="O473" s="268"/>
      <x:c r="P473" s="268"/>
      <x:c r="Q473" s="268"/>
      <x:c r="R473" s="268"/>
      <x:c r="S473" s="268"/>
      <x:c r="T473" s="268"/>
      <x:c r="U473" s="268"/>
      <x:c r="V473" s="268"/>
      <x:c r="W473" s="268"/>
      <x:c r="X473" s="268"/>
      <x:c r="Y473" s="268"/>
      <x:c r="Z473" s="268"/>
      <x:c r="AA473" s="268"/>
      <x:c r="AB473" s="268"/>
      <x:c r="AC473" s="268"/>
    </x:row>
    <x:row r="474">
      <x:c r="A474" s="268"/>
      <x:c r="B474" s="268"/>
      <x:c r="C474" s="268"/>
      <x:c r="D474" s="268"/>
      <x:c r="E474" s="268"/>
      <x:c r="F474" s="268"/>
      <x:c r="G474" s="268"/>
      <x:c r="H474" s="268"/>
      <x:c r="I474" s="268"/>
      <x:c r="J474" s="268"/>
      <x:c r="K474" s="268"/>
      <x:c r="L474" s="268"/>
      <x:c r="M474" s="268"/>
      <x:c r="N474" s="268"/>
      <x:c r="O474" s="268"/>
      <x:c r="P474" s="268"/>
      <x:c r="Q474" s="268"/>
      <x:c r="R474" s="268"/>
      <x:c r="S474" s="268"/>
      <x:c r="T474" s="268"/>
      <x:c r="U474" s="268"/>
      <x:c r="V474" s="268"/>
      <x:c r="W474" s="268"/>
      <x:c r="X474" s="268"/>
      <x:c r="Y474" s="268"/>
      <x:c r="Z474" s="268"/>
      <x:c r="AA474" s="268"/>
      <x:c r="AB474" s="268"/>
      <x:c r="AC474" s="268"/>
    </x:row>
    <x:row r="475">
      <x:c r="A475" s="268"/>
      <x:c r="B475" s="268"/>
      <x:c r="C475" s="268"/>
      <x:c r="D475" s="268"/>
      <x:c r="E475" s="268"/>
      <x:c r="F475" s="268"/>
      <x:c r="G475" s="268"/>
      <x:c r="H475" s="268"/>
      <x:c r="I475" s="268"/>
      <x:c r="J475" s="268"/>
      <x:c r="K475" s="268"/>
      <x:c r="L475" s="268"/>
      <x:c r="M475" s="268"/>
      <x:c r="N475" s="268"/>
      <x:c r="O475" s="268"/>
      <x:c r="P475" s="268"/>
      <x:c r="Q475" s="268"/>
      <x:c r="R475" s="268"/>
      <x:c r="S475" s="268"/>
      <x:c r="T475" s="268"/>
      <x:c r="U475" s="268"/>
      <x:c r="V475" s="268"/>
      <x:c r="W475" s="268"/>
      <x:c r="X475" s="268"/>
      <x:c r="Y475" s="268"/>
      <x:c r="Z475" s="268"/>
      <x:c r="AA475" s="268"/>
      <x:c r="AB475" s="268"/>
      <x:c r="AC475" s="268"/>
    </x:row>
    <x:row r="476">
      <x:c r="A476" s="268"/>
      <x:c r="B476" s="268"/>
      <x:c r="C476" s="268"/>
      <x:c r="D476" s="268"/>
      <x:c r="E476" s="268"/>
      <x:c r="F476" s="268"/>
      <x:c r="G476" s="268"/>
      <x:c r="H476" s="268"/>
      <x:c r="I476" s="268"/>
      <x:c r="J476" s="268"/>
      <x:c r="K476" s="268"/>
      <x:c r="L476" s="268"/>
      <x:c r="M476" s="268"/>
      <x:c r="N476" s="268"/>
      <x:c r="O476" s="268"/>
      <x:c r="P476" s="268"/>
      <x:c r="Q476" s="268"/>
      <x:c r="R476" s="268"/>
      <x:c r="S476" s="268"/>
      <x:c r="T476" s="268"/>
      <x:c r="U476" s="268"/>
      <x:c r="V476" s="268"/>
      <x:c r="W476" s="268"/>
      <x:c r="X476" s="268"/>
      <x:c r="Y476" s="268"/>
      <x:c r="Z476" s="268"/>
      <x:c r="AA476" s="268"/>
      <x:c r="AB476" s="268"/>
      <x:c r="AC476" s="268"/>
    </x:row>
    <x:row r="477">
      <x:c r="A477" s="268"/>
      <x:c r="B477" s="268"/>
      <x:c r="C477" s="268"/>
      <x:c r="D477" s="268"/>
      <x:c r="E477" s="268"/>
      <x:c r="F477" s="268"/>
      <x:c r="G477" s="268"/>
      <x:c r="H477" s="268"/>
      <x:c r="I477" s="268"/>
      <x:c r="J477" s="268"/>
      <x:c r="K477" s="268"/>
      <x:c r="L477" s="268"/>
      <x:c r="M477" s="268"/>
      <x:c r="N477" s="268"/>
      <x:c r="O477" s="268"/>
      <x:c r="P477" s="268"/>
      <x:c r="Q477" s="268"/>
      <x:c r="R477" s="268"/>
      <x:c r="S477" s="268"/>
      <x:c r="T477" s="268"/>
      <x:c r="U477" s="268"/>
      <x:c r="V477" s="268"/>
      <x:c r="W477" s="268"/>
      <x:c r="X477" s="268"/>
      <x:c r="Y477" s="268"/>
      <x:c r="Z477" s="268"/>
      <x:c r="AA477" s="268"/>
      <x:c r="AB477" s="268"/>
      <x:c r="AC477" s="268"/>
    </x:row>
    <x:row r="478">
      <x:c r="A478" s="268"/>
      <x:c r="B478" s="268"/>
      <x:c r="C478" s="268"/>
      <x:c r="D478" s="268"/>
      <x:c r="E478" s="268"/>
      <x:c r="F478" s="268"/>
      <x:c r="G478" s="268"/>
      <x:c r="H478" s="268"/>
      <x:c r="I478" s="268"/>
      <x:c r="J478" s="268"/>
      <x:c r="K478" s="268"/>
      <x:c r="L478" s="268"/>
      <x:c r="M478" s="268"/>
      <x:c r="N478" s="268"/>
      <x:c r="O478" s="268"/>
      <x:c r="P478" s="268"/>
      <x:c r="Q478" s="268"/>
      <x:c r="R478" s="268"/>
      <x:c r="S478" s="268"/>
      <x:c r="T478" s="268"/>
      <x:c r="U478" s="268"/>
      <x:c r="V478" s="268"/>
      <x:c r="W478" s="268"/>
      <x:c r="X478" s="268"/>
      <x:c r="Y478" s="268"/>
      <x:c r="Z478" s="268"/>
      <x:c r="AA478" s="268"/>
      <x:c r="AB478" s="268"/>
      <x:c r="AC478" s="268"/>
    </x:row>
    <x:row r="479">
      <x:c r="A479" s="268"/>
      <x:c r="B479" s="268"/>
      <x:c r="C479" s="268"/>
      <x:c r="D479" s="268"/>
      <x:c r="E479" s="268"/>
      <x:c r="F479" s="268"/>
      <x:c r="G479" s="268"/>
      <x:c r="H479" s="268"/>
      <x:c r="I479" s="268"/>
      <x:c r="J479" s="268"/>
      <x:c r="K479" s="268"/>
      <x:c r="L479" s="268"/>
      <x:c r="M479" s="268"/>
      <x:c r="N479" s="268"/>
      <x:c r="O479" s="268"/>
      <x:c r="P479" s="268"/>
      <x:c r="Q479" s="268"/>
      <x:c r="R479" s="268"/>
      <x:c r="S479" s="268"/>
      <x:c r="T479" s="268"/>
      <x:c r="U479" s="268"/>
      <x:c r="V479" s="268"/>
      <x:c r="W479" s="268"/>
      <x:c r="X479" s="268"/>
      <x:c r="Y479" s="268"/>
      <x:c r="Z479" s="268"/>
      <x:c r="AA479" s="268"/>
      <x:c r="AB479" s="268"/>
      <x:c r="AC479" s="268"/>
    </x:row>
    <x:row r="480">
      <x:c r="A480" s="268"/>
      <x:c r="B480" s="268"/>
      <x:c r="C480" s="268"/>
      <x:c r="D480" s="268"/>
      <x:c r="E480" s="268"/>
      <x:c r="F480" s="268"/>
      <x:c r="G480" s="268"/>
      <x:c r="H480" s="268"/>
      <x:c r="I480" s="268"/>
      <x:c r="J480" s="268"/>
      <x:c r="K480" s="268"/>
      <x:c r="L480" s="268"/>
      <x:c r="M480" s="268"/>
      <x:c r="N480" s="268"/>
      <x:c r="O480" s="268"/>
      <x:c r="P480" s="268"/>
      <x:c r="Q480" s="268"/>
      <x:c r="R480" s="268"/>
      <x:c r="S480" s="268"/>
      <x:c r="T480" s="268"/>
      <x:c r="U480" s="268"/>
      <x:c r="V480" s="268"/>
      <x:c r="W480" s="268"/>
      <x:c r="X480" s="268"/>
      <x:c r="Y480" s="268"/>
      <x:c r="Z480" s="268"/>
      <x:c r="AA480" s="268"/>
      <x:c r="AB480" s="268"/>
      <x:c r="AC480" s="268"/>
    </x:row>
    <x:row r="481">
      <x:c r="A481" s="268"/>
      <x:c r="B481" s="268"/>
      <x:c r="C481" s="268"/>
      <x:c r="D481" s="268"/>
      <x:c r="E481" s="268"/>
      <x:c r="F481" s="268"/>
      <x:c r="G481" s="268"/>
      <x:c r="H481" s="268"/>
      <x:c r="I481" s="268"/>
      <x:c r="J481" s="268"/>
      <x:c r="K481" s="268"/>
      <x:c r="L481" s="268"/>
      <x:c r="M481" s="268"/>
      <x:c r="N481" s="268"/>
      <x:c r="O481" s="268"/>
      <x:c r="P481" s="268"/>
      <x:c r="Q481" s="268"/>
      <x:c r="R481" s="268"/>
      <x:c r="S481" s="268"/>
      <x:c r="T481" s="268"/>
      <x:c r="U481" s="268"/>
      <x:c r="V481" s="268"/>
      <x:c r="W481" s="268"/>
      <x:c r="X481" s="268"/>
      <x:c r="Y481" s="268"/>
      <x:c r="Z481" s="268"/>
      <x:c r="AA481" s="268"/>
      <x:c r="AB481" s="268"/>
      <x:c r="AC481" s="268"/>
    </x:row>
    <x:row r="482">
      <x:c r="A482" s="268"/>
      <x:c r="B482" s="268"/>
      <x:c r="C482" s="268"/>
      <x:c r="D482" s="268"/>
      <x:c r="E482" s="268"/>
      <x:c r="F482" s="268"/>
      <x:c r="G482" s="268"/>
      <x:c r="H482" s="268"/>
      <x:c r="I482" s="268"/>
      <x:c r="J482" s="268"/>
      <x:c r="K482" s="268"/>
      <x:c r="L482" s="268"/>
      <x:c r="M482" s="268"/>
      <x:c r="N482" s="268"/>
      <x:c r="O482" s="268"/>
      <x:c r="P482" s="268"/>
      <x:c r="Q482" s="268"/>
      <x:c r="R482" s="268"/>
      <x:c r="S482" s="268"/>
      <x:c r="T482" s="268"/>
      <x:c r="U482" s="268"/>
      <x:c r="V482" s="268"/>
      <x:c r="W482" s="268"/>
      <x:c r="X482" s="268"/>
      <x:c r="Y482" s="268"/>
      <x:c r="Z482" s="268"/>
      <x:c r="AA482" s="268"/>
      <x:c r="AB482" s="268"/>
      <x:c r="AC482" s="268"/>
    </x:row>
    <x:row r="483">
      <x:c r="A483" s="268"/>
      <x:c r="B483" s="268"/>
      <x:c r="C483" s="268"/>
      <x:c r="D483" s="268"/>
      <x:c r="E483" s="268"/>
      <x:c r="F483" s="268"/>
      <x:c r="G483" s="268"/>
      <x:c r="H483" s="268"/>
      <x:c r="I483" s="268"/>
      <x:c r="J483" s="268"/>
      <x:c r="K483" s="268"/>
      <x:c r="L483" s="268"/>
      <x:c r="M483" s="268"/>
      <x:c r="N483" s="268"/>
      <x:c r="O483" s="268"/>
      <x:c r="P483" s="268"/>
      <x:c r="Q483" s="268"/>
      <x:c r="R483" s="268"/>
      <x:c r="S483" s="268"/>
      <x:c r="T483" s="268"/>
      <x:c r="U483" s="268"/>
      <x:c r="V483" s="268"/>
      <x:c r="W483" s="268"/>
      <x:c r="X483" s="268"/>
      <x:c r="Y483" s="268"/>
      <x:c r="Z483" s="268"/>
      <x:c r="AA483" s="268"/>
      <x:c r="AB483" s="268"/>
      <x:c r="AC483" s="268"/>
    </x:row>
    <x:row r="484">
      <x:c r="A484" s="268"/>
      <x:c r="B484" s="268"/>
      <x:c r="C484" s="268"/>
      <x:c r="D484" s="268"/>
      <x:c r="E484" s="268"/>
      <x:c r="F484" s="268"/>
      <x:c r="G484" s="268"/>
      <x:c r="H484" s="268"/>
      <x:c r="I484" s="268"/>
      <x:c r="J484" s="268"/>
      <x:c r="K484" s="268"/>
      <x:c r="L484" s="268"/>
      <x:c r="M484" s="268"/>
      <x:c r="N484" s="268"/>
      <x:c r="O484" s="268"/>
      <x:c r="P484" s="268"/>
      <x:c r="Q484" s="268"/>
      <x:c r="R484" s="268"/>
      <x:c r="S484" s="268"/>
      <x:c r="T484" s="268"/>
      <x:c r="U484" s="268"/>
      <x:c r="V484" s="268"/>
      <x:c r="W484" s="268"/>
      <x:c r="X484" s="268"/>
      <x:c r="Y484" s="268"/>
      <x:c r="Z484" s="268"/>
      <x:c r="AA484" s="268"/>
      <x:c r="AB484" s="268"/>
      <x:c r="AC484" s="268"/>
    </x:row>
    <x:row r="485">
      <x:c r="A485" s="268"/>
      <x:c r="B485" s="268"/>
      <x:c r="C485" s="268"/>
      <x:c r="D485" s="268"/>
      <x:c r="E485" s="268"/>
      <x:c r="F485" s="268"/>
      <x:c r="G485" s="268"/>
      <x:c r="H485" s="268"/>
      <x:c r="I485" s="268"/>
      <x:c r="J485" s="268"/>
      <x:c r="K485" s="268"/>
      <x:c r="L485" s="268"/>
      <x:c r="M485" s="268"/>
      <x:c r="N485" s="268"/>
      <x:c r="O485" s="268"/>
      <x:c r="P485" s="268"/>
      <x:c r="Q485" s="268"/>
      <x:c r="R485" s="268"/>
      <x:c r="S485" s="268"/>
      <x:c r="T485" s="268"/>
      <x:c r="U485" s="268"/>
      <x:c r="V485" s="268"/>
      <x:c r="W485" s="268"/>
      <x:c r="X485" s="268"/>
      <x:c r="Y485" s="268"/>
      <x:c r="Z485" s="268"/>
      <x:c r="AA485" s="268"/>
      <x:c r="AB485" s="268"/>
      <x:c r="AC485" s="268"/>
    </x:row>
    <x:row r="486">
      <x:c r="A486" s="268"/>
      <x:c r="B486" s="268"/>
      <x:c r="C486" s="268"/>
      <x:c r="D486" s="268"/>
      <x:c r="E486" s="268"/>
      <x:c r="F486" s="268"/>
      <x:c r="G486" s="268"/>
      <x:c r="H486" s="268"/>
      <x:c r="I486" s="268"/>
      <x:c r="J486" s="268"/>
      <x:c r="K486" s="268"/>
      <x:c r="L486" s="268"/>
      <x:c r="M486" s="268"/>
      <x:c r="N486" s="268"/>
      <x:c r="O486" s="268"/>
      <x:c r="P486" s="268"/>
      <x:c r="Q486" s="268"/>
      <x:c r="R486" s="268"/>
      <x:c r="S486" s="268"/>
      <x:c r="T486" s="268"/>
      <x:c r="U486" s="268"/>
      <x:c r="V486" s="268"/>
      <x:c r="W486" s="268"/>
      <x:c r="X486" s="268"/>
      <x:c r="Y486" s="268"/>
      <x:c r="Z486" s="268"/>
      <x:c r="AA486" s="268"/>
      <x:c r="AB486" s="268"/>
      <x:c r="AC486" s="268"/>
    </x:row>
    <x:row r="487">
      <x:c r="A487" s="268"/>
      <x:c r="B487" s="268"/>
      <x:c r="C487" s="268"/>
      <x:c r="D487" s="268"/>
      <x:c r="E487" s="268"/>
      <x:c r="F487" s="268"/>
      <x:c r="G487" s="268"/>
      <x:c r="H487" s="268"/>
      <x:c r="I487" s="268"/>
      <x:c r="J487" s="268"/>
      <x:c r="K487" s="268"/>
      <x:c r="L487" s="268"/>
      <x:c r="M487" s="268"/>
      <x:c r="N487" s="268"/>
      <x:c r="O487" s="268"/>
      <x:c r="P487" s="268"/>
      <x:c r="Q487" s="268"/>
      <x:c r="R487" s="268"/>
      <x:c r="S487" s="268"/>
      <x:c r="T487" s="268"/>
      <x:c r="U487" s="268"/>
      <x:c r="V487" s="268"/>
      <x:c r="W487" s="268"/>
      <x:c r="X487" s="268"/>
      <x:c r="Y487" s="268"/>
      <x:c r="Z487" s="268"/>
      <x:c r="AA487" s="268"/>
      <x:c r="AB487" s="268"/>
      <x:c r="AC487" s="268"/>
    </x:row>
    <x:row r="488">
      <x:c r="A488" s="268"/>
      <x:c r="B488" s="268"/>
      <x:c r="C488" s="268"/>
      <x:c r="D488" s="268"/>
      <x:c r="E488" s="268"/>
      <x:c r="F488" s="268"/>
      <x:c r="G488" s="268"/>
      <x:c r="H488" s="268"/>
      <x:c r="I488" s="268"/>
      <x:c r="J488" s="268"/>
      <x:c r="K488" s="268"/>
      <x:c r="L488" s="268"/>
      <x:c r="M488" s="268"/>
      <x:c r="N488" s="268"/>
      <x:c r="O488" s="268"/>
      <x:c r="P488" s="268"/>
      <x:c r="Q488" s="268"/>
      <x:c r="R488" s="268"/>
      <x:c r="S488" s="268"/>
      <x:c r="T488" s="268"/>
      <x:c r="U488" s="268"/>
      <x:c r="V488" s="268"/>
      <x:c r="W488" s="268"/>
      <x:c r="X488" s="268"/>
      <x:c r="Y488" s="268"/>
      <x:c r="Z488" s="268"/>
      <x:c r="AA488" s="268"/>
      <x:c r="AB488" s="268"/>
      <x:c r="AC488" s="268"/>
    </x:row>
    <x:row r="489">
      <x:c r="A489" s="268"/>
      <x:c r="B489" s="268"/>
      <x:c r="C489" s="268"/>
      <x:c r="D489" s="268"/>
      <x:c r="E489" s="268"/>
      <x:c r="F489" s="268"/>
      <x:c r="G489" s="268"/>
      <x:c r="H489" s="268"/>
      <x:c r="I489" s="268"/>
      <x:c r="J489" s="268"/>
      <x:c r="K489" s="268"/>
      <x:c r="L489" s="268"/>
      <x:c r="M489" s="268"/>
      <x:c r="N489" s="268"/>
      <x:c r="O489" s="268"/>
      <x:c r="P489" s="268"/>
      <x:c r="Q489" s="268"/>
      <x:c r="R489" s="268"/>
      <x:c r="S489" s="268"/>
      <x:c r="T489" s="268"/>
      <x:c r="U489" s="268"/>
      <x:c r="V489" s="268"/>
      <x:c r="W489" s="268"/>
      <x:c r="X489" s="268"/>
      <x:c r="Y489" s="268"/>
      <x:c r="Z489" s="268"/>
      <x:c r="AA489" s="268"/>
      <x:c r="AB489" s="268"/>
      <x:c r="AC489" s="268"/>
    </x:row>
    <x:row r="490">
      <x:c r="A490" s="268"/>
      <x:c r="B490" s="268"/>
      <x:c r="C490" s="268"/>
      <x:c r="D490" s="268"/>
      <x:c r="E490" s="268"/>
      <x:c r="F490" s="268"/>
      <x:c r="G490" s="268"/>
      <x:c r="H490" s="268"/>
      <x:c r="I490" s="268"/>
      <x:c r="J490" s="268"/>
      <x:c r="K490" s="268"/>
      <x:c r="L490" s="268"/>
      <x:c r="M490" s="268"/>
      <x:c r="N490" s="268"/>
      <x:c r="O490" s="268"/>
      <x:c r="P490" s="268"/>
      <x:c r="Q490" s="268"/>
      <x:c r="R490" s="268"/>
      <x:c r="S490" s="268"/>
      <x:c r="T490" s="268"/>
      <x:c r="U490" s="268"/>
      <x:c r="V490" s="268"/>
      <x:c r="W490" s="268"/>
      <x:c r="X490" s="268"/>
      <x:c r="Y490" s="268"/>
      <x:c r="Z490" s="268"/>
      <x:c r="AA490" s="268"/>
      <x:c r="AB490" s="268"/>
      <x:c r="AC490" s="268"/>
    </x:row>
    <x:row r="491">
      <x:c r="A491" s="268"/>
      <x:c r="B491" s="268"/>
      <x:c r="C491" s="268"/>
      <x:c r="D491" s="268"/>
      <x:c r="E491" s="268"/>
      <x:c r="F491" s="268"/>
      <x:c r="G491" s="268"/>
      <x:c r="H491" s="268"/>
      <x:c r="I491" s="268"/>
      <x:c r="J491" s="268"/>
      <x:c r="K491" s="268"/>
      <x:c r="L491" s="268"/>
      <x:c r="M491" s="268"/>
      <x:c r="N491" s="268"/>
      <x:c r="O491" s="268"/>
      <x:c r="P491" s="268"/>
      <x:c r="Q491" s="268"/>
      <x:c r="R491" s="268"/>
      <x:c r="S491" s="268"/>
      <x:c r="T491" s="268"/>
      <x:c r="U491" s="268"/>
      <x:c r="V491" s="268"/>
      <x:c r="W491" s="268"/>
      <x:c r="X491" s="268"/>
      <x:c r="Y491" s="268"/>
      <x:c r="Z491" s="268"/>
      <x:c r="AA491" s="268"/>
      <x:c r="AB491" s="268"/>
      <x:c r="AC491" s="268"/>
    </x:row>
    <x:row r="492">
      <x:c r="A492" s="268"/>
      <x:c r="B492" s="268"/>
      <x:c r="C492" s="268"/>
      <x:c r="D492" s="268"/>
      <x:c r="E492" s="268"/>
      <x:c r="F492" s="268"/>
      <x:c r="G492" s="268"/>
      <x:c r="H492" s="268"/>
      <x:c r="I492" s="268"/>
      <x:c r="J492" s="268"/>
      <x:c r="K492" s="268"/>
      <x:c r="L492" s="268"/>
      <x:c r="M492" s="268"/>
      <x:c r="N492" s="268"/>
      <x:c r="O492" s="268"/>
      <x:c r="P492" s="268"/>
      <x:c r="Q492" s="268"/>
      <x:c r="R492" s="268"/>
      <x:c r="S492" s="268"/>
      <x:c r="T492" s="268"/>
      <x:c r="U492" s="268"/>
      <x:c r="V492" s="268"/>
      <x:c r="W492" s="268"/>
      <x:c r="X492" s="268"/>
      <x:c r="Y492" s="268"/>
      <x:c r="Z492" s="268"/>
      <x:c r="AA492" s="268"/>
      <x:c r="AB492" s="268"/>
      <x:c r="AC492" s="268"/>
    </x:row>
    <x:row r="493">
      <x:c r="A493" s="268"/>
      <x:c r="B493" s="268"/>
      <x:c r="C493" s="268"/>
      <x:c r="D493" s="268"/>
      <x:c r="E493" s="268"/>
      <x:c r="F493" s="268"/>
      <x:c r="G493" s="268"/>
      <x:c r="H493" s="268"/>
      <x:c r="I493" s="268"/>
      <x:c r="J493" s="268"/>
      <x:c r="K493" s="268"/>
      <x:c r="L493" s="268"/>
      <x:c r="M493" s="268"/>
      <x:c r="N493" s="268"/>
      <x:c r="O493" s="268"/>
      <x:c r="P493" s="268"/>
      <x:c r="Q493" s="268"/>
      <x:c r="R493" s="268"/>
      <x:c r="S493" s="268"/>
      <x:c r="T493" s="268"/>
      <x:c r="U493" s="268"/>
      <x:c r="V493" s="268"/>
      <x:c r="W493" s="268"/>
      <x:c r="X493" s="268"/>
      <x:c r="Y493" s="268"/>
      <x:c r="Z493" s="268"/>
      <x:c r="AA493" s="268"/>
      <x:c r="AB493" s="268"/>
      <x:c r="AC493" s="268"/>
    </x:row>
    <x:row r="494">
      <x:c r="A494" s="268"/>
      <x:c r="B494" s="268"/>
      <x:c r="C494" s="268"/>
      <x:c r="D494" s="268"/>
      <x:c r="E494" s="268"/>
      <x:c r="F494" s="268"/>
      <x:c r="G494" s="268"/>
      <x:c r="H494" s="268"/>
      <x:c r="I494" s="268"/>
      <x:c r="J494" s="268"/>
      <x:c r="K494" s="268"/>
      <x:c r="L494" s="268"/>
      <x:c r="M494" s="268"/>
      <x:c r="N494" s="268"/>
      <x:c r="O494" s="268"/>
      <x:c r="P494" s="268"/>
      <x:c r="Q494" s="268"/>
      <x:c r="R494" s="268"/>
      <x:c r="S494" s="268"/>
      <x:c r="T494" s="268"/>
      <x:c r="U494" s="268"/>
      <x:c r="V494" s="268"/>
      <x:c r="W494" s="268"/>
      <x:c r="X494" s="268"/>
      <x:c r="Y494" s="268"/>
      <x:c r="Z494" s="268"/>
      <x:c r="AA494" s="268"/>
      <x:c r="AB494" s="268"/>
      <x:c r="AC494" s="268"/>
    </x:row>
    <x:row r="495">
      <x:c r="A495" s="268"/>
      <x:c r="B495" s="268"/>
      <x:c r="C495" s="268"/>
      <x:c r="D495" s="268"/>
      <x:c r="E495" s="268"/>
      <x:c r="F495" s="268"/>
      <x:c r="G495" s="268"/>
      <x:c r="H495" s="268"/>
      <x:c r="I495" s="268"/>
      <x:c r="J495" s="268"/>
      <x:c r="K495" s="268"/>
      <x:c r="L495" s="268"/>
      <x:c r="M495" s="268"/>
      <x:c r="N495" s="268"/>
      <x:c r="O495" s="268"/>
      <x:c r="P495" s="268"/>
      <x:c r="Q495" s="268"/>
      <x:c r="R495" s="268"/>
      <x:c r="S495" s="268"/>
      <x:c r="T495" s="268"/>
      <x:c r="U495" s="268"/>
      <x:c r="V495" s="268"/>
      <x:c r="W495" s="268"/>
      <x:c r="X495" s="268"/>
      <x:c r="Y495" s="268"/>
      <x:c r="Z495" s="268"/>
      <x:c r="AA495" s="268"/>
      <x:c r="AB495" s="268"/>
      <x:c r="AC495" s="268"/>
    </x:row>
    <x:row r="496">
      <x:c r="A496" s="268"/>
      <x:c r="B496" s="268"/>
      <x:c r="C496" s="268"/>
      <x:c r="D496" s="268"/>
      <x:c r="E496" s="268"/>
      <x:c r="F496" s="268"/>
      <x:c r="G496" s="268"/>
      <x:c r="H496" s="268"/>
      <x:c r="I496" s="268"/>
      <x:c r="J496" s="268"/>
      <x:c r="K496" s="268"/>
      <x:c r="L496" s="268"/>
      <x:c r="M496" s="268"/>
      <x:c r="N496" s="268"/>
      <x:c r="O496" s="268"/>
      <x:c r="P496" s="268"/>
      <x:c r="Q496" s="268"/>
      <x:c r="R496" s="268"/>
      <x:c r="S496" s="268"/>
      <x:c r="T496" s="268"/>
      <x:c r="U496" s="268"/>
      <x:c r="V496" s="268"/>
      <x:c r="W496" s="268"/>
      <x:c r="X496" s="268"/>
      <x:c r="Y496" s="268"/>
      <x:c r="Z496" s="268"/>
      <x:c r="AA496" s="268"/>
      <x:c r="AB496" s="268"/>
      <x:c r="AC496" s="268"/>
    </x:row>
    <x:row r="497">
      <x:c r="A497" s="268"/>
      <x:c r="B497" s="268"/>
      <x:c r="C497" s="268"/>
      <x:c r="D497" s="268"/>
      <x:c r="E497" s="268"/>
      <x:c r="F497" s="268"/>
      <x:c r="G497" s="268"/>
      <x:c r="H497" s="268"/>
      <x:c r="I497" s="268"/>
      <x:c r="J497" s="268"/>
      <x:c r="K497" s="268"/>
      <x:c r="L497" s="268"/>
      <x:c r="M497" s="268"/>
      <x:c r="N497" s="268"/>
      <x:c r="O497" s="268"/>
      <x:c r="P497" s="268"/>
      <x:c r="Q497" s="268"/>
      <x:c r="R497" s="268"/>
      <x:c r="S497" s="268"/>
      <x:c r="T497" s="268"/>
      <x:c r="U497" s="268"/>
      <x:c r="V497" s="268"/>
      <x:c r="W497" s="268"/>
      <x:c r="X497" s="268"/>
      <x:c r="Y497" s="268"/>
      <x:c r="Z497" s="268"/>
      <x:c r="AA497" s="268"/>
      <x:c r="AB497" s="268"/>
      <x:c r="AC497" s="268"/>
    </x:row>
    <x:row r="498">
      <x:c r="A498" s="268"/>
      <x:c r="B498" s="268"/>
      <x:c r="C498" s="268"/>
      <x:c r="D498" s="268"/>
      <x:c r="E498" s="268"/>
      <x:c r="F498" s="268"/>
      <x:c r="G498" s="268"/>
      <x:c r="H498" s="268"/>
      <x:c r="I498" s="268"/>
      <x:c r="J498" s="268"/>
      <x:c r="K498" s="268"/>
      <x:c r="L498" s="268"/>
      <x:c r="M498" s="268"/>
      <x:c r="N498" s="268"/>
      <x:c r="O498" s="268"/>
      <x:c r="P498" s="268"/>
      <x:c r="Q498" s="268"/>
      <x:c r="R498" s="268"/>
      <x:c r="S498" s="268"/>
      <x:c r="T498" s="268"/>
      <x:c r="U498" s="268"/>
      <x:c r="V498" s="268"/>
      <x:c r="W498" s="268"/>
      <x:c r="X498" s="268"/>
      <x:c r="Y498" s="268"/>
      <x:c r="Z498" s="268"/>
      <x:c r="AA498" s="268"/>
      <x:c r="AB498" s="268"/>
      <x:c r="AC498" s="268"/>
    </x:row>
    <x:row r="499">
      <x:c r="A499" s="268"/>
      <x:c r="B499" s="268"/>
      <x:c r="C499" s="268"/>
      <x:c r="D499" s="268"/>
      <x:c r="E499" s="268"/>
      <x:c r="F499" s="268"/>
      <x:c r="G499" s="268"/>
      <x:c r="H499" s="268"/>
      <x:c r="I499" s="268"/>
      <x:c r="J499" s="268"/>
      <x:c r="K499" s="268"/>
      <x:c r="L499" s="268"/>
      <x:c r="M499" s="268"/>
      <x:c r="N499" s="268"/>
      <x:c r="O499" s="268"/>
      <x:c r="P499" s="268"/>
      <x:c r="Q499" s="268"/>
      <x:c r="R499" s="268"/>
      <x:c r="S499" s="268"/>
      <x:c r="T499" s="268"/>
      <x:c r="U499" s="268"/>
      <x:c r="V499" s="268"/>
      <x:c r="W499" s="268"/>
      <x:c r="X499" s="268"/>
      <x:c r="Y499" s="268"/>
      <x:c r="Z499" s="268"/>
      <x:c r="AA499" s="268"/>
      <x:c r="AB499" s="268"/>
      <x:c r="AC499" s="268"/>
    </x:row>
    <x:row r="500">
      <x:c r="A500" s="268"/>
      <x:c r="B500" s="268"/>
      <x:c r="C500" s="268"/>
      <x:c r="D500" s="268"/>
      <x:c r="E500" s="268"/>
      <x:c r="F500" s="268"/>
      <x:c r="G500" s="268"/>
      <x:c r="H500" s="268"/>
      <x:c r="I500" s="268"/>
      <x:c r="J500" s="268"/>
      <x:c r="K500" s="268"/>
      <x:c r="L500" s="268"/>
      <x:c r="M500" s="268"/>
      <x:c r="N500" s="268"/>
      <x:c r="O500" s="268"/>
      <x:c r="P500" s="268"/>
      <x:c r="Q500" s="268"/>
      <x:c r="R500" s="268"/>
      <x:c r="S500" s="268"/>
      <x:c r="T500" s="268"/>
      <x:c r="U500" s="268"/>
      <x:c r="V500" s="268"/>
      <x:c r="W500" s="268"/>
      <x:c r="X500" s="268"/>
      <x:c r="Y500" s="268"/>
      <x:c r="Z500" s="268"/>
      <x:c r="AA500" s="268"/>
      <x:c r="AB500" s="268"/>
      <x:c r="AC500" s="268"/>
    </x:row>
    <x:row r="501">
      <x:c r="A501" s="268"/>
      <x:c r="B501" s="268"/>
      <x:c r="C501" s="268"/>
      <x:c r="D501" s="268"/>
      <x:c r="E501" s="268"/>
      <x:c r="F501" s="268"/>
      <x:c r="G501" s="268"/>
      <x:c r="H501" s="268"/>
      <x:c r="I501" s="268"/>
      <x:c r="J501" s="268"/>
      <x:c r="K501" s="268"/>
      <x:c r="L501" s="268"/>
      <x:c r="M501" s="268"/>
      <x:c r="N501" s="268"/>
      <x:c r="O501" s="268"/>
      <x:c r="P501" s="268"/>
      <x:c r="Q501" s="268"/>
      <x:c r="R501" s="268"/>
      <x:c r="S501" s="268"/>
      <x:c r="T501" s="268"/>
      <x:c r="U501" s="268"/>
      <x:c r="V501" s="268"/>
      <x:c r="W501" s="268"/>
      <x:c r="X501" s="268"/>
      <x:c r="Y501" s="268"/>
      <x:c r="Z501" s="268"/>
      <x:c r="AA501" s="268"/>
      <x:c r="AB501" s="268"/>
      <x:c r="AC501" s="268"/>
    </x:row>
    <x:row r="502">
      <x:c r="A502" s="268"/>
      <x:c r="B502" s="268"/>
      <x:c r="C502" s="268"/>
      <x:c r="D502" s="268"/>
      <x:c r="E502" s="268"/>
      <x:c r="F502" s="268"/>
      <x:c r="G502" s="268"/>
      <x:c r="H502" s="268"/>
      <x:c r="I502" s="268"/>
      <x:c r="J502" s="268"/>
      <x:c r="K502" s="268"/>
      <x:c r="L502" s="268"/>
      <x:c r="M502" s="268"/>
      <x:c r="N502" s="268"/>
      <x:c r="O502" s="268"/>
      <x:c r="P502" s="268"/>
      <x:c r="Q502" s="268"/>
      <x:c r="R502" s="268"/>
      <x:c r="S502" s="268"/>
      <x:c r="T502" s="268"/>
      <x:c r="U502" s="268"/>
      <x:c r="V502" s="268"/>
      <x:c r="W502" s="268"/>
      <x:c r="X502" s="268"/>
      <x:c r="Y502" s="268"/>
      <x:c r="Z502" s="268"/>
      <x:c r="AA502" s="268"/>
      <x:c r="AB502" s="268"/>
      <x:c r="AC502" s="268"/>
    </x:row>
    <x:row r="503">
      <x:c r="A503" s="268"/>
      <x:c r="B503" s="268"/>
      <x:c r="C503" s="268"/>
      <x:c r="D503" s="268"/>
      <x:c r="E503" s="268"/>
      <x:c r="F503" s="268"/>
      <x:c r="G503" s="268"/>
      <x:c r="H503" s="268"/>
      <x:c r="I503" s="268"/>
      <x:c r="J503" s="268"/>
      <x:c r="K503" s="268"/>
      <x:c r="L503" s="268"/>
      <x:c r="M503" s="268"/>
      <x:c r="N503" s="268"/>
      <x:c r="O503" s="268"/>
      <x:c r="P503" s="268"/>
      <x:c r="Q503" s="268"/>
      <x:c r="R503" s="268"/>
      <x:c r="S503" s="268"/>
      <x:c r="T503" s="268"/>
      <x:c r="U503" s="268"/>
      <x:c r="V503" s="268"/>
      <x:c r="W503" s="268"/>
      <x:c r="X503" s="268"/>
      <x:c r="Y503" s="268"/>
      <x:c r="Z503" s="268"/>
      <x:c r="AA503" s="268"/>
      <x:c r="AB503" s="268"/>
      <x:c r="AC503" s="268"/>
    </x:row>
    <x:row r="504">
      <x:c r="A504" s="268"/>
      <x:c r="B504" s="268"/>
      <x:c r="C504" s="268"/>
      <x:c r="D504" s="268"/>
      <x:c r="E504" s="268"/>
      <x:c r="F504" s="268"/>
      <x:c r="G504" s="268"/>
      <x:c r="H504" s="268"/>
      <x:c r="I504" s="268"/>
      <x:c r="J504" s="268"/>
      <x:c r="K504" s="268"/>
      <x:c r="L504" s="268"/>
      <x:c r="M504" s="268"/>
      <x:c r="N504" s="268"/>
      <x:c r="O504" s="268"/>
      <x:c r="P504" s="268"/>
      <x:c r="Q504" s="268"/>
      <x:c r="R504" s="268"/>
      <x:c r="S504" s="268"/>
      <x:c r="T504" s="268"/>
      <x:c r="U504" s="268"/>
      <x:c r="V504" s="268"/>
      <x:c r="W504" s="268"/>
      <x:c r="X504" s="268"/>
      <x:c r="Y504" s="268"/>
      <x:c r="Z504" s="268"/>
      <x:c r="AA504" s="268"/>
      <x:c r="AB504" s="268"/>
      <x:c r="AC504" s="268"/>
    </x:row>
    <x:row r="505">
      <x:c r="A505" s="268"/>
      <x:c r="B505" s="268"/>
      <x:c r="C505" s="268"/>
      <x:c r="D505" s="268"/>
      <x:c r="E505" s="268"/>
      <x:c r="F505" s="268"/>
      <x:c r="G505" s="268"/>
      <x:c r="H505" s="268"/>
      <x:c r="I505" s="268"/>
      <x:c r="J505" s="268"/>
      <x:c r="K505" s="268"/>
      <x:c r="L505" s="268"/>
      <x:c r="M505" s="268"/>
      <x:c r="N505" s="268"/>
      <x:c r="O505" s="268"/>
      <x:c r="P505" s="268"/>
      <x:c r="Q505" s="268"/>
      <x:c r="R505" s="268"/>
      <x:c r="S505" s="268"/>
      <x:c r="T505" s="268"/>
      <x:c r="U505" s="268"/>
      <x:c r="V505" s="268"/>
      <x:c r="W505" s="268"/>
      <x:c r="X505" s="268"/>
      <x:c r="Y505" s="268"/>
      <x:c r="Z505" s="268"/>
      <x:c r="AA505" s="268"/>
      <x:c r="AB505" s="268"/>
      <x:c r="AC505" s="268"/>
    </x:row>
    <x:row r="506">
      <x:c r="A506" s="268"/>
      <x:c r="B506" s="268"/>
      <x:c r="C506" s="268"/>
      <x:c r="D506" s="268"/>
      <x:c r="E506" s="268"/>
      <x:c r="F506" s="268"/>
      <x:c r="G506" s="268"/>
      <x:c r="H506" s="268"/>
      <x:c r="I506" s="268"/>
      <x:c r="J506" s="268"/>
      <x:c r="K506" s="268"/>
      <x:c r="L506" s="268"/>
      <x:c r="M506" s="268"/>
      <x:c r="N506" s="268"/>
      <x:c r="O506" s="268"/>
      <x:c r="P506" s="268"/>
      <x:c r="Q506" s="268"/>
      <x:c r="R506" s="268"/>
      <x:c r="S506" s="268"/>
      <x:c r="T506" s="268"/>
      <x:c r="U506" s="268"/>
      <x:c r="V506" s="268"/>
      <x:c r="W506" s="268"/>
      <x:c r="X506" s="268"/>
      <x:c r="Y506" s="268"/>
      <x:c r="Z506" s="268"/>
      <x:c r="AA506" s="268"/>
      <x:c r="AB506" s="268"/>
      <x:c r="AC506" s="268"/>
    </x:row>
    <x:row r="507">
      <x:c r="A507" s="268"/>
      <x:c r="B507" s="268"/>
      <x:c r="C507" s="268"/>
      <x:c r="D507" s="268"/>
      <x:c r="E507" s="268"/>
      <x:c r="F507" s="268"/>
      <x:c r="G507" s="268"/>
      <x:c r="H507" s="268"/>
      <x:c r="I507" s="268"/>
      <x:c r="J507" s="268"/>
      <x:c r="K507" s="268"/>
      <x:c r="L507" s="268"/>
      <x:c r="M507" s="268"/>
      <x:c r="N507" s="268"/>
      <x:c r="O507" s="268"/>
      <x:c r="P507" s="268"/>
      <x:c r="Q507" s="268"/>
      <x:c r="R507" s="268"/>
      <x:c r="S507" s="268"/>
      <x:c r="T507" s="268"/>
      <x:c r="U507" s="268"/>
      <x:c r="V507" s="268"/>
      <x:c r="W507" s="268"/>
      <x:c r="X507" s="268"/>
      <x:c r="Y507" s="268"/>
      <x:c r="Z507" s="268"/>
      <x:c r="AA507" s="268"/>
      <x:c r="AB507" s="268"/>
      <x:c r="AC507" s="268"/>
    </x:row>
    <x:row r="508">
      <x:c r="A508" s="268"/>
      <x:c r="B508" s="268"/>
      <x:c r="C508" s="268"/>
      <x:c r="D508" s="268"/>
      <x:c r="E508" s="268"/>
      <x:c r="F508" s="268"/>
      <x:c r="G508" s="268"/>
      <x:c r="H508" s="268"/>
      <x:c r="I508" s="268"/>
      <x:c r="J508" s="268"/>
      <x:c r="K508" s="268"/>
      <x:c r="L508" s="268"/>
      <x:c r="M508" s="268"/>
      <x:c r="N508" s="268"/>
      <x:c r="O508" s="268"/>
      <x:c r="P508" s="268"/>
      <x:c r="Q508" s="268"/>
      <x:c r="R508" s="268"/>
      <x:c r="S508" s="268"/>
      <x:c r="T508" s="268"/>
      <x:c r="U508" s="268"/>
      <x:c r="V508" s="268"/>
      <x:c r="W508" s="268"/>
      <x:c r="X508" s="268"/>
      <x:c r="Y508" s="268"/>
      <x:c r="Z508" s="268"/>
      <x:c r="AA508" s="268"/>
      <x:c r="AB508" s="268"/>
      <x:c r="AC508" s="268"/>
    </x:row>
    <x:row r="509">
      <x:c r="A509" s="268"/>
      <x:c r="B509" s="268"/>
      <x:c r="C509" s="268"/>
      <x:c r="D509" s="268"/>
      <x:c r="E509" s="268"/>
      <x:c r="F509" s="268"/>
      <x:c r="G509" s="268"/>
      <x:c r="H509" s="268"/>
      <x:c r="I509" s="268"/>
      <x:c r="J509" s="268"/>
      <x:c r="K509" s="268"/>
      <x:c r="L509" s="268"/>
      <x:c r="M509" s="268"/>
      <x:c r="N509" s="268"/>
      <x:c r="O509" s="268"/>
      <x:c r="P509" s="268"/>
      <x:c r="Q509" s="268"/>
      <x:c r="R509" s="268"/>
      <x:c r="S509" s="268"/>
      <x:c r="T509" s="268"/>
      <x:c r="U509" s="268"/>
      <x:c r="V509" s="268"/>
      <x:c r="W509" s="268"/>
      <x:c r="X509" s="268"/>
      <x:c r="Y509" s="268"/>
      <x:c r="Z509" s="268"/>
      <x:c r="AA509" s="268"/>
      <x:c r="AB509" s="268"/>
      <x:c r="AC509" s="268"/>
    </x:row>
    <x:row r="510">
      <x:c r="A510" s="268"/>
      <x:c r="B510" s="268"/>
      <x:c r="C510" s="268"/>
      <x:c r="D510" s="268"/>
      <x:c r="E510" s="268"/>
      <x:c r="F510" s="268"/>
      <x:c r="G510" s="268"/>
      <x:c r="H510" s="268"/>
      <x:c r="I510" s="268"/>
      <x:c r="J510" s="268"/>
      <x:c r="K510" s="268"/>
      <x:c r="L510" s="268"/>
      <x:c r="M510" s="268"/>
      <x:c r="N510" s="268"/>
      <x:c r="O510" s="268"/>
      <x:c r="P510" s="268"/>
      <x:c r="Q510" s="268"/>
      <x:c r="R510" s="268"/>
      <x:c r="S510" s="268"/>
      <x:c r="T510" s="268"/>
      <x:c r="U510" s="268"/>
      <x:c r="V510" s="268"/>
      <x:c r="W510" s="268"/>
      <x:c r="X510" s="268"/>
      <x:c r="Y510" s="268"/>
      <x:c r="Z510" s="268"/>
      <x:c r="AA510" s="268"/>
      <x:c r="AB510" s="268"/>
      <x:c r="AC510" s="268"/>
    </x:row>
    <x:row r="511">
      <x:c r="A511" s="268"/>
      <x:c r="B511" s="268"/>
      <x:c r="C511" s="268"/>
      <x:c r="D511" s="268"/>
      <x:c r="E511" s="268"/>
      <x:c r="F511" s="268"/>
      <x:c r="G511" s="268"/>
      <x:c r="H511" s="268"/>
      <x:c r="I511" s="268"/>
      <x:c r="J511" s="268"/>
      <x:c r="K511" s="268"/>
      <x:c r="L511" s="268"/>
      <x:c r="M511" s="268"/>
      <x:c r="N511" s="268"/>
      <x:c r="O511" s="268"/>
      <x:c r="P511" s="268"/>
      <x:c r="Q511" s="268"/>
      <x:c r="R511" s="268"/>
      <x:c r="S511" s="268"/>
      <x:c r="T511" s="268"/>
      <x:c r="U511" s="268"/>
      <x:c r="V511" s="268"/>
      <x:c r="W511" s="268"/>
      <x:c r="X511" s="268"/>
      <x:c r="Y511" s="268"/>
      <x:c r="Z511" s="268"/>
      <x:c r="AA511" s="268"/>
      <x:c r="AB511" s="268"/>
      <x:c r="AC511" s="268"/>
    </x:row>
    <x:row r="512">
      <x:c r="A512" s="268"/>
      <x:c r="B512" s="268"/>
      <x:c r="C512" s="268"/>
      <x:c r="D512" s="268"/>
      <x:c r="E512" s="268"/>
      <x:c r="F512" s="268"/>
      <x:c r="G512" s="268"/>
      <x:c r="H512" s="268"/>
      <x:c r="I512" s="268"/>
      <x:c r="J512" s="268"/>
      <x:c r="K512" s="268"/>
      <x:c r="L512" s="268"/>
      <x:c r="M512" s="268"/>
      <x:c r="N512" s="268"/>
      <x:c r="O512" s="268"/>
      <x:c r="P512" s="268"/>
      <x:c r="Q512" s="268"/>
      <x:c r="R512" s="268"/>
      <x:c r="S512" s="268"/>
      <x:c r="T512" s="268"/>
      <x:c r="U512" s="268"/>
      <x:c r="V512" s="268"/>
      <x:c r="W512" s="268"/>
      <x:c r="X512" s="268"/>
      <x:c r="Y512" s="268"/>
      <x:c r="Z512" s="268"/>
      <x:c r="AA512" s="268"/>
      <x:c r="AB512" s="268"/>
      <x:c r="AC512" s="268"/>
    </x:row>
    <x:row r="513">
      <x:c r="A513" s="268"/>
      <x:c r="B513" s="268"/>
      <x:c r="C513" s="268"/>
      <x:c r="D513" s="268"/>
      <x:c r="E513" s="268"/>
      <x:c r="F513" s="268"/>
      <x:c r="G513" s="268"/>
      <x:c r="H513" s="268"/>
      <x:c r="I513" s="268"/>
      <x:c r="J513" s="268"/>
      <x:c r="K513" s="268"/>
      <x:c r="L513" s="268"/>
      <x:c r="M513" s="268"/>
      <x:c r="N513" s="268"/>
      <x:c r="O513" s="268"/>
      <x:c r="P513" s="268"/>
      <x:c r="Q513" s="268"/>
      <x:c r="R513" s="268"/>
      <x:c r="S513" s="268"/>
      <x:c r="T513" s="268"/>
      <x:c r="U513" s="268"/>
      <x:c r="V513" s="268"/>
      <x:c r="W513" s="268"/>
      <x:c r="X513" s="268"/>
      <x:c r="Y513" s="268"/>
      <x:c r="Z513" s="268"/>
      <x:c r="AA513" s="268"/>
      <x:c r="AB513" s="268"/>
      <x:c r="AC513" s="268"/>
    </x:row>
    <x:row r="514">
      <x:c r="A514" s="268"/>
      <x:c r="B514" s="268"/>
      <x:c r="C514" s="268"/>
      <x:c r="D514" s="268"/>
      <x:c r="E514" s="268"/>
      <x:c r="F514" s="268"/>
      <x:c r="G514" s="268"/>
      <x:c r="H514" s="268"/>
      <x:c r="I514" s="268"/>
      <x:c r="J514" s="268"/>
      <x:c r="K514" s="268"/>
      <x:c r="L514" s="268"/>
      <x:c r="M514" s="268"/>
      <x:c r="N514" s="268"/>
      <x:c r="O514" s="268"/>
      <x:c r="P514" s="268"/>
      <x:c r="Q514" s="268"/>
      <x:c r="R514" s="268"/>
      <x:c r="S514" s="268"/>
      <x:c r="T514" s="268"/>
      <x:c r="U514" s="268"/>
      <x:c r="V514" s="268"/>
      <x:c r="W514" s="268"/>
      <x:c r="X514" s="268"/>
      <x:c r="Y514" s="268"/>
      <x:c r="Z514" s="268"/>
      <x:c r="AA514" s="268"/>
      <x:c r="AB514" s="268"/>
      <x:c r="AC514" s="268"/>
    </x:row>
    <x:row r="515">
      <x:c r="A515" s="268"/>
      <x:c r="B515" s="268"/>
      <x:c r="C515" s="268"/>
      <x:c r="D515" s="268"/>
      <x:c r="E515" s="268"/>
      <x:c r="F515" s="268"/>
      <x:c r="G515" s="268"/>
      <x:c r="H515" s="268"/>
      <x:c r="I515" s="268"/>
      <x:c r="J515" s="268"/>
      <x:c r="K515" s="268"/>
      <x:c r="L515" s="268"/>
      <x:c r="M515" s="268"/>
      <x:c r="N515" s="268"/>
      <x:c r="O515" s="268"/>
      <x:c r="P515" s="268"/>
      <x:c r="Q515" s="268"/>
      <x:c r="R515" s="268"/>
      <x:c r="S515" s="268"/>
      <x:c r="T515" s="268"/>
      <x:c r="U515" s="268"/>
      <x:c r="V515" s="268"/>
      <x:c r="W515" s="268"/>
      <x:c r="X515" s="268"/>
      <x:c r="Y515" s="268"/>
      <x:c r="Z515" s="268"/>
      <x:c r="AA515" s="268"/>
      <x:c r="AB515" s="268"/>
      <x:c r="AC515" s="268"/>
    </x:row>
    <x:row r="516">
      <x:c r="A516" s="268"/>
      <x:c r="B516" s="268"/>
      <x:c r="C516" s="268"/>
      <x:c r="D516" s="268"/>
      <x:c r="E516" s="268"/>
      <x:c r="F516" s="268"/>
      <x:c r="G516" s="268"/>
      <x:c r="H516" s="268"/>
      <x:c r="I516" s="268"/>
      <x:c r="J516" s="268"/>
      <x:c r="K516" s="268"/>
      <x:c r="L516" s="268"/>
      <x:c r="M516" s="268"/>
      <x:c r="N516" s="268"/>
      <x:c r="O516" s="268"/>
      <x:c r="P516" s="268"/>
      <x:c r="Q516" s="268"/>
      <x:c r="R516" s="268"/>
      <x:c r="S516" s="268"/>
      <x:c r="T516" s="268"/>
      <x:c r="U516" s="268"/>
      <x:c r="V516" s="268"/>
      <x:c r="W516" s="268"/>
      <x:c r="X516" s="268"/>
      <x:c r="Y516" s="268"/>
      <x:c r="Z516" s="268"/>
      <x:c r="AA516" s="268"/>
      <x:c r="AB516" s="268"/>
      <x:c r="AC516" s="268"/>
    </x:row>
    <x:row r="517">
      <x:c r="A517" s="268"/>
      <x:c r="B517" s="268"/>
      <x:c r="C517" s="268"/>
      <x:c r="D517" s="268"/>
      <x:c r="E517" s="268"/>
      <x:c r="F517" s="268"/>
      <x:c r="G517" s="268"/>
      <x:c r="H517" s="268"/>
      <x:c r="I517" s="268"/>
      <x:c r="J517" s="268"/>
      <x:c r="K517" s="268"/>
      <x:c r="L517" s="268"/>
      <x:c r="M517" s="268"/>
      <x:c r="N517" s="268"/>
      <x:c r="O517" s="268"/>
      <x:c r="P517" s="268"/>
      <x:c r="Q517" s="268"/>
      <x:c r="R517" s="268"/>
      <x:c r="S517" s="268"/>
      <x:c r="T517" s="268"/>
      <x:c r="U517" s="268"/>
      <x:c r="V517" s="268"/>
      <x:c r="W517" s="268"/>
      <x:c r="X517" s="268"/>
      <x:c r="Y517" s="268"/>
      <x:c r="Z517" s="268"/>
      <x:c r="AA517" s="268"/>
      <x:c r="AB517" s="268"/>
      <x:c r="AC517" s="268"/>
    </x:row>
    <x:row r="518">
      <x:c r="A518" s="268"/>
      <x:c r="B518" s="268"/>
      <x:c r="C518" s="268"/>
      <x:c r="D518" s="268"/>
      <x:c r="E518" s="268"/>
      <x:c r="F518" s="268"/>
      <x:c r="G518" s="268"/>
      <x:c r="H518" s="268"/>
      <x:c r="I518" s="268"/>
      <x:c r="J518" s="268"/>
      <x:c r="K518" s="268"/>
      <x:c r="L518" s="268"/>
      <x:c r="M518" s="268"/>
      <x:c r="N518" s="268"/>
      <x:c r="O518" s="268"/>
      <x:c r="P518" s="268"/>
      <x:c r="Q518" s="268"/>
      <x:c r="R518" s="268"/>
      <x:c r="S518" s="268"/>
      <x:c r="T518" s="268"/>
      <x:c r="U518" s="268"/>
      <x:c r="V518" s="268"/>
      <x:c r="W518" s="268"/>
      <x:c r="X518" s="268"/>
      <x:c r="Y518" s="268"/>
      <x:c r="Z518" s="268"/>
      <x:c r="AA518" s="268"/>
      <x:c r="AB518" s="268"/>
      <x:c r="AC518" s="268"/>
    </x:row>
    <x:row r="519">
      <x:c r="A519" s="268"/>
      <x:c r="B519" s="268"/>
      <x:c r="C519" s="268"/>
      <x:c r="D519" s="268"/>
      <x:c r="E519" s="268"/>
      <x:c r="F519" s="268"/>
      <x:c r="G519" s="268"/>
      <x:c r="H519" s="268"/>
      <x:c r="I519" s="268"/>
      <x:c r="J519" s="268"/>
      <x:c r="K519" s="268"/>
      <x:c r="L519" s="268"/>
      <x:c r="M519" s="268"/>
      <x:c r="N519" s="268"/>
      <x:c r="O519" s="268"/>
      <x:c r="P519" s="268"/>
      <x:c r="Q519" s="268"/>
      <x:c r="R519" s="268"/>
      <x:c r="S519" s="268"/>
      <x:c r="T519" s="268"/>
      <x:c r="U519" s="268"/>
      <x:c r="V519" s="268"/>
      <x:c r="W519" s="268"/>
      <x:c r="X519" s="268"/>
      <x:c r="Y519" s="268"/>
      <x:c r="Z519" s="268"/>
      <x:c r="AA519" s="268"/>
      <x:c r="AB519" s="268"/>
      <x:c r="AC519" s="268"/>
    </x:row>
    <x:row r="520">
      <x:c r="A520" s="268"/>
      <x:c r="B520" s="268"/>
      <x:c r="C520" s="268"/>
      <x:c r="D520" s="268"/>
      <x:c r="E520" s="268"/>
      <x:c r="F520" s="268"/>
      <x:c r="G520" s="268"/>
      <x:c r="H520" s="268"/>
      <x:c r="I520" s="268"/>
      <x:c r="J520" s="268"/>
      <x:c r="K520" s="268"/>
      <x:c r="L520" s="268"/>
      <x:c r="M520" s="268"/>
      <x:c r="N520" s="268"/>
      <x:c r="O520" s="268"/>
      <x:c r="P520" s="268"/>
      <x:c r="Q520" s="268"/>
      <x:c r="R520" s="268"/>
      <x:c r="S520" s="268"/>
      <x:c r="T520" s="268"/>
      <x:c r="U520" s="268"/>
      <x:c r="V520" s="268"/>
      <x:c r="W520" s="268"/>
      <x:c r="X520" s="268"/>
      <x:c r="Y520" s="268"/>
      <x:c r="Z520" s="268"/>
      <x:c r="AA520" s="268"/>
      <x:c r="AB520" s="268"/>
      <x:c r="AC520" s="268"/>
    </x:row>
    <x:row r="521">
      <x:c r="A521" s="268"/>
      <x:c r="B521" s="268"/>
      <x:c r="C521" s="268"/>
      <x:c r="D521" s="268"/>
      <x:c r="E521" s="268"/>
      <x:c r="F521" s="268"/>
      <x:c r="G521" s="268"/>
      <x:c r="H521" s="268"/>
      <x:c r="I521" s="268"/>
      <x:c r="J521" s="268"/>
      <x:c r="K521" s="268"/>
      <x:c r="L521" s="268"/>
      <x:c r="M521" s="268"/>
      <x:c r="N521" s="268"/>
      <x:c r="O521" s="268"/>
      <x:c r="P521" s="268"/>
      <x:c r="Q521" s="268"/>
      <x:c r="R521" s="268"/>
      <x:c r="S521" s="268"/>
      <x:c r="T521" s="268"/>
      <x:c r="U521" s="268"/>
      <x:c r="V521" s="268"/>
      <x:c r="W521" s="268"/>
      <x:c r="X521" s="268"/>
      <x:c r="Y521" s="268"/>
      <x:c r="Z521" s="268"/>
      <x:c r="AA521" s="268"/>
      <x:c r="AB521" s="268"/>
      <x:c r="AC521" s="268"/>
    </x:row>
    <x:row r="522">
      <x:c r="A522" s="268"/>
      <x:c r="B522" s="268"/>
      <x:c r="C522" s="268"/>
      <x:c r="D522" s="268"/>
      <x:c r="E522" s="268"/>
      <x:c r="F522" s="268"/>
      <x:c r="G522" s="268"/>
      <x:c r="H522" s="268"/>
      <x:c r="I522" s="268"/>
      <x:c r="J522" s="268"/>
      <x:c r="K522" s="268"/>
      <x:c r="L522" s="268"/>
      <x:c r="M522" s="268"/>
      <x:c r="N522" s="268"/>
      <x:c r="O522" s="268"/>
      <x:c r="P522" s="268"/>
      <x:c r="Q522" s="268"/>
      <x:c r="R522" s="268"/>
      <x:c r="S522" s="268"/>
      <x:c r="T522" s="268"/>
      <x:c r="U522" s="268"/>
      <x:c r="V522" s="268"/>
      <x:c r="W522" s="268"/>
      <x:c r="X522" s="268"/>
      <x:c r="Y522" s="268"/>
      <x:c r="Z522" s="268"/>
      <x:c r="AA522" s="268"/>
      <x:c r="AB522" s="268"/>
      <x:c r="AC522" s="268"/>
    </x:row>
    <x:row r="523">
      <x:c r="A523" s="268"/>
      <x:c r="B523" s="268"/>
      <x:c r="C523" s="268"/>
      <x:c r="D523" s="268"/>
      <x:c r="E523" s="268"/>
      <x:c r="F523" s="268"/>
      <x:c r="G523" s="268"/>
      <x:c r="H523" s="268"/>
      <x:c r="I523" s="268"/>
      <x:c r="J523" s="268"/>
      <x:c r="K523" s="268"/>
      <x:c r="L523" s="268"/>
      <x:c r="M523" s="268"/>
      <x:c r="N523" s="268"/>
      <x:c r="O523" s="268"/>
      <x:c r="P523" s="268"/>
      <x:c r="Q523" s="268"/>
      <x:c r="R523" s="268"/>
      <x:c r="S523" s="268"/>
      <x:c r="T523" s="268"/>
      <x:c r="U523" s="268"/>
      <x:c r="V523" s="268"/>
      <x:c r="W523" s="268"/>
      <x:c r="X523" s="268"/>
      <x:c r="Y523" s="268"/>
      <x:c r="Z523" s="268"/>
      <x:c r="AA523" s="268"/>
      <x:c r="AB523" s="268"/>
      <x:c r="AC523" s="268"/>
    </x:row>
    <x:row r="524">
      <x:c r="A524" s="268"/>
      <x:c r="B524" s="268"/>
      <x:c r="C524" s="268"/>
      <x:c r="D524" s="268"/>
      <x:c r="E524" s="268"/>
      <x:c r="F524" s="268"/>
      <x:c r="G524" s="268"/>
      <x:c r="H524" s="268"/>
      <x:c r="I524" s="268"/>
      <x:c r="J524" s="268"/>
      <x:c r="K524" s="268"/>
      <x:c r="L524" s="268"/>
      <x:c r="M524" s="268"/>
      <x:c r="N524" s="268"/>
      <x:c r="O524" s="268"/>
      <x:c r="P524" s="268"/>
      <x:c r="Q524" s="268"/>
      <x:c r="R524" s="268"/>
      <x:c r="S524" s="268"/>
      <x:c r="T524" s="268"/>
      <x:c r="U524" s="268"/>
      <x:c r="V524" s="268"/>
      <x:c r="W524" s="268"/>
      <x:c r="X524" s="268"/>
      <x:c r="Y524" s="268"/>
      <x:c r="Z524" s="268"/>
      <x:c r="AA524" s="268"/>
      <x:c r="AB524" s="268"/>
      <x:c r="AC524" s="268"/>
    </x:row>
    <x:row r="525">
      <x:c r="A525" s="268"/>
      <x:c r="B525" s="268"/>
      <x:c r="C525" s="268"/>
      <x:c r="D525" s="268"/>
      <x:c r="E525" s="268"/>
      <x:c r="F525" s="268"/>
      <x:c r="G525" s="268"/>
      <x:c r="H525" s="268"/>
      <x:c r="I525" s="268"/>
      <x:c r="J525" s="268"/>
      <x:c r="K525" s="268"/>
      <x:c r="L525" s="268"/>
      <x:c r="M525" s="268"/>
      <x:c r="N525" s="268"/>
      <x:c r="O525" s="268"/>
      <x:c r="P525" s="268"/>
      <x:c r="Q525" s="268"/>
      <x:c r="R525" s="268"/>
      <x:c r="S525" s="268"/>
      <x:c r="T525" s="268"/>
      <x:c r="U525" s="268"/>
      <x:c r="V525" s="268"/>
      <x:c r="W525" s="268"/>
      <x:c r="X525" s="268"/>
      <x:c r="Y525" s="268"/>
      <x:c r="Z525" s="268"/>
      <x:c r="AA525" s="268"/>
      <x:c r="AB525" s="268"/>
      <x:c r="AC525" s="268"/>
    </x:row>
    <x:row r="526">
      <x:c r="A526" s="268"/>
      <x:c r="B526" s="268"/>
      <x:c r="C526" s="268"/>
      <x:c r="D526" s="268"/>
      <x:c r="E526" s="268"/>
      <x:c r="F526" s="268"/>
      <x:c r="G526" s="268"/>
      <x:c r="H526" s="268"/>
      <x:c r="I526" s="268"/>
      <x:c r="J526" s="268"/>
      <x:c r="K526" s="268"/>
      <x:c r="L526" s="268"/>
      <x:c r="M526" s="268"/>
      <x:c r="N526" s="268"/>
      <x:c r="O526" s="268"/>
      <x:c r="P526" s="268"/>
      <x:c r="Q526" s="268"/>
      <x:c r="R526" s="268"/>
      <x:c r="S526" s="268"/>
      <x:c r="T526" s="268"/>
      <x:c r="U526" s="268"/>
      <x:c r="V526" s="268"/>
      <x:c r="W526" s="268"/>
      <x:c r="X526" s="268"/>
      <x:c r="Y526" s="268"/>
      <x:c r="Z526" s="268"/>
      <x:c r="AA526" s="268"/>
      <x:c r="AB526" s="268"/>
      <x:c r="AC526" s="268"/>
    </x:row>
    <x:row r="527">
      <x:c r="A527" s="268"/>
      <x:c r="B527" s="268"/>
      <x:c r="C527" s="268"/>
      <x:c r="D527" s="268"/>
      <x:c r="E527" s="268"/>
      <x:c r="F527" s="268"/>
      <x:c r="G527" s="268"/>
      <x:c r="H527" s="268"/>
      <x:c r="I527" s="268"/>
      <x:c r="J527" s="268"/>
      <x:c r="K527" s="268"/>
      <x:c r="L527" s="268"/>
      <x:c r="M527" s="268"/>
      <x:c r="N527" s="268"/>
      <x:c r="O527" s="268"/>
      <x:c r="P527" s="268"/>
      <x:c r="Q527" s="268"/>
      <x:c r="R527" s="268"/>
      <x:c r="S527" s="268"/>
      <x:c r="T527" s="268"/>
      <x:c r="U527" s="268"/>
      <x:c r="V527" s="268"/>
      <x:c r="W527" s="268"/>
      <x:c r="X527" s="268"/>
      <x:c r="Y527" s="268"/>
      <x:c r="Z527" s="268"/>
      <x:c r="AA527" s="268"/>
      <x:c r="AB527" s="268"/>
      <x:c r="AC527" s="268"/>
    </x:row>
    <x:row r="528">
      <x:c r="A528" s="268"/>
      <x:c r="B528" s="268"/>
      <x:c r="C528" s="268"/>
      <x:c r="D528" s="268"/>
      <x:c r="E528" s="268"/>
      <x:c r="F528" s="268"/>
      <x:c r="G528" s="268"/>
      <x:c r="H528" s="268"/>
      <x:c r="I528" s="268"/>
      <x:c r="J528" s="268"/>
      <x:c r="K528" s="268"/>
      <x:c r="L528" s="268"/>
      <x:c r="M528" s="268"/>
      <x:c r="N528" s="268"/>
      <x:c r="O528" s="268"/>
      <x:c r="P528" s="268"/>
      <x:c r="Q528" s="268"/>
      <x:c r="R528" s="268"/>
      <x:c r="S528" s="268"/>
      <x:c r="T528" s="268"/>
      <x:c r="U528" s="268"/>
      <x:c r="V528" s="268"/>
      <x:c r="W528" s="268"/>
      <x:c r="X528" s="268"/>
      <x:c r="Y528" s="268"/>
      <x:c r="Z528" s="268"/>
      <x:c r="AA528" s="268"/>
      <x:c r="AB528" s="268"/>
      <x:c r="AC528" s="268"/>
    </x:row>
    <x:row r="529">
      <x:c r="A529" s="268"/>
      <x:c r="B529" s="268"/>
      <x:c r="C529" s="268"/>
      <x:c r="D529" s="268"/>
      <x:c r="E529" s="268"/>
      <x:c r="F529" s="268"/>
      <x:c r="G529" s="268"/>
      <x:c r="H529" s="268"/>
      <x:c r="I529" s="268"/>
      <x:c r="J529" s="268"/>
      <x:c r="K529" s="268"/>
      <x:c r="L529" s="268"/>
      <x:c r="M529" s="268"/>
      <x:c r="N529" s="268"/>
      <x:c r="O529" s="268"/>
      <x:c r="P529" s="268"/>
      <x:c r="Q529" s="268"/>
      <x:c r="R529" s="268"/>
      <x:c r="S529" s="268"/>
      <x:c r="T529" s="268"/>
      <x:c r="U529" s="268"/>
      <x:c r="V529" s="268"/>
      <x:c r="W529" s="268"/>
      <x:c r="X529" s="268"/>
      <x:c r="Y529" s="268"/>
      <x:c r="Z529" s="268"/>
      <x:c r="AA529" s="268"/>
      <x:c r="AB529" s="268"/>
      <x:c r="AC529" s="268"/>
    </x:row>
    <x:row r="530">
      <x:c r="A530" s="268"/>
      <x:c r="B530" s="268"/>
      <x:c r="C530" s="268"/>
      <x:c r="D530" s="268"/>
      <x:c r="E530" s="268"/>
      <x:c r="F530" s="268"/>
      <x:c r="G530" s="268"/>
      <x:c r="H530" s="268"/>
      <x:c r="I530" s="268"/>
      <x:c r="J530" s="268"/>
      <x:c r="K530" s="268"/>
      <x:c r="L530" s="268"/>
      <x:c r="M530" s="268"/>
      <x:c r="N530" s="268"/>
      <x:c r="O530" s="268"/>
      <x:c r="P530" s="268"/>
      <x:c r="Q530" s="268"/>
      <x:c r="R530" s="268"/>
      <x:c r="S530" s="268"/>
      <x:c r="T530" s="268"/>
      <x:c r="U530" s="268"/>
      <x:c r="V530" s="268"/>
      <x:c r="W530" s="268"/>
      <x:c r="X530" s="268"/>
      <x:c r="Y530" s="268"/>
      <x:c r="Z530" s="268"/>
      <x:c r="AA530" s="268"/>
      <x:c r="AB530" s="268"/>
      <x:c r="AC530" s="268"/>
    </x:row>
    <x:row r="531">
      <x:c r="A531" s="268"/>
      <x:c r="B531" s="268"/>
      <x:c r="C531" s="268"/>
      <x:c r="D531" s="268"/>
      <x:c r="E531" s="268"/>
      <x:c r="F531" s="268"/>
      <x:c r="G531" s="268"/>
      <x:c r="H531" s="268"/>
      <x:c r="I531" s="268"/>
      <x:c r="J531" s="268"/>
      <x:c r="K531" s="268"/>
      <x:c r="L531" s="268"/>
      <x:c r="M531" s="268"/>
      <x:c r="N531" s="268"/>
      <x:c r="O531" s="268"/>
      <x:c r="P531" s="268"/>
      <x:c r="Q531" s="268"/>
      <x:c r="R531" s="268"/>
      <x:c r="S531" s="268"/>
      <x:c r="T531" s="268"/>
      <x:c r="U531" s="268"/>
      <x:c r="V531" s="268"/>
      <x:c r="W531" s="268"/>
      <x:c r="X531" s="268"/>
      <x:c r="Y531" s="268"/>
      <x:c r="Z531" s="268"/>
      <x:c r="AA531" s="268"/>
      <x:c r="AB531" s="268"/>
      <x:c r="AC531" s="268"/>
    </x:row>
    <x:row r="532">
      <x:c r="A532" s="268"/>
      <x:c r="B532" s="268"/>
      <x:c r="C532" s="268"/>
      <x:c r="D532" s="268"/>
      <x:c r="E532" s="268"/>
      <x:c r="F532" s="268"/>
      <x:c r="G532" s="268"/>
      <x:c r="H532" s="268"/>
      <x:c r="I532" s="268"/>
      <x:c r="J532" s="268"/>
      <x:c r="K532" s="268"/>
      <x:c r="L532" s="268"/>
      <x:c r="M532" s="268"/>
      <x:c r="N532" s="268"/>
      <x:c r="O532" s="268"/>
      <x:c r="P532" s="268"/>
      <x:c r="Q532" s="268"/>
      <x:c r="R532" s="268"/>
      <x:c r="S532" s="268"/>
      <x:c r="T532" s="268"/>
      <x:c r="U532" s="268"/>
      <x:c r="V532" s="268"/>
      <x:c r="W532" s="268"/>
      <x:c r="X532" s="268"/>
      <x:c r="Y532" s="268"/>
      <x:c r="Z532" s="268"/>
      <x:c r="AA532" s="268"/>
      <x:c r="AB532" s="268"/>
      <x:c r="AC532" s="268"/>
    </x:row>
    <x:row r="533">
      <x:c r="A533" s="268"/>
      <x:c r="B533" s="268"/>
      <x:c r="C533" s="268"/>
      <x:c r="D533" s="268"/>
      <x:c r="E533" s="268"/>
      <x:c r="F533" s="268"/>
      <x:c r="G533" s="268"/>
      <x:c r="H533" s="268"/>
      <x:c r="I533" s="268"/>
      <x:c r="J533" s="268"/>
      <x:c r="K533" s="268"/>
      <x:c r="L533" s="268"/>
      <x:c r="M533" s="268"/>
      <x:c r="N533" s="268"/>
      <x:c r="O533" s="268"/>
      <x:c r="P533" s="268"/>
      <x:c r="Q533" s="268"/>
      <x:c r="R533" s="268"/>
      <x:c r="S533" s="268"/>
      <x:c r="T533" s="268"/>
      <x:c r="U533" s="268"/>
      <x:c r="V533" s="268"/>
      <x:c r="W533" s="268"/>
      <x:c r="X533" s="268"/>
      <x:c r="Y533" s="268"/>
      <x:c r="Z533" s="268"/>
      <x:c r="AA533" s="268"/>
      <x:c r="AB533" s="268"/>
      <x:c r="AC533" s="268"/>
    </x:row>
    <x:row r="534">
      <x:c r="A534" s="268"/>
      <x:c r="B534" s="268"/>
      <x:c r="C534" s="268"/>
      <x:c r="D534" s="268"/>
      <x:c r="E534" s="268"/>
      <x:c r="F534" s="268"/>
      <x:c r="G534" s="268"/>
      <x:c r="H534" s="268"/>
      <x:c r="I534" s="268"/>
      <x:c r="J534" s="268"/>
      <x:c r="K534" s="268"/>
      <x:c r="L534" s="268"/>
      <x:c r="M534" s="268"/>
      <x:c r="N534" s="268"/>
      <x:c r="O534" s="268"/>
      <x:c r="P534" s="268"/>
      <x:c r="Q534" s="268"/>
      <x:c r="R534" s="268"/>
      <x:c r="S534" s="268"/>
      <x:c r="T534" s="268"/>
      <x:c r="U534" s="268"/>
      <x:c r="V534" s="268"/>
      <x:c r="W534" s="268"/>
      <x:c r="X534" s="268"/>
      <x:c r="Y534" s="268"/>
      <x:c r="Z534" s="268"/>
      <x:c r="AA534" s="268"/>
      <x:c r="AB534" s="268"/>
      <x:c r="AC534" s="268"/>
    </x:row>
    <x:row r="535">
      <x:c r="A535" s="268"/>
      <x:c r="B535" s="268"/>
      <x:c r="C535" s="268"/>
      <x:c r="D535" s="268"/>
      <x:c r="E535" s="268"/>
      <x:c r="F535" s="268"/>
      <x:c r="G535" s="268"/>
      <x:c r="H535" s="268"/>
      <x:c r="I535" s="268"/>
      <x:c r="J535" s="268"/>
      <x:c r="K535" s="268"/>
      <x:c r="L535" s="268"/>
      <x:c r="M535" s="268"/>
      <x:c r="N535" s="268"/>
      <x:c r="O535" s="268"/>
      <x:c r="P535" s="268"/>
      <x:c r="Q535" s="268"/>
      <x:c r="R535" s="268"/>
      <x:c r="S535" s="268"/>
      <x:c r="T535" s="268"/>
      <x:c r="U535" s="268"/>
      <x:c r="V535" s="268"/>
      <x:c r="W535" s="268"/>
      <x:c r="X535" s="268"/>
      <x:c r="Y535" s="268"/>
      <x:c r="Z535" s="268"/>
      <x:c r="AA535" s="268"/>
      <x:c r="AB535" s="268"/>
      <x:c r="AC535" s="268"/>
    </x:row>
    <x:row r="536">
      <x:c r="A536" s="268"/>
      <x:c r="B536" s="268"/>
      <x:c r="C536" s="268"/>
      <x:c r="D536" s="268"/>
      <x:c r="E536" s="268"/>
      <x:c r="F536" s="268"/>
      <x:c r="G536" s="268"/>
      <x:c r="H536" s="268"/>
      <x:c r="I536" s="268"/>
      <x:c r="J536" s="268"/>
      <x:c r="K536" s="268"/>
      <x:c r="L536" s="268"/>
      <x:c r="M536" s="268"/>
      <x:c r="N536" s="268"/>
      <x:c r="O536" s="268"/>
      <x:c r="P536" s="268"/>
      <x:c r="Q536" s="268"/>
      <x:c r="R536" s="268"/>
      <x:c r="S536" s="268"/>
      <x:c r="T536" s="268"/>
      <x:c r="U536" s="268"/>
      <x:c r="V536" s="268"/>
      <x:c r="W536" s="268"/>
      <x:c r="X536" s="268"/>
      <x:c r="Y536" s="268"/>
      <x:c r="Z536" s="268"/>
      <x:c r="AA536" s="268"/>
      <x:c r="AB536" s="268"/>
      <x:c r="AC536" s="268"/>
    </x:row>
    <x:row r="537">
      <x:c r="A537" s="268"/>
      <x:c r="B537" s="268"/>
      <x:c r="C537" s="268"/>
      <x:c r="D537" s="268"/>
      <x:c r="E537" s="268"/>
      <x:c r="F537" s="268"/>
      <x:c r="G537" s="268"/>
      <x:c r="H537" s="268"/>
      <x:c r="I537" s="268"/>
      <x:c r="J537" s="268"/>
      <x:c r="K537" s="268"/>
      <x:c r="L537" s="268"/>
      <x:c r="M537" s="268"/>
      <x:c r="N537" s="268"/>
      <x:c r="O537" s="268"/>
      <x:c r="P537" s="268"/>
      <x:c r="Q537" s="268"/>
      <x:c r="R537" s="268"/>
      <x:c r="S537" s="268"/>
      <x:c r="T537" s="268"/>
      <x:c r="U537" s="268"/>
      <x:c r="V537" s="268"/>
      <x:c r="W537" s="268"/>
      <x:c r="X537" s="268"/>
      <x:c r="Y537" s="268"/>
      <x:c r="Z537" s="268"/>
      <x:c r="AA537" s="268"/>
      <x:c r="AB537" s="268"/>
      <x:c r="AC537" s="268"/>
    </x:row>
    <x:row r="538">
      <x:c r="A538" s="268"/>
      <x:c r="B538" s="268"/>
      <x:c r="C538" s="268"/>
      <x:c r="D538" s="268"/>
      <x:c r="E538" s="268"/>
      <x:c r="F538" s="268"/>
      <x:c r="G538" s="268"/>
      <x:c r="H538" s="268"/>
      <x:c r="I538" s="268"/>
      <x:c r="J538" s="268"/>
      <x:c r="K538" s="268"/>
      <x:c r="L538" s="268"/>
      <x:c r="M538" s="268"/>
      <x:c r="N538" s="268"/>
      <x:c r="O538" s="268"/>
      <x:c r="P538" s="268"/>
      <x:c r="Q538" s="268"/>
      <x:c r="R538" s="268"/>
      <x:c r="S538" s="268"/>
      <x:c r="T538" s="268"/>
      <x:c r="U538" s="268"/>
      <x:c r="V538" s="268"/>
      <x:c r="W538" s="268"/>
      <x:c r="X538" s="268"/>
      <x:c r="Y538" s="268"/>
      <x:c r="Z538" s="268"/>
      <x:c r="AA538" s="268"/>
      <x:c r="AB538" s="268"/>
      <x:c r="AC538" s="268"/>
    </x:row>
    <x:row r="539">
      <x:c r="A539" s="268"/>
      <x:c r="B539" s="268"/>
      <x:c r="C539" s="268"/>
      <x:c r="D539" s="268"/>
      <x:c r="E539" s="268"/>
      <x:c r="F539" s="268"/>
      <x:c r="G539" s="268"/>
      <x:c r="H539" s="268"/>
      <x:c r="I539" s="268"/>
      <x:c r="J539" s="268"/>
      <x:c r="K539" s="268"/>
      <x:c r="L539" s="268"/>
      <x:c r="M539" s="268"/>
      <x:c r="N539" s="268"/>
      <x:c r="O539" s="268"/>
      <x:c r="P539" s="268"/>
      <x:c r="Q539" s="268"/>
      <x:c r="R539" s="268"/>
      <x:c r="S539" s="268"/>
      <x:c r="T539" s="268"/>
      <x:c r="U539" s="268"/>
      <x:c r="V539" s="268"/>
      <x:c r="W539" s="268"/>
      <x:c r="X539" s="268"/>
      <x:c r="Y539" s="268"/>
      <x:c r="Z539" s="268"/>
      <x:c r="AA539" s="268"/>
      <x:c r="AB539" s="268"/>
      <x:c r="AC539" s="268"/>
    </x:row>
    <x:row r="540">
      <x:c r="A540" s="268"/>
      <x:c r="B540" s="268"/>
      <x:c r="C540" s="268"/>
      <x:c r="D540" s="268"/>
      <x:c r="E540" s="268"/>
      <x:c r="F540" s="268"/>
      <x:c r="G540" s="268"/>
      <x:c r="H540" s="268"/>
      <x:c r="I540" s="268"/>
      <x:c r="J540" s="268"/>
      <x:c r="K540" s="268"/>
      <x:c r="L540" s="268"/>
      <x:c r="M540" s="268"/>
      <x:c r="N540" s="268"/>
      <x:c r="O540" s="268"/>
      <x:c r="P540" s="268"/>
      <x:c r="Q540" s="268"/>
      <x:c r="R540" s="268"/>
      <x:c r="S540" s="268"/>
      <x:c r="T540" s="268"/>
      <x:c r="U540" s="268"/>
      <x:c r="V540" s="268"/>
      <x:c r="W540" s="268"/>
      <x:c r="X540" s="268"/>
      <x:c r="Y540" s="268"/>
      <x:c r="Z540" s="268"/>
      <x:c r="AA540" s="268"/>
      <x:c r="AB540" s="268"/>
      <x:c r="AC540" s="268"/>
    </x:row>
    <x:row r="541">
      <x:c r="A541" s="268"/>
      <x:c r="B541" s="268"/>
      <x:c r="C541" s="268"/>
      <x:c r="D541" s="268"/>
      <x:c r="E541" s="268"/>
      <x:c r="F541" s="268"/>
      <x:c r="G541" s="268"/>
      <x:c r="H541" s="268"/>
      <x:c r="I541" s="268"/>
      <x:c r="J541" s="268"/>
      <x:c r="K541" s="268"/>
      <x:c r="L541" s="268"/>
      <x:c r="M541" s="268"/>
      <x:c r="N541" s="268"/>
      <x:c r="O541" s="268"/>
      <x:c r="P541" s="268"/>
      <x:c r="Q541" s="268"/>
      <x:c r="R541" s="268"/>
      <x:c r="S541" s="268"/>
      <x:c r="T541" s="268"/>
      <x:c r="U541" s="268"/>
      <x:c r="V541" s="268"/>
      <x:c r="W541" s="268"/>
      <x:c r="X541" s="268"/>
      <x:c r="Y541" s="268"/>
      <x:c r="Z541" s="268"/>
      <x:c r="AA541" s="268"/>
      <x:c r="AB541" s="268"/>
      <x:c r="AC541" s="268"/>
    </x:row>
    <x:row r="542">
      <x:c r="A542" s="268"/>
      <x:c r="B542" s="268"/>
      <x:c r="C542" s="268"/>
      <x:c r="D542" s="268"/>
      <x:c r="E542" s="268"/>
      <x:c r="F542" s="268"/>
      <x:c r="G542" s="268"/>
      <x:c r="H542" s="268"/>
      <x:c r="I542" s="268"/>
      <x:c r="J542" s="268"/>
      <x:c r="K542" s="268"/>
      <x:c r="L542" s="268"/>
      <x:c r="M542" s="268"/>
      <x:c r="N542" s="268"/>
      <x:c r="O542" s="268"/>
      <x:c r="P542" s="268"/>
      <x:c r="Q542" s="268"/>
      <x:c r="R542" s="268"/>
      <x:c r="S542" s="268"/>
      <x:c r="T542" s="268"/>
      <x:c r="U542" s="268"/>
      <x:c r="V542" s="268"/>
      <x:c r="W542" s="268"/>
      <x:c r="X542" s="268"/>
      <x:c r="Y542" s="268"/>
      <x:c r="Z542" s="268"/>
      <x:c r="AA542" s="268"/>
      <x:c r="AB542" s="268"/>
      <x:c r="AC542" s="268"/>
    </x:row>
    <x:row r="543">
      <x:c r="A543" s="268"/>
      <x:c r="B543" s="268"/>
      <x:c r="C543" s="268"/>
      <x:c r="D543" s="268"/>
      <x:c r="E543" s="268"/>
      <x:c r="F543" s="268"/>
      <x:c r="G543" s="268"/>
      <x:c r="H543" s="268"/>
      <x:c r="I543" s="268"/>
      <x:c r="J543" s="268"/>
      <x:c r="K543" s="268"/>
      <x:c r="L543" s="268"/>
      <x:c r="M543" s="268"/>
      <x:c r="N543" s="268"/>
      <x:c r="O543" s="268"/>
      <x:c r="P543" s="268"/>
      <x:c r="Q543" s="268"/>
      <x:c r="R543" s="268"/>
      <x:c r="S543" s="268"/>
      <x:c r="T543" s="268"/>
      <x:c r="U543" s="268"/>
      <x:c r="V543" s="268"/>
      <x:c r="W543" s="268"/>
      <x:c r="X543" s="268"/>
      <x:c r="Y543" s="268"/>
      <x:c r="Z543" s="268"/>
      <x:c r="AA543" s="268"/>
      <x:c r="AB543" s="268"/>
      <x:c r="AC543" s="268"/>
    </x:row>
    <x:row r="544">
      <x:c r="A544" s="268"/>
      <x:c r="B544" s="268"/>
      <x:c r="C544" s="268"/>
      <x:c r="D544" s="268"/>
      <x:c r="E544" s="268"/>
      <x:c r="F544" s="268"/>
      <x:c r="G544" s="268"/>
      <x:c r="H544" s="268"/>
      <x:c r="I544" s="268"/>
      <x:c r="J544" s="268"/>
      <x:c r="K544" s="268"/>
      <x:c r="L544" s="268"/>
      <x:c r="M544" s="268"/>
      <x:c r="N544" s="268"/>
      <x:c r="O544" s="268"/>
      <x:c r="P544" s="268"/>
      <x:c r="Q544" s="268"/>
      <x:c r="R544" s="268"/>
      <x:c r="S544" s="268"/>
      <x:c r="T544" s="268"/>
      <x:c r="U544" s="268"/>
      <x:c r="V544" s="268"/>
      <x:c r="W544" s="268"/>
      <x:c r="X544" s="268"/>
      <x:c r="Y544" s="268"/>
      <x:c r="Z544" s="268"/>
      <x:c r="AA544" s="268"/>
      <x:c r="AB544" s="268"/>
      <x:c r="AC544" s="268"/>
    </x:row>
    <x:row r="545">
      <x:c r="A545" s="268"/>
      <x:c r="B545" s="268"/>
      <x:c r="C545" s="268"/>
      <x:c r="D545" s="268"/>
      <x:c r="E545" s="268"/>
      <x:c r="F545" s="268"/>
      <x:c r="G545" s="268"/>
      <x:c r="H545" s="268"/>
      <x:c r="I545" s="268"/>
      <x:c r="J545" s="268"/>
      <x:c r="K545" s="268"/>
      <x:c r="L545" s="268"/>
      <x:c r="M545" s="268"/>
      <x:c r="N545" s="268"/>
      <x:c r="O545" s="268"/>
      <x:c r="P545" s="268"/>
      <x:c r="Q545" s="268"/>
      <x:c r="R545" s="268"/>
      <x:c r="S545" s="268"/>
      <x:c r="T545" s="268"/>
      <x:c r="U545" s="268"/>
      <x:c r="V545" s="268"/>
      <x:c r="W545" s="268"/>
      <x:c r="X545" s="268"/>
      <x:c r="Y545" s="268"/>
      <x:c r="Z545" s="268"/>
      <x:c r="AA545" s="268"/>
      <x:c r="AB545" s="268"/>
      <x:c r="AC545" s="268"/>
    </x:row>
    <x:row r="546">
      <x:c r="A546" s="268"/>
      <x:c r="B546" s="268"/>
      <x:c r="C546" s="268"/>
      <x:c r="D546" s="268"/>
      <x:c r="E546" s="268"/>
      <x:c r="F546" s="268"/>
      <x:c r="G546" s="268"/>
      <x:c r="H546" s="268"/>
      <x:c r="I546" s="268"/>
      <x:c r="J546" s="268"/>
      <x:c r="K546" s="268"/>
      <x:c r="L546" s="268"/>
      <x:c r="M546" s="268"/>
      <x:c r="N546" s="268"/>
      <x:c r="O546" s="268"/>
      <x:c r="P546" s="268"/>
      <x:c r="Q546" s="268"/>
      <x:c r="R546" s="268"/>
      <x:c r="S546" s="268"/>
      <x:c r="T546" s="268"/>
      <x:c r="U546" s="268"/>
      <x:c r="V546" s="268"/>
      <x:c r="W546" s="268"/>
      <x:c r="X546" s="268"/>
      <x:c r="Y546" s="268"/>
      <x:c r="Z546" s="268"/>
      <x:c r="AA546" s="268"/>
      <x:c r="AB546" s="268"/>
      <x:c r="AC546" s="268"/>
    </x:row>
    <x:row r="547">
      <x:c r="A547" s="268"/>
      <x:c r="B547" s="268"/>
      <x:c r="C547" s="268"/>
      <x:c r="D547" s="268"/>
      <x:c r="E547" s="268"/>
      <x:c r="F547" s="268"/>
      <x:c r="G547" s="268"/>
      <x:c r="H547" s="268"/>
      <x:c r="I547" s="268"/>
      <x:c r="J547" s="268"/>
      <x:c r="K547" s="268"/>
      <x:c r="L547" s="268"/>
      <x:c r="M547" s="268"/>
      <x:c r="N547" s="268"/>
      <x:c r="O547" s="268"/>
      <x:c r="P547" s="268"/>
      <x:c r="Q547" s="268"/>
      <x:c r="R547" s="268"/>
      <x:c r="S547" s="268"/>
      <x:c r="T547" s="268"/>
      <x:c r="U547" s="268"/>
      <x:c r="V547" s="268"/>
      <x:c r="W547" s="268"/>
      <x:c r="X547" s="268"/>
      <x:c r="Y547" s="268"/>
      <x:c r="Z547" s="268"/>
      <x:c r="AA547" s="268"/>
      <x:c r="AB547" s="268"/>
      <x:c r="AC547" s="268"/>
    </x:row>
    <x:row r="548">
      <x:c r="A548" s="268"/>
      <x:c r="B548" s="268"/>
      <x:c r="C548" s="268"/>
      <x:c r="D548" s="268"/>
      <x:c r="E548" s="268"/>
      <x:c r="F548" s="268"/>
      <x:c r="G548" s="268"/>
      <x:c r="H548" s="268"/>
      <x:c r="I548" s="268"/>
      <x:c r="J548" s="268"/>
      <x:c r="K548" s="268"/>
      <x:c r="L548" s="268"/>
      <x:c r="M548" s="268"/>
      <x:c r="N548" s="268"/>
      <x:c r="O548" s="268"/>
      <x:c r="P548" s="268"/>
      <x:c r="Q548" s="268"/>
      <x:c r="R548" s="268"/>
      <x:c r="S548" s="268"/>
      <x:c r="T548" s="268"/>
      <x:c r="U548" s="268"/>
      <x:c r="V548" s="268"/>
      <x:c r="W548" s="268"/>
      <x:c r="X548" s="268"/>
      <x:c r="Y548" s="268"/>
      <x:c r="Z548" s="268"/>
      <x:c r="AA548" s="268"/>
      <x:c r="AB548" s="268"/>
      <x:c r="AC548" s="268"/>
    </x:row>
    <x:row r="549">
      <x:c r="A549" s="268"/>
      <x:c r="B549" s="268"/>
      <x:c r="C549" s="268"/>
      <x:c r="D549" s="268"/>
      <x:c r="E549" s="268"/>
      <x:c r="F549" s="268"/>
      <x:c r="G549" s="268"/>
      <x:c r="H549" s="268"/>
      <x:c r="I549" s="268"/>
      <x:c r="J549" s="268"/>
      <x:c r="K549" s="268"/>
      <x:c r="L549" s="268"/>
      <x:c r="M549" s="268"/>
      <x:c r="N549" s="268"/>
      <x:c r="O549" s="268"/>
      <x:c r="P549" s="268"/>
      <x:c r="Q549" s="268"/>
      <x:c r="R549" s="268"/>
      <x:c r="S549" s="268"/>
      <x:c r="T549" s="268"/>
      <x:c r="U549" s="268"/>
      <x:c r="V549" s="268"/>
      <x:c r="W549" s="268"/>
      <x:c r="X549" s="268"/>
      <x:c r="Y549" s="268"/>
      <x:c r="Z549" s="268"/>
      <x:c r="AA549" s="268"/>
      <x:c r="AB549" s="268"/>
      <x:c r="AC549" s="268"/>
    </x:row>
    <x:row r="550">
      <x:c r="A550" s="268"/>
      <x:c r="B550" s="268"/>
      <x:c r="C550" s="268"/>
      <x:c r="D550" s="268"/>
      <x:c r="E550" s="268"/>
      <x:c r="F550" s="268"/>
      <x:c r="G550" s="268"/>
      <x:c r="H550" s="268"/>
      <x:c r="I550" s="268"/>
      <x:c r="J550" s="268"/>
      <x:c r="K550" s="268"/>
      <x:c r="L550" s="268"/>
      <x:c r="M550" s="268"/>
      <x:c r="N550" s="268"/>
      <x:c r="O550" s="268"/>
      <x:c r="P550" s="268"/>
      <x:c r="Q550" s="268"/>
      <x:c r="R550" s="268"/>
      <x:c r="S550" s="268"/>
      <x:c r="T550" s="268"/>
      <x:c r="U550" s="268"/>
      <x:c r="V550" s="268"/>
      <x:c r="W550" s="268"/>
      <x:c r="X550" s="268"/>
      <x:c r="Y550" s="268"/>
      <x:c r="Z550" s="268"/>
      <x:c r="AA550" s="268"/>
      <x:c r="AB550" s="268"/>
      <x:c r="AC550" s="268"/>
    </x:row>
    <x:row r="551">
      <x:c r="A551" s="268"/>
      <x:c r="B551" s="268"/>
      <x:c r="C551" s="268"/>
      <x:c r="D551" s="268"/>
      <x:c r="E551" s="268"/>
      <x:c r="F551" s="268"/>
      <x:c r="G551" s="268"/>
      <x:c r="H551" s="268"/>
      <x:c r="I551" s="268"/>
      <x:c r="J551" s="268"/>
      <x:c r="K551" s="268"/>
      <x:c r="L551" s="268"/>
      <x:c r="M551" s="268"/>
      <x:c r="N551" s="268"/>
      <x:c r="O551" s="268"/>
      <x:c r="P551" s="268"/>
      <x:c r="Q551" s="268"/>
      <x:c r="R551" s="268"/>
      <x:c r="S551" s="268"/>
      <x:c r="T551" s="268"/>
      <x:c r="U551" s="268"/>
      <x:c r="V551" s="268"/>
      <x:c r="W551" s="268"/>
      <x:c r="X551" s="268"/>
      <x:c r="Y551" s="268"/>
      <x:c r="Z551" s="268"/>
      <x:c r="AA551" s="268"/>
      <x:c r="AB551" s="268"/>
      <x:c r="AC551" s="268"/>
    </x:row>
    <x:row r="552">
      <x:c r="A552" s="268"/>
      <x:c r="B552" s="268"/>
      <x:c r="C552" s="268"/>
      <x:c r="D552" s="268"/>
      <x:c r="E552" s="268"/>
      <x:c r="F552" s="268"/>
      <x:c r="G552" s="268"/>
      <x:c r="H552" s="268"/>
      <x:c r="I552" s="268"/>
      <x:c r="J552" s="268"/>
      <x:c r="K552" s="268"/>
      <x:c r="L552" s="268"/>
      <x:c r="M552" s="268"/>
      <x:c r="N552" s="268"/>
      <x:c r="O552" s="268"/>
      <x:c r="P552" s="268"/>
      <x:c r="Q552" s="268"/>
      <x:c r="R552" s="268"/>
      <x:c r="S552" s="268"/>
      <x:c r="T552" s="268"/>
      <x:c r="U552" s="268"/>
      <x:c r="V552" s="268"/>
      <x:c r="W552" s="268"/>
      <x:c r="X552" s="268"/>
      <x:c r="Y552" s="268"/>
      <x:c r="Z552" s="268"/>
      <x:c r="AA552" s="268"/>
      <x:c r="AB552" s="268"/>
      <x:c r="AC552" s="268"/>
    </x:row>
    <x:row r="553">
      <x:c r="A553" s="268"/>
      <x:c r="B553" s="268"/>
      <x:c r="C553" s="268"/>
      <x:c r="D553" s="268"/>
      <x:c r="E553" s="268"/>
      <x:c r="F553" s="268"/>
      <x:c r="G553" s="268"/>
      <x:c r="H553" s="268"/>
      <x:c r="I553" s="268"/>
      <x:c r="J553" s="268"/>
      <x:c r="K553" s="268"/>
      <x:c r="L553" s="268"/>
      <x:c r="M553" s="268"/>
      <x:c r="N553" s="268"/>
      <x:c r="O553" s="268"/>
      <x:c r="P553" s="268"/>
      <x:c r="Q553" s="268"/>
      <x:c r="R553" s="268"/>
      <x:c r="S553" s="268"/>
      <x:c r="T553" s="268"/>
      <x:c r="U553" s="268"/>
      <x:c r="V553" s="268"/>
      <x:c r="W553" s="268"/>
      <x:c r="X553" s="268"/>
      <x:c r="Y553" s="268"/>
      <x:c r="Z553" s="268"/>
      <x:c r="AA553" s="268"/>
      <x:c r="AB553" s="268"/>
      <x:c r="AC553" s="268"/>
    </x:row>
    <x:row r="554">
      <x:c r="A554" s="268"/>
      <x:c r="B554" s="268"/>
      <x:c r="C554" s="268"/>
      <x:c r="D554" s="268"/>
      <x:c r="E554" s="268"/>
      <x:c r="F554" s="268"/>
      <x:c r="G554" s="268"/>
      <x:c r="H554" s="268"/>
      <x:c r="I554" s="268"/>
      <x:c r="J554" s="268"/>
      <x:c r="K554" s="268"/>
      <x:c r="L554" s="268"/>
      <x:c r="M554" s="268"/>
      <x:c r="N554" s="268"/>
      <x:c r="O554" s="268"/>
      <x:c r="P554" s="268"/>
      <x:c r="Q554" s="268"/>
      <x:c r="R554" s="268"/>
      <x:c r="S554" s="268"/>
      <x:c r="T554" s="268"/>
      <x:c r="U554" s="268"/>
      <x:c r="V554" s="268"/>
      <x:c r="W554" s="268"/>
      <x:c r="X554" s="268"/>
      <x:c r="Y554" s="268"/>
      <x:c r="Z554" s="268"/>
      <x:c r="AA554" s="268"/>
      <x:c r="AB554" s="268"/>
      <x:c r="AC554" s="268"/>
    </x:row>
    <x:row r="555">
      <x:c r="A555" s="268"/>
      <x:c r="B555" s="268"/>
      <x:c r="C555" s="268"/>
      <x:c r="D555" s="268"/>
      <x:c r="E555" s="268"/>
      <x:c r="F555" s="268"/>
      <x:c r="G555" s="268"/>
      <x:c r="H555" s="268"/>
      <x:c r="I555" s="268"/>
      <x:c r="J555" s="268"/>
      <x:c r="K555" s="268"/>
      <x:c r="L555" s="268"/>
      <x:c r="M555" s="268"/>
      <x:c r="N555" s="268"/>
      <x:c r="O555" s="268"/>
      <x:c r="P555" s="268"/>
      <x:c r="Q555" s="268"/>
      <x:c r="R555" s="268"/>
      <x:c r="S555" s="268"/>
      <x:c r="T555" s="268"/>
      <x:c r="U555" s="268"/>
      <x:c r="V555" s="268"/>
      <x:c r="W555" s="268"/>
      <x:c r="X555" s="268"/>
      <x:c r="Y555" s="268"/>
      <x:c r="Z555" s="268"/>
      <x:c r="AA555" s="268"/>
      <x:c r="AB555" s="268"/>
      <x:c r="AC555" s="268"/>
    </x:row>
    <x:row r="556">
      <x:c r="A556" s="268"/>
      <x:c r="B556" s="268"/>
      <x:c r="C556" s="268"/>
      <x:c r="D556" s="268"/>
      <x:c r="E556" s="268"/>
      <x:c r="F556" s="268"/>
      <x:c r="G556" s="268"/>
      <x:c r="H556" s="268"/>
      <x:c r="I556" s="268"/>
      <x:c r="J556" s="268"/>
      <x:c r="K556" s="268"/>
      <x:c r="L556" s="268"/>
      <x:c r="M556" s="268"/>
      <x:c r="N556" s="268"/>
      <x:c r="O556" s="268"/>
      <x:c r="P556" s="268"/>
      <x:c r="Q556" s="268"/>
      <x:c r="R556" s="268"/>
      <x:c r="S556" s="268"/>
      <x:c r="T556" s="268"/>
      <x:c r="U556" s="268"/>
      <x:c r="V556" s="268"/>
      <x:c r="W556" s="268"/>
      <x:c r="X556" s="268"/>
      <x:c r="Y556" s="268"/>
      <x:c r="Z556" s="268"/>
      <x:c r="AA556" s="268"/>
      <x:c r="AB556" s="268"/>
      <x:c r="AC556" s="268"/>
    </x:row>
    <x:row r="557">
      <x:c r="A557" s="268"/>
      <x:c r="B557" s="268"/>
      <x:c r="C557" s="268"/>
      <x:c r="D557" s="268"/>
      <x:c r="E557" s="268"/>
      <x:c r="F557" s="268"/>
      <x:c r="G557" s="268"/>
      <x:c r="H557" s="268"/>
      <x:c r="I557" s="268"/>
      <x:c r="J557" s="268"/>
      <x:c r="K557" s="268"/>
      <x:c r="L557" s="268"/>
      <x:c r="M557" s="268"/>
      <x:c r="N557" s="268"/>
      <x:c r="O557" s="268"/>
      <x:c r="P557" s="268"/>
      <x:c r="Q557" s="268"/>
      <x:c r="R557" s="268"/>
      <x:c r="S557" s="268"/>
      <x:c r="T557" s="268"/>
      <x:c r="U557" s="268"/>
      <x:c r="V557" s="268"/>
      <x:c r="W557" s="268"/>
      <x:c r="X557" s="268"/>
      <x:c r="Y557" s="268"/>
      <x:c r="Z557" s="268"/>
      <x:c r="AA557" s="268"/>
      <x:c r="AB557" s="268"/>
      <x:c r="AC557" s="268"/>
    </x:row>
    <x:row r="558">
      <x:c r="A558" s="268"/>
      <x:c r="B558" s="268"/>
      <x:c r="C558" s="268"/>
      <x:c r="D558" s="268"/>
      <x:c r="E558" s="268"/>
      <x:c r="F558" s="268"/>
      <x:c r="G558" s="268"/>
      <x:c r="H558" s="268"/>
      <x:c r="I558" s="268"/>
      <x:c r="J558" s="268"/>
      <x:c r="K558" s="268"/>
      <x:c r="L558" s="268"/>
      <x:c r="M558" s="268"/>
      <x:c r="N558" s="268"/>
      <x:c r="O558" s="268"/>
      <x:c r="P558" s="268"/>
      <x:c r="Q558" s="268"/>
      <x:c r="R558" s="268"/>
      <x:c r="S558" s="268"/>
      <x:c r="T558" s="268"/>
      <x:c r="U558" s="268"/>
      <x:c r="V558" s="268"/>
      <x:c r="W558" s="268"/>
      <x:c r="X558" s="268"/>
      <x:c r="Y558" s="268"/>
      <x:c r="Z558" s="268"/>
      <x:c r="AA558" s="268"/>
      <x:c r="AB558" s="268"/>
      <x:c r="AC558" s="268"/>
    </x:row>
    <x:row r="559">
      <x:c r="A559" s="268"/>
      <x:c r="B559" s="268"/>
      <x:c r="C559" s="268"/>
      <x:c r="D559" s="268"/>
      <x:c r="E559" s="268"/>
      <x:c r="F559" s="268"/>
      <x:c r="G559" s="268"/>
      <x:c r="H559" s="268"/>
      <x:c r="I559" s="268"/>
      <x:c r="J559" s="268"/>
      <x:c r="K559" s="268"/>
      <x:c r="L559" s="268"/>
      <x:c r="M559" s="268"/>
      <x:c r="N559" s="268"/>
      <x:c r="O559" s="268"/>
      <x:c r="P559" s="268"/>
      <x:c r="Q559" s="268"/>
      <x:c r="R559" s="268"/>
      <x:c r="S559" s="268"/>
      <x:c r="T559" s="268"/>
      <x:c r="U559" s="268"/>
      <x:c r="V559" s="268"/>
      <x:c r="W559" s="268"/>
      <x:c r="X559" s="268"/>
      <x:c r="Y559" s="268"/>
      <x:c r="Z559" s="268"/>
      <x:c r="AA559" s="268"/>
      <x:c r="AB559" s="268"/>
      <x:c r="AC559" s="268"/>
    </x:row>
    <x:row r="560">
      <x:c r="A560" s="268"/>
      <x:c r="B560" s="268"/>
      <x:c r="C560" s="268"/>
      <x:c r="D560" s="268"/>
      <x:c r="E560" s="268"/>
      <x:c r="F560" s="268"/>
      <x:c r="G560" s="268"/>
      <x:c r="H560" s="268"/>
      <x:c r="I560" s="268"/>
      <x:c r="J560" s="268"/>
      <x:c r="K560" s="268"/>
      <x:c r="L560" s="268"/>
      <x:c r="M560" s="268"/>
      <x:c r="N560" s="268"/>
      <x:c r="O560" s="268"/>
      <x:c r="P560" s="268"/>
      <x:c r="Q560" s="268"/>
      <x:c r="R560" s="268"/>
      <x:c r="S560" s="268"/>
      <x:c r="T560" s="268"/>
      <x:c r="U560" s="268"/>
      <x:c r="V560" s="268"/>
      <x:c r="W560" s="268"/>
      <x:c r="X560" s="268"/>
      <x:c r="Y560" s="268"/>
      <x:c r="Z560" s="268"/>
      <x:c r="AA560" s="268"/>
      <x:c r="AB560" s="268"/>
      <x:c r="AC560" s="268"/>
    </x:row>
    <x:row r="561">
      <x:c r="A561" s="268"/>
      <x:c r="B561" s="268"/>
      <x:c r="C561" s="268"/>
      <x:c r="D561" s="268"/>
      <x:c r="E561" s="268"/>
      <x:c r="F561" s="268"/>
      <x:c r="G561" s="268"/>
      <x:c r="H561" s="268"/>
      <x:c r="I561" s="268"/>
      <x:c r="J561" s="268"/>
      <x:c r="K561" s="268"/>
      <x:c r="L561" s="268"/>
      <x:c r="M561" s="268"/>
      <x:c r="N561" s="268"/>
      <x:c r="O561" s="268"/>
      <x:c r="P561" s="268"/>
      <x:c r="Q561" s="268"/>
      <x:c r="R561" s="268"/>
      <x:c r="S561" s="268"/>
      <x:c r="T561" s="268"/>
      <x:c r="U561" s="268"/>
      <x:c r="V561" s="268"/>
      <x:c r="W561" s="268"/>
      <x:c r="X561" s="268"/>
      <x:c r="Y561" s="268"/>
      <x:c r="Z561" s="268"/>
      <x:c r="AA561" s="268"/>
      <x:c r="AB561" s="268"/>
      <x:c r="AC561" s="268"/>
    </x:row>
    <x:row r="562">
      <x:c r="A562" s="268"/>
      <x:c r="B562" s="268"/>
      <x:c r="C562" s="268"/>
      <x:c r="D562" s="268"/>
      <x:c r="E562" s="268"/>
      <x:c r="F562" s="268"/>
      <x:c r="G562" s="268"/>
      <x:c r="H562" s="268"/>
      <x:c r="I562" s="268"/>
      <x:c r="J562" s="268"/>
      <x:c r="K562" s="268"/>
      <x:c r="L562" s="268"/>
      <x:c r="M562" s="268"/>
      <x:c r="N562" s="268"/>
      <x:c r="O562" s="268"/>
      <x:c r="P562" s="268"/>
      <x:c r="Q562" s="268"/>
      <x:c r="R562" s="268"/>
      <x:c r="S562" s="268"/>
      <x:c r="T562" s="268"/>
      <x:c r="U562" s="268"/>
      <x:c r="V562" s="268"/>
      <x:c r="W562" s="268"/>
      <x:c r="X562" s="268"/>
      <x:c r="Y562" s="268"/>
      <x:c r="Z562" s="268"/>
      <x:c r="AA562" s="268"/>
      <x:c r="AB562" s="268"/>
      <x:c r="AC562" s="268"/>
    </x:row>
    <x:row r="563">
      <x:c r="A563" s="268"/>
      <x:c r="B563" s="268"/>
      <x:c r="C563" s="268"/>
      <x:c r="D563" s="268"/>
      <x:c r="E563" s="268"/>
      <x:c r="F563" s="268"/>
      <x:c r="G563" s="268"/>
      <x:c r="H563" s="268"/>
      <x:c r="I563" s="268"/>
      <x:c r="J563" s="268"/>
      <x:c r="K563" s="268"/>
      <x:c r="L563" s="268"/>
      <x:c r="M563" s="268"/>
      <x:c r="N563" s="268"/>
      <x:c r="O563" s="268"/>
      <x:c r="P563" s="268"/>
      <x:c r="Q563" s="268"/>
      <x:c r="R563" s="268"/>
      <x:c r="S563" s="268"/>
      <x:c r="T563" s="268"/>
      <x:c r="U563" s="268"/>
      <x:c r="V563" s="268"/>
      <x:c r="W563" s="268"/>
      <x:c r="X563" s="268"/>
      <x:c r="Y563" s="268"/>
      <x:c r="Z563" s="268"/>
      <x:c r="AA563" s="268"/>
      <x:c r="AB563" s="268"/>
      <x:c r="AC563" s="268"/>
    </x:row>
    <x:row r="564">
      <x:c r="A564" s="268"/>
      <x:c r="B564" s="268"/>
      <x:c r="C564" s="268"/>
      <x:c r="D564" s="268"/>
      <x:c r="E564" s="268"/>
      <x:c r="F564" s="268"/>
      <x:c r="G564" s="268"/>
      <x:c r="H564" s="268"/>
      <x:c r="I564" s="268"/>
      <x:c r="J564" s="268"/>
      <x:c r="K564" s="268"/>
      <x:c r="L564" s="268"/>
      <x:c r="M564" s="268"/>
      <x:c r="N564" s="268"/>
      <x:c r="O564" s="268"/>
      <x:c r="P564" s="268"/>
      <x:c r="Q564" s="268"/>
      <x:c r="R564" s="268"/>
      <x:c r="S564" s="268"/>
      <x:c r="T564" s="268"/>
      <x:c r="U564" s="268"/>
      <x:c r="V564" s="268"/>
      <x:c r="W564" s="268"/>
      <x:c r="X564" s="268"/>
      <x:c r="Y564" s="268"/>
      <x:c r="Z564" s="268"/>
      <x:c r="AA564" s="268"/>
      <x:c r="AB564" s="268"/>
      <x:c r="AC564" s="268"/>
    </x:row>
    <x:row r="565">
      <x:c r="A565" s="268"/>
      <x:c r="B565" s="268"/>
      <x:c r="C565" s="268"/>
      <x:c r="D565" s="268"/>
      <x:c r="E565" s="268"/>
      <x:c r="F565" s="268"/>
      <x:c r="G565" s="268"/>
      <x:c r="H565" s="268"/>
      <x:c r="I565" s="268"/>
      <x:c r="J565" s="268"/>
      <x:c r="K565" s="268"/>
      <x:c r="L565" s="268"/>
      <x:c r="M565" s="268"/>
      <x:c r="N565" s="268"/>
      <x:c r="O565" s="268"/>
      <x:c r="P565" s="268"/>
      <x:c r="Q565" s="268"/>
      <x:c r="R565" s="268"/>
      <x:c r="S565" s="268"/>
      <x:c r="T565" s="268"/>
      <x:c r="U565" s="268"/>
      <x:c r="V565" s="268"/>
      <x:c r="W565" s="268"/>
      <x:c r="X565" s="268"/>
      <x:c r="Y565" s="268"/>
      <x:c r="Z565" s="268"/>
      <x:c r="AA565" s="268"/>
      <x:c r="AB565" s="268"/>
      <x:c r="AC565" s="268"/>
    </x:row>
    <x:row r="566">
      <x:c r="A566" s="268"/>
      <x:c r="B566" s="268"/>
      <x:c r="C566" s="268"/>
      <x:c r="D566" s="268"/>
      <x:c r="E566" s="268"/>
      <x:c r="F566" s="268"/>
      <x:c r="G566" s="268"/>
      <x:c r="H566" s="268"/>
      <x:c r="I566" s="268"/>
      <x:c r="J566" s="268"/>
      <x:c r="K566" s="268"/>
      <x:c r="L566" s="268"/>
      <x:c r="M566" s="268"/>
      <x:c r="N566" s="268"/>
      <x:c r="O566" s="268"/>
      <x:c r="P566" s="268"/>
      <x:c r="Q566" s="268"/>
      <x:c r="R566" s="268"/>
      <x:c r="S566" s="268"/>
      <x:c r="T566" s="268"/>
      <x:c r="U566" s="268"/>
      <x:c r="V566" s="268"/>
      <x:c r="W566" s="268"/>
      <x:c r="X566" s="268"/>
      <x:c r="Y566" s="268"/>
      <x:c r="Z566" s="268"/>
      <x:c r="AA566" s="268"/>
      <x:c r="AB566" s="268"/>
      <x:c r="AC566" s="268"/>
    </x:row>
    <x:row r="567">
      <x:c r="A567" s="268"/>
      <x:c r="B567" s="268"/>
      <x:c r="C567" s="268"/>
      <x:c r="D567" s="268"/>
      <x:c r="E567" s="268"/>
      <x:c r="F567" s="268"/>
      <x:c r="G567" s="268"/>
      <x:c r="H567" s="268"/>
      <x:c r="I567" s="268"/>
      <x:c r="J567" s="268"/>
      <x:c r="K567" s="268"/>
      <x:c r="L567" s="268"/>
      <x:c r="M567" s="268"/>
      <x:c r="N567" s="268"/>
      <x:c r="O567" s="268"/>
      <x:c r="P567" s="268"/>
      <x:c r="Q567" s="268"/>
      <x:c r="R567" s="268"/>
      <x:c r="S567" s="268"/>
      <x:c r="T567" s="268"/>
      <x:c r="U567" s="268"/>
      <x:c r="V567" s="268"/>
      <x:c r="W567" s="268"/>
      <x:c r="X567" s="268"/>
      <x:c r="Y567" s="268"/>
      <x:c r="Z567" s="268"/>
      <x:c r="AA567" s="268"/>
      <x:c r="AB567" s="268"/>
      <x:c r="AC567" s="268"/>
    </x:row>
    <x:row r="568">
      <x:c r="A568" s="268"/>
      <x:c r="B568" s="268"/>
      <x:c r="C568" s="268"/>
      <x:c r="D568" s="268"/>
      <x:c r="E568" s="268"/>
      <x:c r="F568" s="268"/>
      <x:c r="G568" s="268"/>
      <x:c r="H568" s="268"/>
      <x:c r="I568" s="268"/>
      <x:c r="J568" s="268"/>
      <x:c r="K568" s="268"/>
      <x:c r="L568" s="268"/>
      <x:c r="M568" s="268"/>
      <x:c r="N568" s="268"/>
      <x:c r="O568" s="268"/>
      <x:c r="P568" s="268"/>
      <x:c r="Q568" s="268"/>
      <x:c r="R568" s="268"/>
      <x:c r="S568" s="268"/>
      <x:c r="T568" s="268"/>
      <x:c r="U568" s="268"/>
      <x:c r="V568" s="268"/>
      <x:c r="W568" s="268"/>
      <x:c r="X568" s="268"/>
      <x:c r="Y568" s="268"/>
      <x:c r="Z568" s="268"/>
      <x:c r="AA568" s="268"/>
      <x:c r="AB568" s="268"/>
      <x:c r="AC568" s="268"/>
    </x:row>
    <x:row r="569">
      <x:c r="A569" s="268"/>
      <x:c r="B569" s="268"/>
      <x:c r="C569" s="268"/>
      <x:c r="D569" s="268"/>
      <x:c r="E569" s="268"/>
      <x:c r="F569" s="268"/>
      <x:c r="G569" s="268"/>
      <x:c r="H569" s="268"/>
      <x:c r="I569" s="268"/>
      <x:c r="J569" s="268"/>
      <x:c r="K569" s="268"/>
      <x:c r="L569" s="268"/>
      <x:c r="M569" s="268"/>
      <x:c r="N569" s="268"/>
      <x:c r="O569" s="268"/>
      <x:c r="P569" s="268"/>
      <x:c r="Q569" s="268"/>
      <x:c r="R569" s="268"/>
      <x:c r="S569" s="268"/>
      <x:c r="T569" s="268"/>
      <x:c r="U569" s="268"/>
      <x:c r="V569" s="268"/>
      <x:c r="W569" s="268"/>
      <x:c r="X569" s="268"/>
      <x:c r="Y569" s="268"/>
      <x:c r="Z569" s="268"/>
      <x:c r="AA569" s="268"/>
      <x:c r="AB569" s="268"/>
      <x:c r="AC569" s="268"/>
    </x:row>
    <x:row r="570">
      <x:c r="A570" s="268"/>
      <x:c r="B570" s="268"/>
      <x:c r="C570" s="268"/>
      <x:c r="D570" s="268"/>
      <x:c r="E570" s="268"/>
      <x:c r="F570" s="268"/>
      <x:c r="G570" s="268"/>
      <x:c r="H570" s="268"/>
      <x:c r="I570" s="268"/>
      <x:c r="J570" s="268"/>
      <x:c r="K570" s="268"/>
      <x:c r="L570" s="268"/>
      <x:c r="M570" s="268"/>
      <x:c r="N570" s="268"/>
      <x:c r="O570" s="268"/>
      <x:c r="P570" s="268"/>
      <x:c r="Q570" s="268"/>
      <x:c r="R570" s="268"/>
      <x:c r="S570" s="268"/>
      <x:c r="T570" s="268"/>
      <x:c r="U570" s="268"/>
      <x:c r="V570" s="268"/>
      <x:c r="W570" s="268"/>
      <x:c r="X570" s="268"/>
      <x:c r="Y570" s="268"/>
      <x:c r="Z570" s="268"/>
      <x:c r="AA570" s="268"/>
      <x:c r="AB570" s="268"/>
      <x:c r="AC570" s="268"/>
    </x:row>
    <x:row r="571">
      <x:c r="A571" s="268"/>
      <x:c r="B571" s="268"/>
      <x:c r="C571" s="268"/>
      <x:c r="D571" s="268"/>
      <x:c r="E571" s="268"/>
      <x:c r="F571" s="268"/>
      <x:c r="G571" s="268"/>
      <x:c r="H571" s="268"/>
      <x:c r="I571" s="268"/>
      <x:c r="J571" s="268"/>
      <x:c r="K571" s="268"/>
      <x:c r="L571" s="268"/>
      <x:c r="M571" s="268"/>
      <x:c r="N571" s="268"/>
      <x:c r="O571" s="268"/>
      <x:c r="P571" s="268"/>
      <x:c r="Q571" s="268"/>
      <x:c r="R571" s="268"/>
      <x:c r="S571" s="268"/>
      <x:c r="T571" s="268"/>
      <x:c r="U571" s="268"/>
      <x:c r="V571" s="268"/>
      <x:c r="W571" s="268"/>
      <x:c r="X571" s="268"/>
      <x:c r="Y571" s="268"/>
      <x:c r="Z571" s="268"/>
      <x:c r="AA571" s="268"/>
      <x:c r="AB571" s="268"/>
      <x:c r="AC571" s="268"/>
    </x:row>
    <x:row r="572">
      <x:c r="A572" s="268"/>
      <x:c r="B572" s="268"/>
      <x:c r="C572" s="268"/>
      <x:c r="D572" s="268"/>
      <x:c r="E572" s="268"/>
      <x:c r="F572" s="268"/>
      <x:c r="G572" s="268"/>
      <x:c r="H572" s="268"/>
      <x:c r="I572" s="268"/>
      <x:c r="J572" s="268"/>
      <x:c r="K572" s="268"/>
      <x:c r="L572" s="268"/>
      <x:c r="M572" s="268"/>
      <x:c r="N572" s="268"/>
      <x:c r="O572" s="268"/>
      <x:c r="P572" s="268"/>
      <x:c r="Q572" s="268"/>
      <x:c r="R572" s="268"/>
      <x:c r="S572" s="268"/>
      <x:c r="T572" s="268"/>
      <x:c r="U572" s="268"/>
      <x:c r="V572" s="268"/>
      <x:c r="W572" s="268"/>
      <x:c r="X572" s="268"/>
      <x:c r="Y572" s="268"/>
      <x:c r="Z572" s="268"/>
      <x:c r="AA572" s="268"/>
      <x:c r="AB572" s="268"/>
      <x:c r="AC572" s="268"/>
    </x:row>
    <x:row r="573">
      <x:c r="A573" s="268"/>
      <x:c r="B573" s="268"/>
      <x:c r="C573" s="268"/>
      <x:c r="D573" s="268"/>
      <x:c r="E573" s="268"/>
      <x:c r="F573" s="268"/>
      <x:c r="G573" s="268"/>
      <x:c r="H573" s="268"/>
      <x:c r="I573" s="268"/>
      <x:c r="J573" s="268"/>
      <x:c r="K573" s="268"/>
      <x:c r="L573" s="268"/>
      <x:c r="M573" s="268"/>
      <x:c r="N573" s="268"/>
      <x:c r="O573" s="268"/>
      <x:c r="P573" s="268"/>
      <x:c r="Q573" s="268"/>
      <x:c r="R573" s="268"/>
      <x:c r="S573" s="268"/>
      <x:c r="T573" s="268"/>
      <x:c r="U573" s="268"/>
      <x:c r="V573" s="268"/>
      <x:c r="W573" s="268"/>
      <x:c r="X573" s="268"/>
      <x:c r="Y573" s="268"/>
      <x:c r="Z573" s="268"/>
      <x:c r="AA573" s="268"/>
      <x:c r="AB573" s="268"/>
      <x:c r="AC573" s="268"/>
    </x:row>
    <x:row r="574">
      <x:c r="A574" s="268"/>
      <x:c r="B574" s="268"/>
      <x:c r="C574" s="268"/>
      <x:c r="D574" s="268"/>
      <x:c r="E574" s="268"/>
      <x:c r="F574" s="268"/>
      <x:c r="G574" s="268"/>
      <x:c r="H574" s="268"/>
      <x:c r="I574" s="268"/>
      <x:c r="J574" s="268"/>
      <x:c r="K574" s="268"/>
      <x:c r="L574" s="268"/>
      <x:c r="M574" s="268"/>
      <x:c r="N574" s="268"/>
      <x:c r="O574" s="268"/>
      <x:c r="P574" s="268"/>
      <x:c r="Q574" s="268"/>
      <x:c r="R574" s="268"/>
      <x:c r="S574" s="268"/>
      <x:c r="T574" s="268"/>
      <x:c r="U574" s="268"/>
      <x:c r="V574" s="268"/>
      <x:c r="W574" s="268"/>
      <x:c r="X574" s="268"/>
      <x:c r="Y574" s="268"/>
      <x:c r="Z574" s="268"/>
      <x:c r="AA574" s="268"/>
      <x:c r="AB574" s="268"/>
      <x:c r="AC574" s="268"/>
    </x:row>
    <x:row r="575">
      <x:c r="A575" s="268"/>
      <x:c r="B575" s="268"/>
      <x:c r="C575" s="268"/>
      <x:c r="D575" s="268"/>
      <x:c r="E575" s="268"/>
      <x:c r="F575" s="268"/>
      <x:c r="G575" s="268"/>
      <x:c r="H575" s="268"/>
      <x:c r="I575" s="268"/>
      <x:c r="J575" s="268"/>
      <x:c r="K575" s="268"/>
      <x:c r="L575" s="268"/>
      <x:c r="M575" s="268"/>
      <x:c r="N575" s="268"/>
      <x:c r="O575" s="268"/>
      <x:c r="P575" s="268"/>
      <x:c r="Q575" s="268"/>
      <x:c r="R575" s="268"/>
      <x:c r="S575" s="268"/>
      <x:c r="T575" s="268"/>
      <x:c r="U575" s="268"/>
      <x:c r="V575" s="268"/>
      <x:c r="W575" s="268"/>
      <x:c r="X575" s="268"/>
      <x:c r="Y575" s="268"/>
      <x:c r="Z575" s="268"/>
      <x:c r="AA575" s="268"/>
      <x:c r="AB575" s="268"/>
      <x:c r="AC575" s="268"/>
    </x:row>
    <x:row r="576">
      <x:c r="A576" s="268"/>
      <x:c r="B576" s="268"/>
      <x:c r="C576" s="268"/>
      <x:c r="D576" s="268"/>
      <x:c r="E576" s="268"/>
      <x:c r="F576" s="268"/>
      <x:c r="G576" s="268"/>
      <x:c r="H576" s="268"/>
      <x:c r="I576" s="268"/>
      <x:c r="J576" s="268"/>
      <x:c r="K576" s="268"/>
      <x:c r="L576" s="268"/>
      <x:c r="M576" s="268"/>
      <x:c r="N576" s="268"/>
      <x:c r="O576" s="268"/>
      <x:c r="P576" s="268"/>
      <x:c r="Q576" s="268"/>
      <x:c r="R576" s="268"/>
      <x:c r="S576" s="268"/>
      <x:c r="T576" s="268"/>
      <x:c r="U576" s="268"/>
      <x:c r="V576" s="268"/>
      <x:c r="W576" s="268"/>
      <x:c r="X576" s="268"/>
      <x:c r="Y576" s="268"/>
      <x:c r="Z576" s="268"/>
      <x:c r="AA576" s="268"/>
      <x:c r="AB576" s="268"/>
      <x:c r="AC576" s="268"/>
    </x:row>
    <x:row r="577">
      <x:c r="A577" s="268"/>
      <x:c r="B577" s="268"/>
      <x:c r="C577" s="268"/>
      <x:c r="D577" s="268"/>
      <x:c r="E577" s="268"/>
      <x:c r="F577" s="268"/>
      <x:c r="G577" s="268"/>
      <x:c r="H577" s="268"/>
      <x:c r="I577" s="268"/>
      <x:c r="J577" s="268"/>
      <x:c r="K577" s="268"/>
      <x:c r="L577" s="268"/>
      <x:c r="M577" s="268"/>
      <x:c r="N577" s="268"/>
      <x:c r="O577" s="268"/>
      <x:c r="P577" s="268"/>
      <x:c r="Q577" s="268"/>
      <x:c r="R577" s="268"/>
      <x:c r="S577" s="268"/>
      <x:c r="T577" s="268"/>
      <x:c r="U577" s="268"/>
      <x:c r="V577" s="268"/>
      <x:c r="W577" s="268"/>
      <x:c r="X577" s="268"/>
      <x:c r="Y577" s="268"/>
      <x:c r="Z577" s="268"/>
      <x:c r="AA577" s="268"/>
      <x:c r="AB577" s="268"/>
      <x:c r="AC577" s="268"/>
    </x:row>
    <x:row r="578">
      <x:c r="A578" s="268"/>
      <x:c r="B578" s="268"/>
      <x:c r="C578" s="268"/>
      <x:c r="D578" s="268"/>
      <x:c r="E578" s="268"/>
      <x:c r="F578" s="268"/>
      <x:c r="G578" s="268"/>
      <x:c r="H578" s="268"/>
      <x:c r="I578" s="268"/>
      <x:c r="J578" s="268"/>
      <x:c r="K578" s="268"/>
      <x:c r="L578" s="268"/>
      <x:c r="M578" s="268"/>
      <x:c r="N578" s="268"/>
      <x:c r="O578" s="268"/>
      <x:c r="P578" s="268"/>
      <x:c r="Q578" s="268"/>
      <x:c r="R578" s="268"/>
      <x:c r="S578" s="268"/>
      <x:c r="T578" s="268"/>
      <x:c r="U578" s="268"/>
      <x:c r="V578" s="268"/>
      <x:c r="W578" s="268"/>
      <x:c r="X578" s="268"/>
      <x:c r="Y578" s="268"/>
      <x:c r="Z578" s="268"/>
      <x:c r="AA578" s="268"/>
      <x:c r="AB578" s="268"/>
      <x:c r="AC578" s="268"/>
    </x:row>
    <x:row r="579">
      <x:c r="A579" s="268"/>
      <x:c r="B579" s="268"/>
      <x:c r="C579" s="268"/>
      <x:c r="D579" s="268"/>
      <x:c r="E579" s="268"/>
      <x:c r="F579" s="268"/>
      <x:c r="G579" s="268"/>
      <x:c r="H579" s="268"/>
      <x:c r="I579" s="268"/>
      <x:c r="J579" s="268"/>
      <x:c r="K579" s="268"/>
      <x:c r="L579" s="268"/>
      <x:c r="M579" s="268"/>
      <x:c r="N579" s="268"/>
      <x:c r="O579" s="268"/>
      <x:c r="P579" s="268"/>
      <x:c r="Q579" s="268"/>
      <x:c r="R579" s="268"/>
      <x:c r="S579" s="268"/>
      <x:c r="T579" s="268"/>
      <x:c r="U579" s="268"/>
      <x:c r="V579" s="268"/>
      <x:c r="W579" s="268"/>
      <x:c r="X579" s="268"/>
      <x:c r="Y579" s="268"/>
      <x:c r="Z579" s="268"/>
      <x:c r="AA579" s="268"/>
      <x:c r="AB579" s="268"/>
      <x:c r="AC579" s="268"/>
    </x:row>
    <x:row r="580">
      <x:c r="A580" s="268"/>
      <x:c r="B580" s="268"/>
      <x:c r="C580" s="268"/>
      <x:c r="D580" s="268"/>
      <x:c r="E580" s="268"/>
      <x:c r="F580" s="268"/>
      <x:c r="G580" s="268"/>
      <x:c r="H580" s="268"/>
      <x:c r="I580" s="268"/>
      <x:c r="J580" s="268"/>
      <x:c r="K580" s="268"/>
      <x:c r="L580" s="268"/>
      <x:c r="M580" s="268"/>
      <x:c r="N580" s="268"/>
      <x:c r="O580" s="268"/>
      <x:c r="P580" s="268"/>
      <x:c r="Q580" s="268"/>
      <x:c r="R580" s="268"/>
      <x:c r="S580" s="268"/>
      <x:c r="T580" s="268"/>
      <x:c r="U580" s="268"/>
      <x:c r="V580" s="268"/>
      <x:c r="W580" s="268"/>
      <x:c r="X580" s="268"/>
      <x:c r="Y580" s="268"/>
      <x:c r="Z580" s="268"/>
      <x:c r="AA580" s="268"/>
      <x:c r="AB580" s="268"/>
      <x:c r="AC580" s="268"/>
    </x:row>
    <x:row r="581">
      <x:c r="A581" s="268"/>
      <x:c r="B581" s="268"/>
      <x:c r="C581" s="268"/>
      <x:c r="D581" s="268"/>
      <x:c r="E581" s="268"/>
      <x:c r="F581" s="268"/>
      <x:c r="G581" s="268"/>
      <x:c r="H581" s="268"/>
      <x:c r="I581" s="268"/>
      <x:c r="J581" s="268"/>
      <x:c r="K581" s="268"/>
      <x:c r="L581" s="268"/>
      <x:c r="M581" s="268"/>
      <x:c r="N581" s="268"/>
      <x:c r="O581" s="268"/>
      <x:c r="P581" s="268"/>
      <x:c r="Q581" s="268"/>
      <x:c r="R581" s="268"/>
      <x:c r="S581" s="268"/>
      <x:c r="T581" s="268"/>
      <x:c r="U581" s="268"/>
      <x:c r="V581" s="268"/>
      <x:c r="W581" s="268"/>
      <x:c r="X581" s="268"/>
      <x:c r="Y581" s="268"/>
      <x:c r="Z581" s="268"/>
      <x:c r="AA581" s="268"/>
      <x:c r="AB581" s="268"/>
      <x:c r="AC581" s="268"/>
    </x:row>
    <x:row r="582">
      <x:c r="A582" s="268"/>
      <x:c r="B582" s="268"/>
      <x:c r="C582" s="268"/>
      <x:c r="D582" s="268"/>
      <x:c r="E582" s="268"/>
      <x:c r="F582" s="268"/>
      <x:c r="G582" s="268"/>
      <x:c r="H582" s="268"/>
      <x:c r="I582" s="268"/>
      <x:c r="J582" s="268"/>
      <x:c r="K582" s="268"/>
      <x:c r="L582" s="268"/>
      <x:c r="M582" s="268"/>
      <x:c r="N582" s="268"/>
      <x:c r="O582" s="268"/>
      <x:c r="P582" s="268"/>
      <x:c r="Q582" s="268"/>
      <x:c r="R582" s="268"/>
      <x:c r="S582" s="268"/>
      <x:c r="T582" s="268"/>
      <x:c r="U582" s="268"/>
      <x:c r="V582" s="268"/>
      <x:c r="W582" s="268"/>
      <x:c r="X582" s="268"/>
      <x:c r="Y582" s="268"/>
      <x:c r="Z582" s="268"/>
      <x:c r="AA582" s="268"/>
      <x:c r="AB582" s="268"/>
      <x:c r="AC582" s="268"/>
    </x:row>
    <x:row r="583">
      <x:c r="A583" s="268"/>
      <x:c r="B583" s="268"/>
      <x:c r="C583" s="268"/>
      <x:c r="D583" s="268"/>
      <x:c r="E583" s="268"/>
      <x:c r="F583" s="268"/>
      <x:c r="G583" s="268"/>
      <x:c r="H583" s="268"/>
      <x:c r="I583" s="268"/>
      <x:c r="J583" s="268"/>
      <x:c r="K583" s="268"/>
      <x:c r="L583" s="268"/>
      <x:c r="M583" s="268"/>
      <x:c r="N583" s="268"/>
      <x:c r="O583" s="268"/>
      <x:c r="P583" s="268"/>
      <x:c r="Q583" s="268"/>
      <x:c r="R583" s="268"/>
      <x:c r="S583" s="268"/>
      <x:c r="T583" s="268"/>
      <x:c r="U583" s="268"/>
      <x:c r="V583" s="268"/>
      <x:c r="W583" s="268"/>
      <x:c r="X583" s="268"/>
      <x:c r="Y583" s="268"/>
      <x:c r="Z583" s="268"/>
      <x:c r="AA583" s="268"/>
      <x:c r="AB583" s="268"/>
      <x:c r="AC583" s="268"/>
    </x:row>
    <x:row r="584">
      <x:c r="A584" s="268"/>
      <x:c r="B584" s="268"/>
      <x:c r="C584" s="268"/>
      <x:c r="D584" s="268"/>
      <x:c r="E584" s="268"/>
      <x:c r="F584" s="268"/>
      <x:c r="G584" s="268"/>
      <x:c r="H584" s="268"/>
      <x:c r="I584" s="268"/>
      <x:c r="J584" s="268"/>
      <x:c r="K584" s="268"/>
      <x:c r="L584" s="268"/>
      <x:c r="M584" s="268"/>
      <x:c r="N584" s="268"/>
      <x:c r="O584" s="268"/>
      <x:c r="P584" s="268"/>
      <x:c r="Q584" s="268"/>
      <x:c r="R584" s="268"/>
      <x:c r="S584" s="268"/>
      <x:c r="T584" s="268"/>
      <x:c r="U584" s="268"/>
      <x:c r="V584" s="268"/>
      <x:c r="W584" s="268"/>
      <x:c r="X584" s="268"/>
      <x:c r="Y584" s="268"/>
      <x:c r="Z584" s="268"/>
      <x:c r="AA584" s="268"/>
      <x:c r="AB584" s="268"/>
      <x:c r="AC584" s="268"/>
    </x:row>
    <x:row r="585">
      <x:c r="A585" s="268"/>
      <x:c r="B585" s="268"/>
      <x:c r="C585" s="268"/>
      <x:c r="D585" s="268"/>
      <x:c r="E585" s="268"/>
      <x:c r="F585" s="268"/>
      <x:c r="G585" s="268"/>
      <x:c r="H585" s="268"/>
      <x:c r="I585" s="268"/>
      <x:c r="J585" s="268"/>
      <x:c r="K585" s="268"/>
      <x:c r="L585" s="268"/>
      <x:c r="M585" s="268"/>
      <x:c r="N585" s="268"/>
      <x:c r="O585" s="268"/>
      <x:c r="P585" s="268"/>
      <x:c r="Q585" s="268"/>
      <x:c r="R585" s="268"/>
      <x:c r="S585" s="268"/>
      <x:c r="T585" s="268"/>
      <x:c r="U585" s="268"/>
      <x:c r="V585" s="268"/>
      <x:c r="W585" s="268"/>
      <x:c r="X585" s="268"/>
      <x:c r="Y585" s="268"/>
      <x:c r="Z585" s="268"/>
      <x:c r="AA585" s="268"/>
      <x:c r="AB585" s="268"/>
      <x:c r="AC585" s="268"/>
    </x:row>
    <x:row r="586">
      <x:c r="A586" s="268"/>
      <x:c r="B586" s="268"/>
      <x:c r="C586" s="268"/>
      <x:c r="D586" s="268"/>
      <x:c r="E586" s="268"/>
      <x:c r="F586" s="268"/>
      <x:c r="G586" s="268"/>
      <x:c r="H586" s="268"/>
      <x:c r="I586" s="268"/>
      <x:c r="J586" s="268"/>
      <x:c r="K586" s="268"/>
      <x:c r="L586" s="268"/>
      <x:c r="M586" s="268"/>
      <x:c r="N586" s="268"/>
      <x:c r="O586" s="268"/>
      <x:c r="P586" s="268"/>
      <x:c r="Q586" s="268"/>
      <x:c r="R586" s="268"/>
      <x:c r="S586" s="268"/>
      <x:c r="T586" s="268"/>
      <x:c r="U586" s="268"/>
      <x:c r="V586" s="268"/>
      <x:c r="W586" s="268"/>
      <x:c r="X586" s="268"/>
      <x:c r="Y586" s="268"/>
      <x:c r="Z586" s="268"/>
      <x:c r="AA586" s="268"/>
      <x:c r="AB586" s="268"/>
      <x:c r="AC586" s="268"/>
    </x:row>
    <x:row r="587">
      <x:c r="A587" s="268"/>
      <x:c r="B587" s="268"/>
      <x:c r="C587" s="268"/>
      <x:c r="D587" s="268"/>
      <x:c r="E587" s="268"/>
      <x:c r="F587" s="268"/>
      <x:c r="G587" s="268"/>
      <x:c r="H587" s="268"/>
      <x:c r="I587" s="268"/>
      <x:c r="J587" s="268"/>
      <x:c r="K587" s="268"/>
      <x:c r="L587" s="268"/>
      <x:c r="M587" s="268"/>
      <x:c r="N587" s="268"/>
      <x:c r="O587" s="268"/>
      <x:c r="P587" s="268"/>
      <x:c r="Q587" s="268"/>
      <x:c r="R587" s="268"/>
      <x:c r="S587" s="268"/>
      <x:c r="T587" s="268"/>
      <x:c r="U587" s="268"/>
      <x:c r="V587" s="268"/>
      <x:c r="W587" s="268"/>
      <x:c r="X587" s="268"/>
      <x:c r="Y587" s="268"/>
      <x:c r="Z587" s="268"/>
      <x:c r="AA587" s="268"/>
      <x:c r="AB587" s="268"/>
      <x:c r="AC587" s="268"/>
    </x:row>
    <x:row r="588">
      <x:c r="A588" s="268"/>
      <x:c r="B588" s="268"/>
      <x:c r="C588" s="268"/>
      <x:c r="D588" s="268"/>
      <x:c r="E588" s="268"/>
      <x:c r="F588" s="268"/>
      <x:c r="G588" s="268"/>
      <x:c r="H588" s="268"/>
      <x:c r="I588" s="268"/>
      <x:c r="J588" s="268"/>
      <x:c r="K588" s="268"/>
      <x:c r="L588" s="268"/>
      <x:c r="M588" s="268"/>
      <x:c r="N588" s="268"/>
      <x:c r="O588" s="268"/>
      <x:c r="P588" s="268"/>
      <x:c r="Q588" s="268"/>
      <x:c r="R588" s="268"/>
      <x:c r="S588" s="268"/>
      <x:c r="T588" s="268"/>
      <x:c r="U588" s="268"/>
      <x:c r="V588" s="268"/>
      <x:c r="W588" s="268"/>
      <x:c r="X588" s="268"/>
      <x:c r="Y588" s="268"/>
      <x:c r="Z588" s="268"/>
      <x:c r="AA588" s="268"/>
      <x:c r="AB588" s="268"/>
      <x:c r="AC588" s="268"/>
    </x:row>
    <x:row r="589">
      <x:c r="A589" s="268"/>
      <x:c r="B589" s="268"/>
      <x:c r="C589" s="268"/>
      <x:c r="D589" s="268"/>
      <x:c r="E589" s="268"/>
      <x:c r="F589" s="268"/>
      <x:c r="G589" s="268"/>
      <x:c r="H589" s="268"/>
      <x:c r="I589" s="268"/>
      <x:c r="J589" s="268"/>
      <x:c r="K589" s="268"/>
      <x:c r="L589" s="268"/>
      <x:c r="M589" s="268"/>
      <x:c r="N589" s="268"/>
      <x:c r="O589" s="268"/>
      <x:c r="P589" s="268"/>
      <x:c r="Q589" s="268"/>
      <x:c r="R589" s="268"/>
      <x:c r="S589" s="268"/>
      <x:c r="T589" s="268"/>
      <x:c r="U589" s="268"/>
      <x:c r="V589" s="268"/>
      <x:c r="W589" s="268"/>
      <x:c r="X589" s="268"/>
      <x:c r="Y589" s="268"/>
      <x:c r="Z589" s="268"/>
      <x:c r="AA589" s="268"/>
      <x:c r="AB589" s="268"/>
      <x:c r="AC589" s="268"/>
    </x:row>
    <x:row r="590">
      <x:c r="A590" s="268"/>
      <x:c r="B590" s="268"/>
      <x:c r="C590" s="268"/>
      <x:c r="D590" s="268"/>
      <x:c r="E590" s="268"/>
      <x:c r="F590" s="268"/>
      <x:c r="G590" s="268"/>
      <x:c r="H590" s="268"/>
      <x:c r="I590" s="268"/>
      <x:c r="J590" s="268"/>
      <x:c r="K590" s="268"/>
      <x:c r="L590" s="268"/>
      <x:c r="M590" s="268"/>
      <x:c r="N590" s="268"/>
      <x:c r="O590" s="268"/>
      <x:c r="P590" s="268"/>
      <x:c r="Q590" s="268"/>
      <x:c r="R590" s="268"/>
      <x:c r="S590" s="268"/>
      <x:c r="T590" s="268"/>
      <x:c r="U590" s="268"/>
      <x:c r="V590" s="268"/>
      <x:c r="W590" s="268"/>
      <x:c r="X590" s="268"/>
      <x:c r="Y590" s="268"/>
      <x:c r="Z590" s="268"/>
      <x:c r="AA590" s="268"/>
      <x:c r="AB590" s="268"/>
      <x:c r="AC590" s="268"/>
    </x:row>
    <x:row r="591">
      <x:c r="A591" s="268"/>
      <x:c r="B591" s="268"/>
      <x:c r="C591" s="268"/>
      <x:c r="D591" s="268"/>
      <x:c r="E591" s="268"/>
      <x:c r="F591" s="268"/>
      <x:c r="G591" s="268"/>
      <x:c r="H591" s="268"/>
      <x:c r="I591" s="268"/>
      <x:c r="J591" s="268"/>
      <x:c r="K591" s="268"/>
      <x:c r="L591" s="268"/>
      <x:c r="M591" s="268"/>
      <x:c r="N591" s="268"/>
      <x:c r="O591" s="268"/>
      <x:c r="P591" s="268"/>
      <x:c r="Q591" s="268"/>
      <x:c r="R591" s="268"/>
      <x:c r="S591" s="268"/>
      <x:c r="T591" s="268"/>
      <x:c r="U591" s="268"/>
      <x:c r="V591" s="268"/>
      <x:c r="W591" s="268"/>
      <x:c r="X591" s="268"/>
      <x:c r="Y591" s="268"/>
      <x:c r="Z591" s="268"/>
      <x:c r="AA591" s="268"/>
      <x:c r="AB591" s="268"/>
      <x:c r="AC591" s="268"/>
    </x:row>
    <x:row r="592">
      <x:c r="A592" s="268"/>
      <x:c r="B592" s="268"/>
      <x:c r="C592" s="268"/>
      <x:c r="D592" s="268"/>
      <x:c r="E592" s="268"/>
      <x:c r="F592" s="268"/>
      <x:c r="G592" s="268"/>
      <x:c r="H592" s="268"/>
      <x:c r="I592" s="268"/>
      <x:c r="J592" s="268"/>
      <x:c r="K592" s="268"/>
      <x:c r="L592" s="268"/>
      <x:c r="M592" s="268"/>
      <x:c r="N592" s="268"/>
      <x:c r="O592" s="268"/>
      <x:c r="P592" s="268"/>
      <x:c r="Q592" s="268"/>
      <x:c r="R592" s="268"/>
      <x:c r="S592" s="268"/>
      <x:c r="T592" s="268"/>
      <x:c r="U592" s="268"/>
      <x:c r="V592" s="268"/>
      <x:c r="W592" s="268"/>
      <x:c r="X592" s="268"/>
      <x:c r="Y592" s="268"/>
      <x:c r="Z592" s="268"/>
      <x:c r="AA592" s="268"/>
      <x:c r="AB592" s="268"/>
      <x:c r="AC592" s="268"/>
    </x:row>
    <x:row r="593">
      <x:c r="A593" s="268"/>
      <x:c r="B593" s="268"/>
      <x:c r="C593" s="268"/>
      <x:c r="D593" s="268"/>
      <x:c r="E593" s="268"/>
      <x:c r="F593" s="268"/>
      <x:c r="G593" s="268"/>
      <x:c r="H593" s="268"/>
      <x:c r="I593" s="268"/>
      <x:c r="J593" s="268"/>
      <x:c r="K593" s="268"/>
      <x:c r="L593" s="268"/>
      <x:c r="M593" s="268"/>
      <x:c r="N593" s="268"/>
      <x:c r="O593" s="268"/>
      <x:c r="P593" s="268"/>
      <x:c r="Q593" s="268"/>
      <x:c r="R593" s="268"/>
      <x:c r="S593" s="268"/>
      <x:c r="T593" s="268"/>
      <x:c r="U593" s="268"/>
      <x:c r="V593" s="268"/>
      <x:c r="W593" s="268"/>
      <x:c r="X593" s="268"/>
      <x:c r="Y593" s="268"/>
      <x:c r="Z593" s="268"/>
      <x:c r="AA593" s="268"/>
      <x:c r="AB593" s="268"/>
      <x:c r="AC593" s="268"/>
    </x:row>
    <x:row r="594">
      <x:c r="A594" s="268"/>
      <x:c r="B594" s="268"/>
      <x:c r="C594" s="268"/>
      <x:c r="D594" s="268"/>
      <x:c r="E594" s="268"/>
      <x:c r="F594" s="268"/>
      <x:c r="G594" s="268"/>
      <x:c r="H594" s="268"/>
      <x:c r="I594" s="268"/>
      <x:c r="J594" s="268"/>
      <x:c r="K594" s="268"/>
      <x:c r="L594" s="268"/>
      <x:c r="M594" s="268"/>
      <x:c r="N594" s="268"/>
      <x:c r="O594" s="268"/>
      <x:c r="P594" s="268"/>
      <x:c r="Q594" s="268"/>
      <x:c r="R594" s="268"/>
      <x:c r="S594" s="268"/>
      <x:c r="T594" s="268"/>
      <x:c r="U594" s="268"/>
      <x:c r="V594" s="268"/>
      <x:c r="W594" s="268"/>
      <x:c r="X594" s="268"/>
      <x:c r="Y594" s="268"/>
      <x:c r="Z594" s="268"/>
      <x:c r="AA594" s="268"/>
      <x:c r="AB594" s="268"/>
      <x:c r="AC594" s="268"/>
    </x:row>
    <x:row r="595">
      <x:c r="A595" s="268"/>
      <x:c r="B595" s="268"/>
      <x:c r="C595" s="268"/>
      <x:c r="D595" s="268"/>
      <x:c r="E595" s="268"/>
      <x:c r="F595" s="268"/>
      <x:c r="G595" s="268"/>
      <x:c r="H595" s="268"/>
      <x:c r="I595" s="268"/>
      <x:c r="J595" s="268"/>
      <x:c r="K595" s="268"/>
      <x:c r="L595" s="268"/>
      <x:c r="M595" s="268"/>
      <x:c r="N595" s="268"/>
      <x:c r="O595" s="268"/>
      <x:c r="P595" s="268"/>
      <x:c r="Q595" s="268"/>
      <x:c r="R595" s="268"/>
      <x:c r="S595" s="268"/>
      <x:c r="T595" s="268"/>
      <x:c r="U595" s="268"/>
      <x:c r="V595" s="268"/>
      <x:c r="W595" s="268"/>
      <x:c r="X595" s="268"/>
      <x:c r="Y595" s="268"/>
      <x:c r="Z595" s="268"/>
      <x:c r="AA595" s="268"/>
      <x:c r="AB595" s="268"/>
      <x:c r="AC595" s="268"/>
    </x:row>
    <x:row r="596">
      <x:c r="A596" s="268"/>
      <x:c r="B596" s="268"/>
      <x:c r="C596" s="268"/>
      <x:c r="D596" s="268"/>
      <x:c r="E596" s="268"/>
      <x:c r="F596" s="268"/>
      <x:c r="G596" s="268"/>
      <x:c r="H596" s="268"/>
      <x:c r="I596" s="268"/>
      <x:c r="J596" s="268"/>
      <x:c r="K596" s="268"/>
      <x:c r="L596" s="268"/>
      <x:c r="M596" s="268"/>
      <x:c r="N596" s="268"/>
      <x:c r="O596" s="268"/>
      <x:c r="P596" s="268"/>
      <x:c r="Q596" s="268"/>
      <x:c r="R596" s="268"/>
      <x:c r="S596" s="268"/>
      <x:c r="T596" s="268"/>
      <x:c r="U596" s="268"/>
      <x:c r="V596" s="268"/>
      <x:c r="W596" s="268"/>
      <x:c r="X596" s="268"/>
      <x:c r="Y596" s="268"/>
      <x:c r="Z596" s="268"/>
      <x:c r="AA596" s="268"/>
      <x:c r="AB596" s="268"/>
      <x:c r="AC596" s="268"/>
    </x:row>
    <x:row r="597">
      <x:c r="A597" s="268"/>
      <x:c r="B597" s="268"/>
      <x:c r="C597" s="268"/>
      <x:c r="D597" s="268"/>
      <x:c r="E597" s="268"/>
      <x:c r="F597" s="268"/>
      <x:c r="G597" s="268"/>
      <x:c r="H597" s="268"/>
      <x:c r="I597" s="268"/>
      <x:c r="J597" s="268"/>
      <x:c r="K597" s="268"/>
      <x:c r="L597" s="268"/>
      <x:c r="M597" s="268"/>
      <x:c r="N597" s="268"/>
      <x:c r="O597" s="268"/>
      <x:c r="P597" s="268"/>
      <x:c r="Q597" s="268"/>
      <x:c r="R597" s="268"/>
      <x:c r="S597" s="268"/>
      <x:c r="T597" s="268"/>
      <x:c r="U597" s="268"/>
      <x:c r="V597" s="268"/>
      <x:c r="W597" s="268"/>
      <x:c r="X597" s="268"/>
      <x:c r="Y597" s="268"/>
      <x:c r="Z597" s="268"/>
      <x:c r="AA597" s="268"/>
      <x:c r="AB597" s="268"/>
      <x:c r="AC597" s="268"/>
    </x:row>
    <x:row r="598">
      <x:c r="A598" s="268"/>
      <x:c r="B598" s="268"/>
      <x:c r="C598" s="268"/>
      <x:c r="D598" s="268"/>
      <x:c r="E598" s="268"/>
      <x:c r="F598" s="268"/>
      <x:c r="G598" s="268"/>
      <x:c r="H598" s="268"/>
      <x:c r="I598" s="268"/>
      <x:c r="J598" s="268"/>
      <x:c r="K598" s="268"/>
      <x:c r="L598" s="268"/>
      <x:c r="M598" s="268"/>
      <x:c r="N598" s="268"/>
      <x:c r="O598" s="268"/>
      <x:c r="P598" s="268"/>
      <x:c r="Q598" s="268"/>
      <x:c r="R598" s="268"/>
      <x:c r="S598" s="268"/>
      <x:c r="T598" s="268"/>
      <x:c r="U598" s="268"/>
      <x:c r="V598" s="268"/>
      <x:c r="W598" s="268"/>
      <x:c r="X598" s="268"/>
      <x:c r="Y598" s="268"/>
      <x:c r="Z598" s="268"/>
      <x:c r="AA598" s="268"/>
      <x:c r="AB598" s="268"/>
      <x:c r="AC598" s="268"/>
    </x:row>
    <x:row r="599">
      <x:c r="A599" s="268"/>
      <x:c r="B599" s="268"/>
      <x:c r="C599" s="268"/>
      <x:c r="D599" s="268"/>
      <x:c r="E599" s="268"/>
      <x:c r="F599" s="268"/>
      <x:c r="G599" s="268"/>
      <x:c r="H599" s="268"/>
      <x:c r="I599" s="268"/>
      <x:c r="J599" s="268"/>
      <x:c r="K599" s="268"/>
      <x:c r="L599" s="268"/>
      <x:c r="M599" s="268"/>
      <x:c r="N599" s="268"/>
      <x:c r="O599" s="268"/>
      <x:c r="P599" s="268"/>
      <x:c r="Q599" s="268"/>
      <x:c r="R599" s="268"/>
      <x:c r="S599" s="268"/>
      <x:c r="T599" s="268"/>
      <x:c r="U599" s="268"/>
      <x:c r="V599" s="268"/>
      <x:c r="W599" s="268"/>
      <x:c r="X599" s="268"/>
      <x:c r="Y599" s="268"/>
      <x:c r="Z599" s="268"/>
      <x:c r="AA599" s="268"/>
      <x:c r="AB599" s="268"/>
      <x:c r="AC599" s="268"/>
    </x:row>
    <x:row r="600">
      <x:c r="A600" s="268"/>
      <x:c r="B600" s="268"/>
      <x:c r="C600" s="268"/>
      <x:c r="D600" s="268"/>
      <x:c r="E600" s="268"/>
      <x:c r="F600" s="268"/>
      <x:c r="G600" s="268"/>
      <x:c r="H600" s="268"/>
      <x:c r="I600" s="268"/>
      <x:c r="J600" s="268"/>
      <x:c r="K600" s="268"/>
      <x:c r="L600" s="268"/>
      <x:c r="M600" s="268"/>
      <x:c r="N600" s="268"/>
      <x:c r="O600" s="268"/>
      <x:c r="P600" s="268"/>
      <x:c r="Q600" s="268"/>
      <x:c r="R600" s="268"/>
      <x:c r="S600" s="268"/>
      <x:c r="T600" s="268"/>
      <x:c r="U600" s="268"/>
      <x:c r="V600" s="268"/>
      <x:c r="W600" s="268"/>
      <x:c r="X600" s="268"/>
      <x:c r="Y600" s="268"/>
      <x:c r="Z600" s="268"/>
      <x:c r="AA600" s="268"/>
      <x:c r="AB600" s="268"/>
      <x:c r="AC600" s="268"/>
    </x:row>
    <x:row r="601">
      <x:c r="A601" s="268"/>
      <x:c r="B601" s="268"/>
      <x:c r="C601" s="268"/>
      <x:c r="D601" s="268"/>
      <x:c r="E601" s="268"/>
      <x:c r="F601" s="268"/>
      <x:c r="G601" s="268"/>
      <x:c r="H601" s="268"/>
      <x:c r="I601" s="268"/>
      <x:c r="J601" s="268"/>
      <x:c r="K601" s="268"/>
      <x:c r="L601" s="268"/>
      <x:c r="M601" s="268"/>
      <x:c r="N601" s="268"/>
      <x:c r="O601" s="268"/>
      <x:c r="P601" s="268"/>
      <x:c r="Q601" s="268"/>
      <x:c r="R601" s="268"/>
      <x:c r="S601" s="268"/>
      <x:c r="T601" s="268"/>
      <x:c r="U601" s="268"/>
      <x:c r="V601" s="268"/>
      <x:c r="W601" s="268"/>
      <x:c r="X601" s="268"/>
      <x:c r="Y601" s="268"/>
      <x:c r="Z601" s="268"/>
      <x:c r="AA601" s="268"/>
      <x:c r="AB601" s="268"/>
      <x:c r="AC601" s="268"/>
    </x:row>
    <x:row r="602">
      <x:c r="A602" s="268"/>
      <x:c r="B602" s="268"/>
      <x:c r="C602" s="268"/>
      <x:c r="D602" s="268"/>
      <x:c r="E602" s="268"/>
      <x:c r="F602" s="268"/>
      <x:c r="G602" s="268"/>
      <x:c r="H602" s="268"/>
      <x:c r="I602" s="268"/>
      <x:c r="J602" s="268"/>
      <x:c r="K602" s="268"/>
      <x:c r="L602" s="268"/>
      <x:c r="M602" s="268"/>
      <x:c r="N602" s="268"/>
      <x:c r="O602" s="268"/>
      <x:c r="P602" s="268"/>
      <x:c r="Q602" s="268"/>
      <x:c r="R602" s="268"/>
      <x:c r="S602" s="268"/>
      <x:c r="T602" s="268"/>
      <x:c r="U602" s="268"/>
      <x:c r="V602" s="268"/>
      <x:c r="W602" s="268"/>
      <x:c r="X602" s="268"/>
      <x:c r="Y602" s="268"/>
      <x:c r="Z602" s="268"/>
      <x:c r="AA602" s="268"/>
      <x:c r="AB602" s="268"/>
      <x:c r="AC602" s="268"/>
    </x:row>
    <x:row r="603">
      <x:c r="A603" s="268"/>
      <x:c r="B603" s="268"/>
      <x:c r="C603" s="268"/>
      <x:c r="D603" s="268"/>
      <x:c r="E603" s="268"/>
      <x:c r="F603" s="268"/>
      <x:c r="G603" s="268"/>
      <x:c r="H603" s="268"/>
      <x:c r="I603" s="268"/>
      <x:c r="J603" s="268"/>
      <x:c r="K603" s="268"/>
      <x:c r="L603" s="268"/>
      <x:c r="M603" s="268"/>
      <x:c r="N603" s="268"/>
      <x:c r="O603" s="268"/>
      <x:c r="P603" s="268"/>
      <x:c r="Q603" s="268"/>
      <x:c r="R603" s="268"/>
      <x:c r="S603" s="268"/>
      <x:c r="T603" s="268"/>
      <x:c r="U603" s="268"/>
      <x:c r="V603" s="268"/>
      <x:c r="W603" s="268"/>
      <x:c r="X603" s="268"/>
      <x:c r="Y603" s="268"/>
      <x:c r="Z603" s="268"/>
      <x:c r="AA603" s="268"/>
      <x:c r="AB603" s="268"/>
      <x:c r="AC603" s="268"/>
    </x:row>
    <x:row r="604">
      <x:c r="A604" s="268"/>
      <x:c r="B604" s="268"/>
      <x:c r="C604" s="268"/>
      <x:c r="D604" s="268"/>
      <x:c r="E604" s="268"/>
      <x:c r="F604" s="268"/>
      <x:c r="G604" s="268"/>
      <x:c r="H604" s="268"/>
      <x:c r="I604" s="268"/>
      <x:c r="J604" s="268"/>
      <x:c r="K604" s="268"/>
      <x:c r="L604" s="268"/>
      <x:c r="M604" s="268"/>
      <x:c r="N604" s="268"/>
      <x:c r="O604" s="268"/>
      <x:c r="P604" s="268"/>
      <x:c r="Q604" s="268"/>
      <x:c r="R604" s="268"/>
      <x:c r="S604" s="268"/>
      <x:c r="T604" s="268"/>
      <x:c r="U604" s="268"/>
      <x:c r="V604" s="268"/>
      <x:c r="W604" s="268"/>
      <x:c r="X604" s="268"/>
      <x:c r="Y604" s="268"/>
      <x:c r="Z604" s="268"/>
      <x:c r="AA604" s="268"/>
      <x:c r="AB604" s="268"/>
      <x:c r="AC604" s="268"/>
    </x:row>
    <x:row r="605">
      <x:c r="A605" s="268"/>
      <x:c r="B605" s="268"/>
      <x:c r="C605" s="268"/>
      <x:c r="D605" s="268"/>
      <x:c r="E605" s="268"/>
      <x:c r="F605" s="268"/>
      <x:c r="G605" s="268"/>
      <x:c r="H605" s="268"/>
      <x:c r="I605" s="268"/>
      <x:c r="J605" s="268"/>
      <x:c r="K605" s="268"/>
      <x:c r="L605" s="268"/>
      <x:c r="M605" s="268"/>
      <x:c r="N605" s="268"/>
      <x:c r="O605" s="268"/>
      <x:c r="P605" s="268"/>
      <x:c r="Q605" s="268"/>
      <x:c r="R605" s="268"/>
      <x:c r="S605" s="268"/>
      <x:c r="T605" s="268"/>
      <x:c r="U605" s="268"/>
      <x:c r="V605" s="268"/>
      <x:c r="W605" s="268"/>
      <x:c r="X605" s="268"/>
      <x:c r="Y605" s="268"/>
      <x:c r="Z605" s="268"/>
      <x:c r="AA605" s="268"/>
      <x:c r="AB605" s="268"/>
      <x:c r="AC605" s="268"/>
    </x:row>
    <x:row r="606">
      <x:c r="A606" s="268"/>
      <x:c r="B606" s="268"/>
      <x:c r="C606" s="268"/>
      <x:c r="D606" s="268"/>
      <x:c r="E606" s="268"/>
      <x:c r="F606" s="268"/>
      <x:c r="G606" s="268"/>
      <x:c r="H606" s="268"/>
      <x:c r="I606" s="268"/>
      <x:c r="J606" s="268"/>
      <x:c r="K606" s="268"/>
      <x:c r="L606" s="268"/>
      <x:c r="M606" s="268"/>
      <x:c r="N606" s="268"/>
      <x:c r="O606" s="268"/>
      <x:c r="P606" s="268"/>
      <x:c r="Q606" s="268"/>
      <x:c r="R606" s="268"/>
      <x:c r="S606" s="268"/>
      <x:c r="T606" s="268"/>
      <x:c r="U606" s="268"/>
      <x:c r="V606" s="268"/>
      <x:c r="W606" s="268"/>
      <x:c r="X606" s="268"/>
      <x:c r="Y606" s="268"/>
      <x:c r="Z606" s="268"/>
      <x:c r="AA606" s="268"/>
      <x:c r="AB606" s="268"/>
      <x:c r="AC606" s="268"/>
    </x:row>
    <x:row r="607">
      <x:c r="A607" s="268"/>
      <x:c r="B607" s="268"/>
      <x:c r="C607" s="268"/>
      <x:c r="D607" s="268"/>
      <x:c r="E607" s="268"/>
      <x:c r="F607" s="268"/>
      <x:c r="G607" s="268"/>
      <x:c r="H607" s="268"/>
      <x:c r="I607" s="268"/>
      <x:c r="J607" s="268"/>
      <x:c r="K607" s="268"/>
      <x:c r="L607" s="268"/>
      <x:c r="M607" s="268"/>
      <x:c r="N607" s="268"/>
      <x:c r="O607" s="268"/>
      <x:c r="P607" s="268"/>
      <x:c r="Q607" s="268"/>
      <x:c r="R607" s="268"/>
      <x:c r="S607" s="268"/>
      <x:c r="T607" s="268"/>
      <x:c r="U607" s="268"/>
      <x:c r="V607" s="268"/>
      <x:c r="W607" s="268"/>
      <x:c r="X607" s="268"/>
      <x:c r="Y607" s="268"/>
      <x:c r="Z607" s="268"/>
      <x:c r="AA607" s="268"/>
      <x:c r="AB607" s="268"/>
      <x:c r="AC607" s="268"/>
    </x:row>
    <x:row r="608">
      <x:c r="A608" s="268"/>
      <x:c r="B608" s="268"/>
      <x:c r="C608" s="268"/>
      <x:c r="D608" s="268"/>
      <x:c r="E608" s="268"/>
      <x:c r="F608" s="268"/>
      <x:c r="G608" s="268"/>
      <x:c r="H608" s="268"/>
      <x:c r="I608" s="268"/>
      <x:c r="J608" s="268"/>
      <x:c r="K608" s="268"/>
      <x:c r="L608" s="268"/>
      <x:c r="M608" s="268"/>
      <x:c r="N608" s="268"/>
      <x:c r="O608" s="268"/>
      <x:c r="P608" s="268"/>
      <x:c r="Q608" s="268"/>
      <x:c r="R608" s="268"/>
      <x:c r="S608" s="268"/>
      <x:c r="T608" s="268"/>
      <x:c r="U608" s="268"/>
      <x:c r="V608" s="268"/>
      <x:c r="W608" s="268"/>
      <x:c r="X608" s="268"/>
      <x:c r="Y608" s="268"/>
      <x:c r="Z608" s="268"/>
      <x:c r="AA608" s="268"/>
      <x:c r="AB608" s="268"/>
      <x:c r="AC608" s="268"/>
    </x:row>
    <x:row r="609">
      <x:c r="A609" s="268"/>
      <x:c r="B609" s="268"/>
      <x:c r="C609" s="268"/>
      <x:c r="D609" s="268"/>
      <x:c r="E609" s="268"/>
      <x:c r="F609" s="268"/>
      <x:c r="G609" s="268"/>
      <x:c r="H609" s="268"/>
      <x:c r="I609" s="268"/>
      <x:c r="J609" s="268"/>
      <x:c r="K609" s="268"/>
      <x:c r="L609" s="268"/>
      <x:c r="M609" s="268"/>
      <x:c r="N609" s="268"/>
      <x:c r="O609" s="268"/>
      <x:c r="P609" s="268"/>
      <x:c r="Q609" s="268"/>
      <x:c r="R609" s="268"/>
      <x:c r="S609" s="268"/>
      <x:c r="T609" s="268"/>
      <x:c r="U609" s="268"/>
      <x:c r="V609" s="268"/>
      <x:c r="W609" s="268"/>
      <x:c r="X609" s="268"/>
      <x:c r="Y609" s="268"/>
      <x:c r="Z609" s="268"/>
      <x:c r="AA609" s="268"/>
      <x:c r="AB609" s="268"/>
      <x:c r="AC609" s="268"/>
    </x:row>
    <x:row r="610">
      <x:c r="A610" s="268"/>
      <x:c r="B610" s="268"/>
      <x:c r="C610" s="268"/>
      <x:c r="D610" s="268"/>
      <x:c r="E610" s="268"/>
      <x:c r="F610" s="268"/>
      <x:c r="G610" s="268"/>
      <x:c r="H610" s="268"/>
      <x:c r="I610" s="268"/>
      <x:c r="J610" s="268"/>
      <x:c r="K610" s="268"/>
      <x:c r="L610" s="268"/>
      <x:c r="M610" s="268"/>
      <x:c r="N610" s="268"/>
      <x:c r="O610" s="268"/>
      <x:c r="P610" s="268"/>
      <x:c r="Q610" s="268"/>
      <x:c r="R610" s="268"/>
      <x:c r="S610" s="268"/>
      <x:c r="T610" s="268"/>
      <x:c r="U610" s="268"/>
      <x:c r="V610" s="268"/>
      <x:c r="W610" s="268"/>
      <x:c r="X610" s="268"/>
      <x:c r="Y610" s="268"/>
      <x:c r="Z610" s="268"/>
      <x:c r="AA610" s="268"/>
      <x:c r="AB610" s="268"/>
      <x:c r="AC610" s="268"/>
    </x:row>
    <x:row r="611">
      <x:c r="A611" s="268"/>
      <x:c r="B611" s="268"/>
      <x:c r="C611" s="268"/>
      <x:c r="D611" s="268"/>
      <x:c r="E611" s="268"/>
      <x:c r="F611" s="268"/>
      <x:c r="G611" s="268"/>
      <x:c r="H611" s="268"/>
      <x:c r="I611" s="268"/>
      <x:c r="J611" s="268"/>
      <x:c r="K611" s="268"/>
      <x:c r="L611" s="268"/>
      <x:c r="M611" s="268"/>
      <x:c r="N611" s="268"/>
      <x:c r="O611" s="268"/>
      <x:c r="P611" s="268"/>
      <x:c r="Q611" s="268"/>
      <x:c r="R611" s="268"/>
      <x:c r="S611" s="268"/>
      <x:c r="T611" s="268"/>
      <x:c r="U611" s="268"/>
      <x:c r="V611" s="268"/>
      <x:c r="W611" s="268"/>
      <x:c r="X611" s="268"/>
      <x:c r="Y611" s="268"/>
      <x:c r="Z611" s="268"/>
      <x:c r="AA611" s="268"/>
      <x:c r="AB611" s="268"/>
      <x:c r="AC611" s="268"/>
    </x:row>
    <x:row r="612">
      <x:c r="A612" s="268"/>
      <x:c r="B612" s="268"/>
      <x:c r="C612" s="268"/>
      <x:c r="D612" s="268"/>
      <x:c r="E612" s="268"/>
      <x:c r="F612" s="268"/>
      <x:c r="G612" s="268"/>
      <x:c r="H612" s="268"/>
      <x:c r="I612" s="268"/>
      <x:c r="J612" s="268"/>
      <x:c r="K612" s="268"/>
      <x:c r="L612" s="268"/>
      <x:c r="M612" s="268"/>
      <x:c r="N612" s="268"/>
      <x:c r="O612" s="268"/>
      <x:c r="P612" s="268"/>
      <x:c r="Q612" s="268"/>
      <x:c r="R612" s="268"/>
      <x:c r="S612" s="268"/>
      <x:c r="T612" s="268"/>
      <x:c r="U612" s="268"/>
      <x:c r="V612" s="268"/>
      <x:c r="W612" s="268"/>
      <x:c r="X612" s="268"/>
      <x:c r="Y612" s="268"/>
      <x:c r="Z612" s="268"/>
      <x:c r="AA612" s="268"/>
      <x:c r="AB612" s="268"/>
      <x:c r="AC612" s="268"/>
    </x:row>
    <x:row r="613">
      <x:c r="A613" s="268"/>
      <x:c r="B613" s="268"/>
      <x:c r="C613" s="268"/>
      <x:c r="D613" s="268"/>
      <x:c r="E613" s="268"/>
      <x:c r="F613" s="268"/>
      <x:c r="G613" s="268"/>
      <x:c r="H613" s="268"/>
      <x:c r="I613" s="268"/>
      <x:c r="J613" s="268"/>
      <x:c r="K613" s="268"/>
      <x:c r="L613" s="268"/>
      <x:c r="M613" s="268"/>
      <x:c r="N613" s="268"/>
      <x:c r="O613" s="268"/>
      <x:c r="P613" s="268"/>
      <x:c r="Q613" s="268"/>
      <x:c r="R613" s="268"/>
      <x:c r="S613" s="268"/>
      <x:c r="T613" s="268"/>
      <x:c r="U613" s="268"/>
      <x:c r="V613" s="268"/>
      <x:c r="W613" s="268"/>
      <x:c r="X613" s="268"/>
      <x:c r="Y613" s="268"/>
      <x:c r="Z613" s="268"/>
      <x:c r="AA613" s="268"/>
      <x:c r="AB613" s="268"/>
      <x:c r="AC613" s="268"/>
    </x:row>
    <x:row r="614">
      <x:c r="A614" s="268"/>
      <x:c r="B614" s="268"/>
      <x:c r="C614" s="268"/>
      <x:c r="D614" s="268"/>
      <x:c r="E614" s="268"/>
      <x:c r="F614" s="268"/>
      <x:c r="G614" s="268"/>
      <x:c r="H614" s="268"/>
      <x:c r="I614" s="268"/>
      <x:c r="J614" s="268"/>
      <x:c r="K614" s="268"/>
      <x:c r="L614" s="268"/>
      <x:c r="M614" s="268"/>
      <x:c r="N614" s="268"/>
      <x:c r="O614" s="268"/>
      <x:c r="P614" s="268"/>
      <x:c r="Q614" s="268"/>
      <x:c r="R614" s="268"/>
      <x:c r="S614" s="268"/>
      <x:c r="T614" s="268"/>
      <x:c r="U614" s="268"/>
      <x:c r="V614" s="268"/>
      <x:c r="W614" s="268"/>
      <x:c r="X614" s="268"/>
      <x:c r="Y614" s="268"/>
      <x:c r="Z614" s="268"/>
      <x:c r="AA614" s="268"/>
      <x:c r="AB614" s="268"/>
      <x:c r="AC614" s="268"/>
    </x:row>
    <x:row r="615">
      <x:c r="A615" s="268"/>
      <x:c r="B615" s="268"/>
      <x:c r="C615" s="268"/>
      <x:c r="D615" s="268"/>
      <x:c r="E615" s="268"/>
      <x:c r="F615" s="268"/>
      <x:c r="G615" s="268"/>
      <x:c r="H615" s="268"/>
      <x:c r="I615" s="268"/>
      <x:c r="J615" s="268"/>
      <x:c r="K615" s="268"/>
      <x:c r="L615" s="268"/>
      <x:c r="M615" s="268"/>
      <x:c r="N615" s="268"/>
      <x:c r="O615" s="268"/>
      <x:c r="P615" s="268"/>
      <x:c r="Q615" s="268"/>
      <x:c r="R615" s="268"/>
      <x:c r="S615" s="268"/>
      <x:c r="T615" s="268"/>
      <x:c r="U615" s="268"/>
      <x:c r="V615" s="268"/>
      <x:c r="W615" s="268"/>
      <x:c r="X615" s="268"/>
      <x:c r="Y615" s="268"/>
      <x:c r="Z615" s="268"/>
      <x:c r="AA615" s="268"/>
      <x:c r="AB615" s="268"/>
      <x:c r="AC615" s="268"/>
    </x:row>
    <x:row r="616">
      <x:c r="A616" s="268"/>
      <x:c r="B616" s="268"/>
      <x:c r="C616" s="268"/>
      <x:c r="D616" s="268"/>
      <x:c r="E616" s="268"/>
      <x:c r="F616" s="268"/>
      <x:c r="G616" s="268"/>
      <x:c r="H616" s="268"/>
      <x:c r="I616" s="268"/>
      <x:c r="J616" s="268"/>
      <x:c r="K616" s="268"/>
      <x:c r="L616" s="268"/>
      <x:c r="M616" s="268"/>
      <x:c r="N616" s="268"/>
      <x:c r="O616" s="268"/>
      <x:c r="P616" s="268"/>
      <x:c r="Q616" s="268"/>
      <x:c r="R616" s="268"/>
      <x:c r="S616" s="268"/>
      <x:c r="T616" s="268"/>
      <x:c r="U616" s="268"/>
      <x:c r="V616" s="268"/>
      <x:c r="W616" s="268"/>
      <x:c r="X616" s="268"/>
      <x:c r="Y616" s="268"/>
      <x:c r="Z616" s="268"/>
      <x:c r="AA616" s="268"/>
      <x:c r="AB616" s="268"/>
      <x:c r="AC616" s="268"/>
    </x:row>
    <x:row r="617">
      <x:c r="A617" s="268"/>
      <x:c r="B617" s="268"/>
      <x:c r="C617" s="268"/>
      <x:c r="D617" s="268"/>
      <x:c r="E617" s="268"/>
      <x:c r="F617" s="268"/>
      <x:c r="G617" s="268"/>
      <x:c r="H617" s="268"/>
      <x:c r="I617" s="268"/>
      <x:c r="J617" s="268"/>
      <x:c r="K617" s="268"/>
      <x:c r="L617" s="268"/>
      <x:c r="M617" s="268"/>
      <x:c r="N617" s="268"/>
      <x:c r="O617" s="268"/>
      <x:c r="P617" s="268"/>
      <x:c r="Q617" s="268"/>
      <x:c r="R617" s="268"/>
      <x:c r="S617" s="268"/>
      <x:c r="T617" s="268"/>
      <x:c r="U617" s="268"/>
      <x:c r="V617" s="268"/>
      <x:c r="W617" s="268"/>
      <x:c r="X617" s="268"/>
      <x:c r="Y617" s="268"/>
      <x:c r="Z617" s="268"/>
      <x:c r="AA617" s="268"/>
      <x:c r="AB617" s="268"/>
      <x:c r="AC617" s="268"/>
    </x:row>
    <x:row r="618">
      <x:c r="A618" s="268"/>
      <x:c r="B618" s="268"/>
      <x:c r="C618" s="268"/>
      <x:c r="D618" s="268"/>
      <x:c r="E618" s="268"/>
      <x:c r="F618" s="268"/>
      <x:c r="G618" s="268"/>
      <x:c r="H618" s="268"/>
      <x:c r="I618" s="268"/>
      <x:c r="J618" s="268"/>
      <x:c r="K618" s="268"/>
      <x:c r="L618" s="268"/>
      <x:c r="M618" s="268"/>
      <x:c r="N618" s="268"/>
      <x:c r="O618" s="268"/>
      <x:c r="P618" s="268"/>
      <x:c r="Q618" s="268"/>
      <x:c r="R618" s="268"/>
      <x:c r="S618" s="268"/>
      <x:c r="T618" s="268"/>
      <x:c r="U618" s="268"/>
      <x:c r="V618" s="268"/>
      <x:c r="W618" s="268"/>
      <x:c r="X618" s="268"/>
      <x:c r="Y618" s="268"/>
      <x:c r="Z618" s="268"/>
      <x:c r="AA618" s="268"/>
      <x:c r="AB618" s="268"/>
      <x:c r="AC618" s="268"/>
    </x:row>
    <x:row r="619">
      <x:c r="A619" s="268"/>
      <x:c r="B619" s="268"/>
      <x:c r="C619" s="268"/>
      <x:c r="D619" s="268"/>
      <x:c r="E619" s="268"/>
      <x:c r="F619" s="268"/>
      <x:c r="G619" s="268"/>
      <x:c r="H619" s="268"/>
      <x:c r="I619" s="268"/>
      <x:c r="J619" s="268"/>
      <x:c r="K619" s="268"/>
      <x:c r="L619" s="268"/>
      <x:c r="M619" s="268"/>
      <x:c r="N619" s="268"/>
      <x:c r="O619" s="268"/>
      <x:c r="P619" s="268"/>
      <x:c r="Q619" s="268"/>
      <x:c r="R619" s="268"/>
      <x:c r="S619" s="268"/>
      <x:c r="T619" s="268"/>
      <x:c r="U619" s="268"/>
      <x:c r="V619" s="268"/>
      <x:c r="W619" s="268"/>
      <x:c r="X619" s="268"/>
      <x:c r="Y619" s="268"/>
      <x:c r="Z619" s="268"/>
      <x:c r="AA619" s="268"/>
      <x:c r="AB619" s="268"/>
      <x:c r="AC619" s="268"/>
    </x:row>
    <x:row r="620">
      <x:c r="A620" s="268"/>
      <x:c r="B620" s="268"/>
      <x:c r="C620" s="268"/>
      <x:c r="D620" s="268"/>
      <x:c r="E620" s="268"/>
      <x:c r="F620" s="268"/>
      <x:c r="G620" s="268"/>
      <x:c r="H620" s="268"/>
      <x:c r="I620" s="268"/>
      <x:c r="J620" s="268"/>
      <x:c r="K620" s="268"/>
      <x:c r="L620" s="268"/>
      <x:c r="M620" s="268"/>
      <x:c r="N620" s="268"/>
      <x:c r="O620" s="268"/>
      <x:c r="P620" s="268"/>
      <x:c r="Q620" s="268"/>
      <x:c r="R620" s="268"/>
      <x:c r="S620" s="268"/>
      <x:c r="T620" s="268"/>
      <x:c r="U620" s="268"/>
      <x:c r="V620" s="268"/>
      <x:c r="W620" s="268"/>
      <x:c r="X620" s="268"/>
      <x:c r="Y620" s="268"/>
      <x:c r="Z620" s="268"/>
      <x:c r="AA620" s="268"/>
      <x:c r="AB620" s="268"/>
      <x:c r="AC620" s="268"/>
    </x:row>
    <x:row r="621">
      <x:c r="A621" s="268"/>
      <x:c r="B621" s="268"/>
      <x:c r="C621" s="268"/>
      <x:c r="D621" s="268"/>
      <x:c r="E621" s="268"/>
      <x:c r="F621" s="268"/>
      <x:c r="G621" s="268"/>
      <x:c r="H621" s="268"/>
      <x:c r="I621" s="268"/>
      <x:c r="J621" s="268"/>
      <x:c r="K621" s="268"/>
      <x:c r="L621" s="268"/>
      <x:c r="M621" s="268"/>
      <x:c r="N621" s="268"/>
      <x:c r="O621" s="268"/>
      <x:c r="P621" s="268"/>
      <x:c r="Q621" s="268"/>
      <x:c r="R621" s="268"/>
      <x:c r="S621" s="268"/>
      <x:c r="T621" s="268"/>
      <x:c r="U621" s="268"/>
      <x:c r="V621" s="268"/>
      <x:c r="W621" s="268"/>
      <x:c r="X621" s="268"/>
      <x:c r="Y621" s="268"/>
      <x:c r="Z621" s="268"/>
      <x:c r="AA621" s="268"/>
      <x:c r="AB621" s="268"/>
      <x:c r="AC621" s="268"/>
    </x:row>
    <x:row r="622">
      <x:c r="A622" s="268"/>
      <x:c r="B622" s="268"/>
      <x:c r="C622" s="268"/>
      <x:c r="D622" s="268"/>
      <x:c r="E622" s="268"/>
      <x:c r="F622" s="268"/>
      <x:c r="G622" s="268"/>
      <x:c r="H622" s="268"/>
      <x:c r="I622" s="268"/>
      <x:c r="J622" s="268"/>
      <x:c r="K622" s="268"/>
      <x:c r="L622" s="268"/>
      <x:c r="M622" s="268"/>
      <x:c r="N622" s="268"/>
      <x:c r="O622" s="268"/>
      <x:c r="P622" s="268"/>
      <x:c r="Q622" s="268"/>
      <x:c r="R622" s="268"/>
      <x:c r="S622" s="268"/>
      <x:c r="T622" s="268"/>
      <x:c r="U622" s="268"/>
      <x:c r="V622" s="268"/>
      <x:c r="W622" s="268"/>
      <x:c r="X622" s="268"/>
      <x:c r="Y622" s="268"/>
      <x:c r="Z622" s="268"/>
      <x:c r="AA622" s="268"/>
      <x:c r="AB622" s="268"/>
      <x:c r="AC622" s="268"/>
    </x:row>
    <x:row r="623">
      <x:c r="A623" s="268"/>
      <x:c r="B623" s="268"/>
      <x:c r="C623" s="268"/>
      <x:c r="D623" s="268"/>
      <x:c r="E623" s="268"/>
      <x:c r="F623" s="268"/>
      <x:c r="G623" s="268"/>
      <x:c r="H623" s="268"/>
      <x:c r="I623" s="268"/>
      <x:c r="J623" s="268"/>
      <x:c r="K623" s="268"/>
      <x:c r="L623" s="268"/>
      <x:c r="M623" s="268"/>
      <x:c r="N623" s="268"/>
      <x:c r="O623" s="268"/>
      <x:c r="P623" s="268"/>
      <x:c r="Q623" s="268"/>
      <x:c r="R623" s="268"/>
      <x:c r="S623" s="268"/>
      <x:c r="T623" s="268"/>
      <x:c r="U623" s="268"/>
      <x:c r="V623" s="268"/>
      <x:c r="W623" s="268"/>
      <x:c r="X623" s="268"/>
      <x:c r="Y623" s="268"/>
      <x:c r="Z623" s="268"/>
      <x:c r="AA623" s="268"/>
      <x:c r="AB623" s="268"/>
      <x:c r="AC623" s="268"/>
    </x:row>
    <x:row r="624">
      <x:c r="A624" s="268"/>
      <x:c r="B624" s="268"/>
      <x:c r="C624" s="268"/>
      <x:c r="D624" s="268"/>
      <x:c r="E624" s="268"/>
      <x:c r="F624" s="268"/>
      <x:c r="G624" s="268"/>
      <x:c r="H624" s="268"/>
      <x:c r="I624" s="268"/>
      <x:c r="J624" s="268"/>
      <x:c r="K624" s="268"/>
      <x:c r="L624" s="268"/>
      <x:c r="M624" s="268"/>
      <x:c r="N624" s="268"/>
      <x:c r="O624" s="268"/>
      <x:c r="P624" s="268"/>
      <x:c r="Q624" s="268"/>
      <x:c r="R624" s="268"/>
      <x:c r="S624" s="268"/>
      <x:c r="T624" s="268"/>
      <x:c r="U624" s="268"/>
      <x:c r="V624" s="268"/>
      <x:c r="W624" s="268"/>
      <x:c r="X624" s="268"/>
      <x:c r="Y624" s="268"/>
      <x:c r="Z624" s="268"/>
      <x:c r="AA624" s="268"/>
      <x:c r="AB624" s="268"/>
      <x:c r="AC624" s="268"/>
    </x:row>
    <x:row r="625">
      <x:c r="A625" s="268"/>
      <x:c r="B625" s="268"/>
      <x:c r="C625" s="268"/>
      <x:c r="D625" s="268"/>
      <x:c r="E625" s="268"/>
      <x:c r="F625" s="268"/>
      <x:c r="G625" s="268"/>
      <x:c r="H625" s="268"/>
      <x:c r="I625" s="268"/>
      <x:c r="J625" s="268"/>
      <x:c r="K625" s="268"/>
      <x:c r="L625" s="268"/>
      <x:c r="M625" s="268"/>
      <x:c r="N625" s="268"/>
      <x:c r="O625" s="268"/>
      <x:c r="P625" s="268"/>
      <x:c r="Q625" s="268"/>
      <x:c r="R625" s="268"/>
      <x:c r="S625" s="268"/>
      <x:c r="T625" s="268"/>
      <x:c r="U625" s="268"/>
      <x:c r="V625" s="268"/>
      <x:c r="W625" s="268"/>
      <x:c r="X625" s="268"/>
      <x:c r="Y625" s="268"/>
      <x:c r="Z625" s="268"/>
      <x:c r="AA625" s="268"/>
      <x:c r="AB625" s="268"/>
      <x:c r="AC625" s="268"/>
    </x:row>
    <x:row r="626">
      <x:c r="A626" s="268"/>
      <x:c r="B626" s="268"/>
      <x:c r="C626" s="268"/>
      <x:c r="D626" s="268"/>
      <x:c r="E626" s="268"/>
      <x:c r="F626" s="268"/>
      <x:c r="G626" s="268"/>
      <x:c r="H626" s="268"/>
      <x:c r="I626" s="268"/>
      <x:c r="J626" s="268"/>
      <x:c r="K626" s="268"/>
      <x:c r="L626" s="268"/>
      <x:c r="M626" s="268"/>
      <x:c r="N626" s="268"/>
      <x:c r="O626" s="268"/>
      <x:c r="P626" s="268"/>
      <x:c r="Q626" s="268"/>
      <x:c r="R626" s="268"/>
      <x:c r="S626" s="268"/>
      <x:c r="T626" s="268"/>
      <x:c r="U626" s="268"/>
      <x:c r="V626" s="268"/>
      <x:c r="W626" s="268"/>
      <x:c r="X626" s="268"/>
      <x:c r="Y626" s="268"/>
      <x:c r="Z626" s="268"/>
      <x:c r="AA626" s="268"/>
      <x:c r="AB626" s="268"/>
      <x:c r="AC626" s="268"/>
    </x:row>
    <x:row r="627">
      <x:c r="A627" s="268"/>
      <x:c r="B627" s="268"/>
      <x:c r="C627" s="268"/>
      <x:c r="D627" s="268"/>
      <x:c r="E627" s="268"/>
      <x:c r="F627" s="268"/>
      <x:c r="G627" s="268"/>
      <x:c r="H627" s="268"/>
      <x:c r="I627" s="268"/>
      <x:c r="J627" s="268"/>
      <x:c r="K627" s="268"/>
      <x:c r="L627" s="268"/>
      <x:c r="M627" s="268"/>
      <x:c r="N627" s="268"/>
      <x:c r="O627" s="268"/>
      <x:c r="P627" s="268"/>
      <x:c r="Q627" s="268"/>
      <x:c r="R627" s="268"/>
      <x:c r="S627" s="268"/>
      <x:c r="T627" s="268"/>
      <x:c r="U627" s="268"/>
      <x:c r="V627" s="268"/>
      <x:c r="W627" s="268"/>
      <x:c r="X627" s="268"/>
      <x:c r="Y627" s="268"/>
      <x:c r="Z627" s="268"/>
      <x:c r="AA627" s="268"/>
      <x:c r="AB627" s="268"/>
      <x:c r="AC627" s="268"/>
    </x:row>
    <x:row r="628">
      <x:c r="A628" s="268"/>
      <x:c r="B628" s="268"/>
      <x:c r="C628" s="268"/>
      <x:c r="D628" s="268"/>
      <x:c r="E628" s="268"/>
      <x:c r="F628" s="268"/>
      <x:c r="G628" s="268"/>
      <x:c r="H628" s="268"/>
      <x:c r="I628" s="268"/>
      <x:c r="J628" s="268"/>
      <x:c r="K628" s="268"/>
      <x:c r="L628" s="268"/>
      <x:c r="M628" s="268"/>
      <x:c r="N628" s="268"/>
      <x:c r="O628" s="268"/>
      <x:c r="P628" s="268"/>
      <x:c r="Q628" s="268"/>
      <x:c r="R628" s="268"/>
      <x:c r="S628" s="268"/>
      <x:c r="T628" s="268"/>
      <x:c r="U628" s="268"/>
      <x:c r="V628" s="268"/>
      <x:c r="W628" s="268"/>
      <x:c r="X628" s="268"/>
      <x:c r="Y628" s="268"/>
      <x:c r="Z628" s="268"/>
      <x:c r="AA628" s="268"/>
      <x:c r="AB628" s="268"/>
      <x:c r="AC628" s="268"/>
    </x:row>
    <x:row r="629">
      <x:c r="A629" s="268"/>
      <x:c r="B629" s="268"/>
      <x:c r="C629" s="268"/>
      <x:c r="D629" s="268"/>
      <x:c r="E629" s="268"/>
      <x:c r="F629" s="268"/>
      <x:c r="G629" s="268"/>
      <x:c r="H629" s="268"/>
      <x:c r="I629" s="268"/>
      <x:c r="J629" s="268"/>
      <x:c r="K629" s="268"/>
      <x:c r="L629" s="268"/>
      <x:c r="M629" s="268"/>
      <x:c r="N629" s="268"/>
      <x:c r="O629" s="268"/>
      <x:c r="P629" s="268"/>
      <x:c r="Q629" s="268"/>
      <x:c r="R629" s="268"/>
      <x:c r="S629" s="268"/>
      <x:c r="T629" s="268"/>
      <x:c r="U629" s="268"/>
      <x:c r="V629" s="268"/>
      <x:c r="W629" s="268"/>
      <x:c r="X629" s="268"/>
      <x:c r="Y629" s="268"/>
      <x:c r="Z629" s="268"/>
      <x:c r="AA629" s="268"/>
      <x:c r="AB629" s="268"/>
      <x:c r="AC629" s="268"/>
    </x:row>
    <x:row r="630">
      <x:c r="A630" s="268"/>
      <x:c r="B630" s="268"/>
      <x:c r="C630" s="268"/>
      <x:c r="D630" s="268"/>
      <x:c r="E630" s="268"/>
      <x:c r="F630" s="268"/>
      <x:c r="G630" s="268"/>
      <x:c r="H630" s="268"/>
      <x:c r="I630" s="268"/>
      <x:c r="J630" s="268"/>
      <x:c r="K630" s="268"/>
      <x:c r="L630" s="268"/>
      <x:c r="M630" s="268"/>
      <x:c r="N630" s="268"/>
      <x:c r="O630" s="268"/>
      <x:c r="P630" s="268"/>
      <x:c r="Q630" s="268"/>
      <x:c r="R630" s="268"/>
      <x:c r="S630" s="268"/>
      <x:c r="T630" s="268"/>
      <x:c r="U630" s="268"/>
      <x:c r="V630" s="268"/>
      <x:c r="W630" s="268"/>
      <x:c r="X630" s="268"/>
      <x:c r="Y630" s="268"/>
      <x:c r="Z630" s="268"/>
      <x:c r="AA630" s="268"/>
      <x:c r="AB630" s="268"/>
      <x:c r="AC630" s="268"/>
    </x:row>
    <x:row r="631">
      <x:c r="A631" s="268"/>
      <x:c r="B631" s="268"/>
      <x:c r="C631" s="268"/>
      <x:c r="D631" s="268"/>
      <x:c r="E631" s="268"/>
      <x:c r="F631" s="268"/>
      <x:c r="G631" s="268"/>
      <x:c r="H631" s="268"/>
      <x:c r="I631" s="268"/>
      <x:c r="J631" s="268"/>
      <x:c r="K631" s="268"/>
      <x:c r="L631" s="268"/>
      <x:c r="M631" s="268"/>
      <x:c r="N631" s="268"/>
      <x:c r="O631" s="268"/>
      <x:c r="P631" s="268"/>
      <x:c r="Q631" s="268"/>
      <x:c r="R631" s="268"/>
      <x:c r="S631" s="268"/>
      <x:c r="T631" s="268"/>
      <x:c r="U631" s="268"/>
      <x:c r="V631" s="268"/>
      <x:c r="W631" s="268"/>
      <x:c r="X631" s="268"/>
      <x:c r="Y631" s="268"/>
      <x:c r="Z631" s="268"/>
      <x:c r="AA631" s="268"/>
      <x:c r="AB631" s="268"/>
      <x:c r="AC631" s="268"/>
    </x:row>
    <x:row r="632">
      <x:c r="A632" s="268"/>
      <x:c r="B632" s="268"/>
      <x:c r="C632" s="268"/>
      <x:c r="D632" s="268"/>
      <x:c r="E632" s="268"/>
      <x:c r="F632" s="268"/>
      <x:c r="G632" s="268"/>
      <x:c r="H632" s="268"/>
      <x:c r="I632" s="268"/>
      <x:c r="J632" s="268"/>
      <x:c r="K632" s="268"/>
      <x:c r="L632" s="268"/>
      <x:c r="M632" s="268"/>
      <x:c r="N632" s="268"/>
      <x:c r="O632" s="268"/>
      <x:c r="P632" s="268"/>
      <x:c r="Q632" s="268"/>
      <x:c r="R632" s="268"/>
      <x:c r="S632" s="268"/>
      <x:c r="T632" s="268"/>
      <x:c r="U632" s="268"/>
      <x:c r="V632" s="268"/>
      <x:c r="W632" s="268"/>
      <x:c r="X632" s="268"/>
      <x:c r="Y632" s="268"/>
      <x:c r="Z632" s="268"/>
      <x:c r="AA632" s="268"/>
      <x:c r="AB632" s="268"/>
      <x:c r="AC632" s="268"/>
    </x:row>
    <x:row r="633">
      <x:c r="A633" s="268"/>
      <x:c r="B633" s="268"/>
      <x:c r="C633" s="268"/>
      <x:c r="D633" s="268"/>
      <x:c r="E633" s="268"/>
      <x:c r="F633" s="268"/>
      <x:c r="G633" s="268"/>
      <x:c r="H633" s="268"/>
      <x:c r="I633" s="268"/>
      <x:c r="J633" s="268"/>
      <x:c r="K633" s="268"/>
      <x:c r="L633" s="268"/>
      <x:c r="M633" s="268"/>
      <x:c r="N633" s="268"/>
      <x:c r="O633" s="268"/>
      <x:c r="P633" s="268"/>
      <x:c r="Q633" s="268"/>
      <x:c r="R633" s="268"/>
      <x:c r="S633" s="268"/>
      <x:c r="T633" s="268"/>
      <x:c r="U633" s="268"/>
      <x:c r="V633" s="268"/>
      <x:c r="W633" s="268"/>
      <x:c r="X633" s="268"/>
      <x:c r="Y633" s="268"/>
      <x:c r="Z633" s="268"/>
      <x:c r="AA633" s="268"/>
      <x:c r="AB633" s="268"/>
      <x:c r="AC633" s="268"/>
    </x:row>
    <x:row r="634">
      <x:c r="A634" s="268"/>
      <x:c r="B634" s="268"/>
      <x:c r="C634" s="268"/>
      <x:c r="D634" s="268"/>
      <x:c r="E634" s="268"/>
      <x:c r="F634" s="268"/>
      <x:c r="G634" s="268"/>
      <x:c r="H634" s="268"/>
      <x:c r="I634" s="268"/>
      <x:c r="J634" s="268"/>
      <x:c r="K634" s="268"/>
      <x:c r="L634" s="268"/>
      <x:c r="M634" s="268"/>
      <x:c r="N634" s="268"/>
      <x:c r="O634" s="268"/>
      <x:c r="P634" s="268"/>
      <x:c r="Q634" s="268"/>
      <x:c r="R634" s="268"/>
      <x:c r="S634" s="268"/>
      <x:c r="T634" s="268"/>
      <x:c r="U634" s="268"/>
      <x:c r="V634" s="268"/>
      <x:c r="W634" s="268"/>
      <x:c r="X634" s="268"/>
      <x:c r="Y634" s="268"/>
      <x:c r="Z634" s="268"/>
      <x:c r="AA634" s="268"/>
      <x:c r="AB634" s="268"/>
      <x:c r="AC634" s="268"/>
    </x:row>
    <x:row r="635">
      <x:c r="A635" s="268"/>
      <x:c r="B635" s="268"/>
      <x:c r="C635" s="268"/>
      <x:c r="D635" s="268"/>
      <x:c r="E635" s="268"/>
      <x:c r="F635" s="268"/>
      <x:c r="G635" s="268"/>
      <x:c r="H635" s="268"/>
      <x:c r="I635" s="268"/>
      <x:c r="J635" s="268"/>
      <x:c r="K635" s="268"/>
      <x:c r="L635" s="268"/>
      <x:c r="M635" s="268"/>
      <x:c r="N635" s="268"/>
      <x:c r="O635" s="268"/>
      <x:c r="P635" s="268"/>
      <x:c r="Q635" s="268"/>
      <x:c r="R635" s="268"/>
      <x:c r="S635" s="268"/>
      <x:c r="T635" s="268"/>
      <x:c r="U635" s="268"/>
      <x:c r="V635" s="268"/>
      <x:c r="W635" s="268"/>
      <x:c r="X635" s="268"/>
      <x:c r="Y635" s="268"/>
      <x:c r="Z635" s="268"/>
      <x:c r="AA635" s="268"/>
      <x:c r="AB635" s="268"/>
      <x:c r="AC635" s="268"/>
    </x:row>
    <x:row r="636">
      <x:c r="A636" s="268"/>
      <x:c r="B636" s="268"/>
      <x:c r="C636" s="268"/>
      <x:c r="D636" s="268"/>
      <x:c r="E636" s="268"/>
      <x:c r="F636" s="268"/>
      <x:c r="G636" s="268"/>
      <x:c r="H636" s="268"/>
      <x:c r="I636" s="268"/>
      <x:c r="J636" s="268"/>
      <x:c r="K636" s="268"/>
      <x:c r="L636" s="268"/>
      <x:c r="M636" s="268"/>
      <x:c r="N636" s="268"/>
      <x:c r="O636" s="268"/>
      <x:c r="P636" s="268"/>
      <x:c r="Q636" s="268"/>
      <x:c r="R636" s="268"/>
      <x:c r="S636" s="268"/>
      <x:c r="T636" s="268"/>
      <x:c r="U636" s="268"/>
      <x:c r="V636" s="268"/>
      <x:c r="W636" s="268"/>
      <x:c r="X636" s="268"/>
      <x:c r="Y636" s="268"/>
      <x:c r="Z636" s="268"/>
      <x:c r="AA636" s="268"/>
      <x:c r="AB636" s="268"/>
      <x:c r="AC636" s="268"/>
    </x:row>
    <x:row r="637">
      <x:c r="A637" s="268"/>
      <x:c r="B637" s="268"/>
      <x:c r="C637" s="268"/>
      <x:c r="D637" s="268"/>
      <x:c r="E637" s="268"/>
      <x:c r="F637" s="268"/>
      <x:c r="G637" s="268"/>
      <x:c r="H637" s="268"/>
      <x:c r="I637" s="268"/>
      <x:c r="J637" s="268"/>
      <x:c r="K637" s="268"/>
      <x:c r="L637" s="268"/>
      <x:c r="M637" s="268"/>
      <x:c r="N637" s="268"/>
      <x:c r="O637" s="268"/>
      <x:c r="P637" s="268"/>
      <x:c r="Q637" s="268"/>
      <x:c r="R637" s="268"/>
      <x:c r="S637" s="268"/>
      <x:c r="T637" s="268"/>
      <x:c r="U637" s="268"/>
      <x:c r="V637" s="268"/>
      <x:c r="W637" s="268"/>
      <x:c r="X637" s="268"/>
      <x:c r="Y637" s="268"/>
      <x:c r="Z637" s="268"/>
      <x:c r="AA637" s="268"/>
      <x:c r="AB637" s="268"/>
      <x:c r="AC637" s="268"/>
    </x:row>
    <x:row r="638">
      <x:c r="A638" s="268"/>
      <x:c r="B638" s="268"/>
      <x:c r="C638" s="268"/>
      <x:c r="D638" s="268"/>
      <x:c r="E638" s="268"/>
      <x:c r="F638" s="268"/>
      <x:c r="G638" s="268"/>
      <x:c r="H638" s="268"/>
      <x:c r="I638" s="268"/>
      <x:c r="J638" s="268"/>
      <x:c r="K638" s="268"/>
      <x:c r="L638" s="268"/>
      <x:c r="M638" s="268"/>
      <x:c r="N638" s="268"/>
      <x:c r="O638" s="268"/>
      <x:c r="P638" s="268"/>
      <x:c r="Q638" s="268"/>
      <x:c r="R638" s="268"/>
      <x:c r="S638" s="268"/>
      <x:c r="T638" s="268"/>
      <x:c r="U638" s="268"/>
      <x:c r="V638" s="268"/>
      <x:c r="W638" s="268"/>
      <x:c r="X638" s="268"/>
      <x:c r="Y638" s="268"/>
      <x:c r="Z638" s="268"/>
      <x:c r="AA638" s="268"/>
      <x:c r="AB638" s="268"/>
      <x:c r="AC638" s="268"/>
    </x:row>
    <x:row r="639">
      <x:c r="A639" s="268"/>
      <x:c r="B639" s="268"/>
      <x:c r="C639" s="268"/>
      <x:c r="D639" s="268"/>
      <x:c r="E639" s="268"/>
      <x:c r="F639" s="268"/>
      <x:c r="G639" s="268"/>
      <x:c r="H639" s="268"/>
      <x:c r="I639" s="268"/>
      <x:c r="J639" s="268"/>
      <x:c r="K639" s="268"/>
      <x:c r="L639" s="268"/>
      <x:c r="M639" s="268"/>
      <x:c r="N639" s="268"/>
      <x:c r="O639" s="268"/>
      <x:c r="P639" s="268"/>
      <x:c r="Q639" s="268"/>
      <x:c r="R639" s="268"/>
      <x:c r="S639" s="268"/>
      <x:c r="T639" s="268"/>
      <x:c r="U639" s="268"/>
      <x:c r="V639" s="268"/>
      <x:c r="W639" s="268"/>
      <x:c r="X639" s="268"/>
      <x:c r="Y639" s="268"/>
      <x:c r="Z639" s="268"/>
      <x:c r="AA639" s="268"/>
      <x:c r="AB639" s="268"/>
      <x:c r="AC639" s="268"/>
    </x:row>
    <x:row r="640">
      <x:c r="A640" s="268"/>
      <x:c r="B640" s="268"/>
      <x:c r="C640" s="268"/>
      <x:c r="D640" s="268"/>
      <x:c r="E640" s="268"/>
      <x:c r="F640" s="268"/>
      <x:c r="G640" s="268"/>
      <x:c r="H640" s="268"/>
      <x:c r="I640" s="268"/>
      <x:c r="J640" s="268"/>
      <x:c r="K640" s="268"/>
      <x:c r="L640" s="268"/>
      <x:c r="M640" s="268"/>
      <x:c r="N640" s="268"/>
      <x:c r="O640" s="268"/>
      <x:c r="P640" s="268"/>
      <x:c r="Q640" s="268"/>
      <x:c r="R640" s="268"/>
      <x:c r="S640" s="268"/>
      <x:c r="T640" s="268"/>
      <x:c r="U640" s="268"/>
      <x:c r="V640" s="268"/>
      <x:c r="W640" s="268"/>
      <x:c r="X640" s="268"/>
      <x:c r="Y640" s="268"/>
      <x:c r="Z640" s="268"/>
      <x:c r="AA640" s="268"/>
      <x:c r="AB640" s="268"/>
      <x:c r="AC640" s="268"/>
    </x:row>
    <x:row r="641">
      <x:c r="A641" s="268"/>
      <x:c r="B641" s="268"/>
      <x:c r="C641" s="268"/>
      <x:c r="D641" s="268"/>
      <x:c r="E641" s="268"/>
      <x:c r="F641" s="268"/>
      <x:c r="G641" s="268"/>
      <x:c r="H641" s="268"/>
      <x:c r="I641" s="268"/>
      <x:c r="J641" s="268"/>
      <x:c r="K641" s="268"/>
      <x:c r="L641" s="268"/>
      <x:c r="M641" s="268"/>
      <x:c r="N641" s="268"/>
      <x:c r="O641" s="268"/>
      <x:c r="P641" s="268"/>
      <x:c r="Q641" s="268"/>
      <x:c r="R641" s="268"/>
      <x:c r="S641" s="268"/>
      <x:c r="T641" s="268"/>
      <x:c r="U641" s="268"/>
      <x:c r="V641" s="268"/>
      <x:c r="W641" s="268"/>
      <x:c r="X641" s="268"/>
      <x:c r="Y641" s="268"/>
      <x:c r="Z641" s="268"/>
      <x:c r="AA641" s="268"/>
      <x:c r="AB641" s="268"/>
      <x:c r="AC641" s="268"/>
    </x:row>
    <x:row r="642">
      <x:c r="A642" s="268"/>
      <x:c r="B642" s="268"/>
      <x:c r="C642" s="268"/>
      <x:c r="D642" s="268"/>
      <x:c r="E642" s="268"/>
      <x:c r="F642" s="268"/>
      <x:c r="G642" s="268"/>
      <x:c r="H642" s="268"/>
      <x:c r="I642" s="268"/>
      <x:c r="J642" s="268"/>
      <x:c r="K642" s="268"/>
      <x:c r="L642" s="268"/>
      <x:c r="M642" s="268"/>
      <x:c r="N642" s="268"/>
      <x:c r="O642" s="268"/>
      <x:c r="P642" s="268"/>
      <x:c r="Q642" s="268"/>
      <x:c r="R642" s="268"/>
      <x:c r="S642" s="268"/>
      <x:c r="T642" s="268"/>
      <x:c r="U642" s="268"/>
      <x:c r="V642" s="268"/>
      <x:c r="W642" s="268"/>
      <x:c r="X642" s="268"/>
      <x:c r="Y642" s="268"/>
      <x:c r="Z642" s="268"/>
      <x:c r="AA642" s="268"/>
      <x:c r="AB642" s="268"/>
      <x:c r="AC642" s="268"/>
    </x:row>
    <x:row r="643">
      <x:c r="A643" s="268"/>
      <x:c r="B643" s="268"/>
      <x:c r="C643" s="268"/>
      <x:c r="D643" s="268"/>
      <x:c r="E643" s="268"/>
      <x:c r="F643" s="268"/>
      <x:c r="G643" s="268"/>
      <x:c r="H643" s="268"/>
      <x:c r="I643" s="268"/>
      <x:c r="J643" s="268"/>
      <x:c r="K643" s="268"/>
      <x:c r="L643" s="268"/>
      <x:c r="M643" s="268"/>
      <x:c r="N643" s="268"/>
      <x:c r="O643" s="268"/>
      <x:c r="P643" s="268"/>
      <x:c r="Q643" s="268"/>
      <x:c r="R643" s="268"/>
      <x:c r="S643" s="268"/>
      <x:c r="T643" s="268"/>
      <x:c r="U643" s="268"/>
      <x:c r="V643" s="268"/>
      <x:c r="W643" s="268"/>
      <x:c r="X643" s="268"/>
      <x:c r="Y643" s="268"/>
      <x:c r="Z643" s="268"/>
      <x:c r="AA643" s="268"/>
      <x:c r="AB643" s="268"/>
      <x:c r="AC643" s="268"/>
    </x:row>
    <x:row r="644">
      <x:c r="A644" s="268"/>
      <x:c r="B644" s="268"/>
      <x:c r="C644" s="268"/>
      <x:c r="D644" s="268"/>
      <x:c r="E644" s="268"/>
      <x:c r="F644" s="268"/>
      <x:c r="G644" s="268"/>
      <x:c r="H644" s="268"/>
      <x:c r="I644" s="268"/>
      <x:c r="J644" s="268"/>
      <x:c r="K644" s="268"/>
      <x:c r="L644" s="268"/>
      <x:c r="M644" s="268"/>
      <x:c r="N644" s="268"/>
      <x:c r="O644" s="268"/>
      <x:c r="P644" s="268"/>
      <x:c r="Q644" s="268"/>
      <x:c r="R644" s="268"/>
      <x:c r="S644" s="268"/>
      <x:c r="T644" s="268"/>
      <x:c r="U644" s="268"/>
      <x:c r="V644" s="268"/>
      <x:c r="W644" s="268"/>
      <x:c r="X644" s="268"/>
      <x:c r="Y644" s="268"/>
      <x:c r="Z644" s="268"/>
      <x:c r="AA644" s="268"/>
      <x:c r="AB644" s="268"/>
      <x:c r="AC644" s="268"/>
    </x:row>
    <x:row r="645">
      <x:c r="A645" s="268"/>
      <x:c r="B645" s="268"/>
      <x:c r="C645" s="268"/>
      <x:c r="D645" s="268"/>
      <x:c r="E645" s="268"/>
      <x:c r="F645" s="268"/>
      <x:c r="G645" s="268"/>
      <x:c r="H645" s="268"/>
      <x:c r="I645" s="268"/>
      <x:c r="J645" s="268"/>
      <x:c r="K645" s="268"/>
      <x:c r="L645" s="268"/>
      <x:c r="M645" s="268"/>
      <x:c r="N645" s="268"/>
      <x:c r="O645" s="268"/>
      <x:c r="P645" s="268"/>
      <x:c r="Q645" s="268"/>
      <x:c r="R645" s="268"/>
      <x:c r="S645" s="268"/>
      <x:c r="T645" s="268"/>
      <x:c r="U645" s="268"/>
      <x:c r="V645" s="268"/>
      <x:c r="W645" s="268"/>
      <x:c r="X645" s="268"/>
      <x:c r="Y645" s="268"/>
      <x:c r="Z645" s="268"/>
      <x:c r="AA645" s="268"/>
      <x:c r="AB645" s="268"/>
      <x:c r="AC645" s="268"/>
    </x:row>
    <x:row r="646">
      <x:c r="A646" s="268"/>
      <x:c r="B646" s="268"/>
      <x:c r="C646" s="268"/>
      <x:c r="D646" s="268"/>
      <x:c r="E646" s="268"/>
      <x:c r="F646" s="268"/>
      <x:c r="G646" s="268"/>
      <x:c r="H646" s="268"/>
      <x:c r="I646" s="268"/>
      <x:c r="J646" s="268"/>
      <x:c r="K646" s="268"/>
      <x:c r="L646" s="268"/>
      <x:c r="M646" s="268"/>
      <x:c r="N646" s="268"/>
      <x:c r="O646" s="268"/>
      <x:c r="P646" s="268"/>
      <x:c r="Q646" s="268"/>
      <x:c r="R646" s="268"/>
      <x:c r="S646" s="268"/>
      <x:c r="T646" s="268"/>
      <x:c r="U646" s="268"/>
      <x:c r="V646" s="268"/>
      <x:c r="W646" s="268"/>
      <x:c r="X646" s="268"/>
      <x:c r="Y646" s="268"/>
      <x:c r="Z646" s="268"/>
      <x:c r="AA646" s="268"/>
      <x:c r="AB646" s="268"/>
      <x:c r="AC646" s="268"/>
    </x:row>
    <x:row r="647">
      <x:c r="A647" s="268"/>
      <x:c r="B647" s="268"/>
      <x:c r="C647" s="268"/>
      <x:c r="D647" s="268"/>
      <x:c r="E647" s="268"/>
      <x:c r="F647" s="268"/>
      <x:c r="G647" s="268"/>
      <x:c r="H647" s="268"/>
      <x:c r="I647" s="268"/>
      <x:c r="J647" s="268"/>
      <x:c r="K647" s="268"/>
      <x:c r="L647" s="268"/>
      <x:c r="M647" s="268"/>
      <x:c r="N647" s="268"/>
      <x:c r="O647" s="268"/>
      <x:c r="P647" s="268"/>
      <x:c r="Q647" s="268"/>
      <x:c r="R647" s="268"/>
      <x:c r="S647" s="268"/>
      <x:c r="T647" s="268"/>
      <x:c r="U647" s="268"/>
      <x:c r="V647" s="268"/>
      <x:c r="W647" s="268"/>
      <x:c r="X647" s="268"/>
      <x:c r="Y647" s="268"/>
      <x:c r="Z647" s="268"/>
      <x:c r="AA647" s="268"/>
      <x:c r="AB647" s="268"/>
      <x:c r="AC647" s="268"/>
    </x:row>
    <x:row r="648">
      <x:c r="A648" s="268"/>
      <x:c r="B648" s="268"/>
      <x:c r="C648" s="268"/>
      <x:c r="D648" s="268"/>
      <x:c r="E648" s="268"/>
      <x:c r="F648" s="268"/>
      <x:c r="G648" s="268"/>
      <x:c r="H648" s="268"/>
      <x:c r="I648" s="268"/>
      <x:c r="J648" s="268"/>
      <x:c r="K648" s="268"/>
      <x:c r="L648" s="268"/>
      <x:c r="M648" s="268"/>
      <x:c r="N648" s="268"/>
      <x:c r="O648" s="268"/>
      <x:c r="P648" s="268"/>
      <x:c r="Q648" s="268"/>
      <x:c r="R648" s="268"/>
      <x:c r="S648" s="268"/>
      <x:c r="T648" s="268"/>
      <x:c r="U648" s="268"/>
      <x:c r="V648" s="268"/>
      <x:c r="W648" s="268"/>
      <x:c r="X648" s="268"/>
      <x:c r="Y648" s="268"/>
      <x:c r="Z648" s="268"/>
      <x:c r="AA648" s="268"/>
      <x:c r="AB648" s="268"/>
      <x:c r="AC648" s="268"/>
    </x:row>
    <x:row r="649">
      <x:c r="A649" s="268"/>
      <x:c r="B649" s="268"/>
      <x:c r="C649" s="268"/>
      <x:c r="D649" s="268"/>
      <x:c r="E649" s="268"/>
      <x:c r="F649" s="268"/>
      <x:c r="G649" s="268"/>
      <x:c r="H649" s="268"/>
      <x:c r="I649" s="268"/>
      <x:c r="J649" s="268"/>
      <x:c r="K649" s="268"/>
      <x:c r="L649" s="268"/>
      <x:c r="M649" s="268"/>
      <x:c r="N649" s="268"/>
      <x:c r="O649" s="268"/>
      <x:c r="P649" s="268"/>
      <x:c r="Q649" s="268"/>
      <x:c r="R649" s="268"/>
      <x:c r="S649" s="268"/>
      <x:c r="T649" s="268"/>
      <x:c r="U649" s="268"/>
      <x:c r="V649" s="268"/>
      <x:c r="W649" s="268"/>
      <x:c r="X649" s="268"/>
      <x:c r="Y649" s="268"/>
      <x:c r="Z649" s="268"/>
      <x:c r="AA649" s="268"/>
      <x:c r="AB649" s="268"/>
      <x:c r="AC649" s="268"/>
    </x:row>
    <x:row r="650">
      <x:c r="A650" s="268"/>
      <x:c r="B650" s="268"/>
      <x:c r="C650" s="268"/>
      <x:c r="D650" s="268"/>
      <x:c r="E650" s="268"/>
      <x:c r="F650" s="268"/>
      <x:c r="G650" s="268"/>
      <x:c r="H650" s="268"/>
      <x:c r="I650" s="268"/>
      <x:c r="J650" s="268"/>
      <x:c r="K650" s="268"/>
      <x:c r="L650" s="268"/>
      <x:c r="M650" s="268"/>
      <x:c r="N650" s="268"/>
      <x:c r="O650" s="268"/>
      <x:c r="P650" s="268"/>
      <x:c r="Q650" s="268"/>
      <x:c r="R650" s="268"/>
      <x:c r="S650" s="268"/>
      <x:c r="T650" s="268"/>
      <x:c r="U650" s="268"/>
      <x:c r="V650" s="268"/>
      <x:c r="W650" s="268"/>
      <x:c r="X650" s="268"/>
      <x:c r="Y650" s="268"/>
      <x:c r="Z650" s="268"/>
      <x:c r="AA650" s="268"/>
      <x:c r="AB650" s="268"/>
      <x:c r="AC650" s="268"/>
    </x:row>
    <x:row r="651">
      <x:c r="A651" s="268"/>
      <x:c r="B651" s="268"/>
      <x:c r="C651" s="268"/>
      <x:c r="D651" s="268"/>
      <x:c r="E651" s="268"/>
      <x:c r="F651" s="268"/>
      <x:c r="G651" s="268"/>
      <x:c r="H651" s="268"/>
      <x:c r="I651" s="268"/>
      <x:c r="J651" s="268"/>
      <x:c r="K651" s="268"/>
      <x:c r="L651" s="268"/>
      <x:c r="M651" s="268"/>
      <x:c r="N651" s="268"/>
      <x:c r="O651" s="268"/>
      <x:c r="P651" s="268"/>
      <x:c r="Q651" s="268"/>
      <x:c r="R651" s="268"/>
      <x:c r="S651" s="268"/>
      <x:c r="T651" s="268"/>
      <x:c r="U651" s="268"/>
      <x:c r="V651" s="268"/>
      <x:c r="W651" s="268"/>
      <x:c r="X651" s="268"/>
      <x:c r="Y651" s="268"/>
      <x:c r="Z651" s="268"/>
      <x:c r="AA651" s="268"/>
      <x:c r="AB651" s="268"/>
      <x:c r="AC651" s="268"/>
    </x:row>
    <x:row r="652">
      <x:c r="A652" s="268"/>
      <x:c r="B652" s="268"/>
      <x:c r="C652" s="268"/>
      <x:c r="D652" s="268"/>
      <x:c r="E652" s="268"/>
      <x:c r="F652" s="268"/>
      <x:c r="G652" s="268"/>
      <x:c r="H652" s="268"/>
      <x:c r="I652" s="268"/>
      <x:c r="J652" s="268"/>
      <x:c r="K652" s="268"/>
      <x:c r="L652" s="268"/>
      <x:c r="M652" s="268"/>
      <x:c r="N652" s="268"/>
      <x:c r="O652" s="268"/>
      <x:c r="P652" s="268"/>
      <x:c r="Q652" s="268"/>
      <x:c r="R652" s="268"/>
      <x:c r="S652" s="268"/>
      <x:c r="T652" s="268"/>
      <x:c r="U652" s="268"/>
      <x:c r="V652" s="268"/>
      <x:c r="W652" s="268"/>
      <x:c r="X652" s="268"/>
      <x:c r="Y652" s="268"/>
      <x:c r="Z652" s="268"/>
      <x:c r="AA652" s="268"/>
      <x:c r="AB652" s="268"/>
      <x:c r="AC652" s="268"/>
    </x:row>
    <x:row r="653">
      <x:c r="A653" s="268"/>
      <x:c r="B653" s="268"/>
      <x:c r="C653" s="268"/>
      <x:c r="D653" s="268"/>
      <x:c r="E653" s="268"/>
      <x:c r="F653" s="268"/>
      <x:c r="G653" s="268"/>
      <x:c r="H653" s="268"/>
      <x:c r="I653" s="268"/>
      <x:c r="J653" s="268"/>
      <x:c r="K653" s="268"/>
      <x:c r="L653" s="268"/>
      <x:c r="M653" s="268"/>
      <x:c r="N653" s="268"/>
      <x:c r="O653" s="268"/>
      <x:c r="P653" s="268"/>
      <x:c r="Q653" s="268"/>
      <x:c r="R653" s="268"/>
      <x:c r="S653" s="268"/>
      <x:c r="T653" s="268"/>
      <x:c r="U653" s="268"/>
      <x:c r="V653" s="268"/>
      <x:c r="W653" s="268"/>
      <x:c r="X653" s="268"/>
      <x:c r="Y653" s="268"/>
      <x:c r="Z653" s="268"/>
      <x:c r="AA653" s="268"/>
      <x:c r="AB653" s="268"/>
      <x:c r="AC653" s="268"/>
    </x:row>
    <x:row r="654">
      <x:c r="A654" s="268"/>
      <x:c r="B654" s="268"/>
      <x:c r="C654" s="268"/>
      <x:c r="D654" s="268"/>
      <x:c r="E654" s="268"/>
      <x:c r="F654" s="268"/>
      <x:c r="G654" s="268"/>
      <x:c r="H654" s="268"/>
      <x:c r="I654" s="268"/>
      <x:c r="J654" s="268"/>
      <x:c r="K654" s="268"/>
      <x:c r="L654" s="268"/>
      <x:c r="M654" s="268"/>
      <x:c r="N654" s="268"/>
      <x:c r="O654" s="268"/>
      <x:c r="P654" s="268"/>
      <x:c r="Q654" s="268"/>
      <x:c r="R654" s="268"/>
      <x:c r="S654" s="268"/>
      <x:c r="T654" s="268"/>
      <x:c r="U654" s="268"/>
      <x:c r="V654" s="268"/>
      <x:c r="W654" s="268"/>
      <x:c r="X654" s="268"/>
      <x:c r="Y654" s="268"/>
      <x:c r="Z654" s="268"/>
      <x:c r="AA654" s="268"/>
      <x:c r="AB654" s="268"/>
      <x:c r="AC654" s="268"/>
    </x:row>
    <x:row r="655">
      <x:c r="A655" s="268"/>
      <x:c r="B655" s="268"/>
      <x:c r="C655" s="268"/>
      <x:c r="D655" s="268"/>
      <x:c r="E655" s="268"/>
      <x:c r="F655" s="268"/>
      <x:c r="G655" s="268"/>
      <x:c r="H655" s="268"/>
      <x:c r="I655" s="268"/>
      <x:c r="J655" s="268"/>
      <x:c r="K655" s="268"/>
      <x:c r="L655" s="268"/>
      <x:c r="M655" s="268"/>
      <x:c r="N655" s="268"/>
      <x:c r="O655" s="268"/>
      <x:c r="P655" s="268"/>
      <x:c r="Q655" s="268"/>
      <x:c r="R655" s="268"/>
      <x:c r="S655" s="268"/>
      <x:c r="T655" s="268"/>
      <x:c r="U655" s="268"/>
      <x:c r="V655" s="268"/>
      <x:c r="W655" s="268"/>
      <x:c r="X655" s="268"/>
      <x:c r="Y655" s="268"/>
      <x:c r="Z655" s="268"/>
      <x:c r="AA655" s="268"/>
      <x:c r="AB655" s="268"/>
      <x:c r="AC655" s="268"/>
    </x:row>
    <x:row r="656">
      <x:c r="A656" s="268"/>
      <x:c r="B656" s="268"/>
      <x:c r="C656" s="268"/>
      <x:c r="D656" s="268"/>
      <x:c r="E656" s="268"/>
      <x:c r="F656" s="268"/>
      <x:c r="G656" s="268"/>
      <x:c r="H656" s="268"/>
      <x:c r="I656" s="268"/>
      <x:c r="J656" s="268"/>
      <x:c r="K656" s="268"/>
      <x:c r="L656" s="268"/>
      <x:c r="M656" s="268"/>
      <x:c r="N656" s="268"/>
      <x:c r="O656" s="268"/>
      <x:c r="P656" s="268"/>
      <x:c r="Q656" s="268"/>
      <x:c r="R656" s="268"/>
      <x:c r="S656" s="268"/>
      <x:c r="T656" s="268"/>
      <x:c r="U656" s="268"/>
      <x:c r="V656" s="268"/>
      <x:c r="W656" s="268"/>
      <x:c r="X656" s="268"/>
      <x:c r="Y656" s="268"/>
      <x:c r="Z656" s="268"/>
      <x:c r="AA656" s="268"/>
      <x:c r="AB656" s="268"/>
      <x:c r="AC656" s="268"/>
    </x:row>
    <x:row r="657">
      <x:c r="A657" s="268"/>
      <x:c r="B657" s="268"/>
      <x:c r="C657" s="268"/>
      <x:c r="D657" s="268"/>
      <x:c r="E657" s="268"/>
      <x:c r="F657" s="268"/>
      <x:c r="G657" s="268"/>
      <x:c r="H657" s="268"/>
      <x:c r="I657" s="268"/>
      <x:c r="J657" s="268"/>
      <x:c r="K657" s="268"/>
      <x:c r="L657" s="268"/>
      <x:c r="M657" s="268"/>
      <x:c r="N657" s="268"/>
      <x:c r="O657" s="268"/>
      <x:c r="P657" s="268"/>
      <x:c r="Q657" s="268"/>
      <x:c r="R657" s="268"/>
      <x:c r="S657" s="268"/>
      <x:c r="T657" s="268"/>
      <x:c r="U657" s="268"/>
      <x:c r="V657" s="268"/>
      <x:c r="W657" s="268"/>
      <x:c r="X657" s="268"/>
      <x:c r="Y657" s="268"/>
      <x:c r="Z657" s="268"/>
      <x:c r="AA657" s="268"/>
      <x:c r="AB657" s="268"/>
      <x:c r="AC657" s="268"/>
    </x:row>
    <x:row r="658">
      <x:c r="A658" s="268"/>
      <x:c r="B658" s="268"/>
      <x:c r="C658" s="268"/>
      <x:c r="D658" s="268"/>
      <x:c r="E658" s="268"/>
      <x:c r="F658" s="268"/>
      <x:c r="G658" s="268"/>
      <x:c r="H658" s="268"/>
      <x:c r="I658" s="268"/>
      <x:c r="J658" s="268"/>
      <x:c r="K658" s="268"/>
      <x:c r="L658" s="268"/>
      <x:c r="M658" s="268"/>
      <x:c r="N658" s="268"/>
      <x:c r="O658" s="268"/>
      <x:c r="P658" s="268"/>
      <x:c r="Q658" s="268"/>
      <x:c r="R658" s="268"/>
      <x:c r="S658" s="268"/>
      <x:c r="T658" s="268"/>
      <x:c r="U658" s="268"/>
      <x:c r="V658" s="268"/>
      <x:c r="W658" s="268"/>
      <x:c r="X658" s="268"/>
      <x:c r="Y658" s="268"/>
      <x:c r="Z658" s="268"/>
      <x:c r="AA658" s="268"/>
      <x:c r="AB658" s="268"/>
      <x:c r="AC658" s="268"/>
    </x:row>
    <x:row r="659">
      <x:c r="A659" s="268"/>
      <x:c r="B659" s="268"/>
      <x:c r="C659" s="268"/>
      <x:c r="D659" s="268"/>
      <x:c r="E659" s="268"/>
      <x:c r="F659" s="268"/>
      <x:c r="G659" s="268"/>
      <x:c r="H659" s="268"/>
      <x:c r="I659" s="268"/>
      <x:c r="J659" s="268"/>
      <x:c r="K659" s="268"/>
      <x:c r="L659" s="268"/>
      <x:c r="M659" s="268"/>
      <x:c r="N659" s="268"/>
      <x:c r="O659" s="268"/>
      <x:c r="P659" s="268"/>
      <x:c r="Q659" s="268"/>
      <x:c r="R659" s="268"/>
      <x:c r="S659" s="268"/>
      <x:c r="T659" s="268"/>
      <x:c r="U659" s="268"/>
      <x:c r="V659" s="268"/>
      <x:c r="W659" s="268"/>
      <x:c r="X659" s="268"/>
      <x:c r="Y659" s="268"/>
      <x:c r="Z659" s="268"/>
      <x:c r="AA659" s="268"/>
      <x:c r="AB659" s="268"/>
      <x:c r="AC659" s="268"/>
    </x:row>
    <x:row r="660">
      <x:c r="A660" s="268"/>
      <x:c r="B660" s="268"/>
      <x:c r="C660" s="268"/>
      <x:c r="D660" s="268"/>
      <x:c r="E660" s="268"/>
      <x:c r="F660" s="268"/>
      <x:c r="G660" s="268"/>
      <x:c r="H660" s="268"/>
      <x:c r="I660" s="268"/>
      <x:c r="J660" s="268"/>
      <x:c r="K660" s="268"/>
      <x:c r="L660" s="268"/>
      <x:c r="M660" s="268"/>
      <x:c r="N660" s="268"/>
      <x:c r="O660" s="268"/>
      <x:c r="P660" s="268"/>
      <x:c r="Q660" s="268"/>
      <x:c r="R660" s="268"/>
      <x:c r="S660" s="268"/>
      <x:c r="T660" s="268"/>
      <x:c r="U660" s="268"/>
      <x:c r="V660" s="268"/>
      <x:c r="W660" s="268"/>
      <x:c r="X660" s="268"/>
      <x:c r="Y660" s="268"/>
      <x:c r="Z660" s="268"/>
      <x:c r="AA660" s="268"/>
      <x:c r="AB660" s="268"/>
      <x:c r="AC660" s="268"/>
    </x:row>
    <x:row r="661">
      <x:c r="A661" s="268"/>
      <x:c r="B661" s="268"/>
      <x:c r="C661" s="268"/>
      <x:c r="D661" s="268"/>
      <x:c r="E661" s="268"/>
      <x:c r="F661" s="268"/>
      <x:c r="G661" s="268"/>
      <x:c r="H661" s="268"/>
      <x:c r="I661" s="268"/>
      <x:c r="J661" s="268"/>
      <x:c r="K661" s="268"/>
      <x:c r="L661" s="268"/>
      <x:c r="M661" s="268"/>
      <x:c r="N661" s="268"/>
      <x:c r="O661" s="268"/>
      <x:c r="P661" s="268"/>
      <x:c r="Q661" s="268"/>
      <x:c r="R661" s="268"/>
      <x:c r="S661" s="268"/>
      <x:c r="T661" s="268"/>
      <x:c r="U661" s="268"/>
      <x:c r="V661" s="268"/>
      <x:c r="W661" s="268"/>
      <x:c r="X661" s="268"/>
      <x:c r="Y661" s="268"/>
      <x:c r="Z661" s="268"/>
      <x:c r="AA661" s="268"/>
      <x:c r="AB661" s="268"/>
      <x:c r="AC661" s="268"/>
    </x:row>
    <x:row r="662">
      <x:c r="A662" s="268"/>
      <x:c r="B662" s="268"/>
      <x:c r="C662" s="268"/>
      <x:c r="D662" s="268"/>
      <x:c r="E662" s="268"/>
      <x:c r="F662" s="268"/>
      <x:c r="G662" s="268"/>
      <x:c r="H662" s="268"/>
      <x:c r="I662" s="268"/>
      <x:c r="J662" s="268"/>
      <x:c r="K662" s="268"/>
      <x:c r="L662" s="268"/>
      <x:c r="M662" s="268"/>
      <x:c r="N662" s="268"/>
      <x:c r="O662" s="268"/>
      <x:c r="P662" s="268"/>
      <x:c r="Q662" s="268"/>
      <x:c r="R662" s="268"/>
      <x:c r="S662" s="268"/>
      <x:c r="T662" s="268"/>
      <x:c r="U662" s="268"/>
      <x:c r="V662" s="268"/>
      <x:c r="W662" s="268"/>
      <x:c r="X662" s="268"/>
      <x:c r="Y662" s="268"/>
      <x:c r="Z662" s="268"/>
      <x:c r="AA662" s="268"/>
      <x:c r="AB662" s="268"/>
      <x:c r="AC662" s="268"/>
    </x:row>
    <x:row r="663">
      <x:c r="A663" s="268"/>
      <x:c r="B663" s="268"/>
      <x:c r="C663" s="268"/>
      <x:c r="D663" s="268"/>
      <x:c r="E663" s="268"/>
      <x:c r="F663" s="268"/>
      <x:c r="G663" s="268"/>
      <x:c r="H663" s="268"/>
      <x:c r="I663" s="268"/>
      <x:c r="J663" s="268"/>
      <x:c r="K663" s="268"/>
      <x:c r="L663" s="268"/>
      <x:c r="M663" s="268"/>
      <x:c r="N663" s="268"/>
      <x:c r="O663" s="268"/>
      <x:c r="P663" s="268"/>
      <x:c r="Q663" s="268"/>
      <x:c r="R663" s="268"/>
      <x:c r="S663" s="268"/>
      <x:c r="T663" s="268"/>
      <x:c r="U663" s="268"/>
      <x:c r="V663" s="268"/>
      <x:c r="W663" s="268"/>
      <x:c r="X663" s="268"/>
      <x:c r="Y663" s="268"/>
      <x:c r="Z663" s="268"/>
      <x:c r="AA663" s="268"/>
      <x:c r="AB663" s="268"/>
      <x:c r="AC663" s="268"/>
    </x:row>
    <x:row r="664">
      <x:c r="A664" s="268"/>
      <x:c r="B664" s="268"/>
      <x:c r="C664" s="268"/>
      <x:c r="D664" s="268"/>
      <x:c r="E664" s="268"/>
      <x:c r="F664" s="268"/>
      <x:c r="G664" s="268"/>
      <x:c r="H664" s="268"/>
      <x:c r="I664" s="268"/>
      <x:c r="J664" s="268"/>
      <x:c r="K664" s="268"/>
      <x:c r="L664" s="268"/>
      <x:c r="M664" s="268"/>
      <x:c r="N664" s="268"/>
      <x:c r="O664" s="268"/>
      <x:c r="P664" s="268"/>
      <x:c r="Q664" s="268"/>
      <x:c r="R664" s="268"/>
      <x:c r="S664" s="268"/>
      <x:c r="T664" s="268"/>
      <x:c r="U664" s="268"/>
      <x:c r="V664" s="268"/>
      <x:c r="W664" s="268"/>
      <x:c r="X664" s="268"/>
      <x:c r="Y664" s="268"/>
      <x:c r="Z664" s="268"/>
      <x:c r="AA664" s="268"/>
      <x:c r="AB664" s="268"/>
      <x:c r="AC664" s="268"/>
    </x:row>
    <x:row r="665">
      <x:c r="A665" s="268"/>
      <x:c r="B665" s="268"/>
      <x:c r="C665" s="268"/>
      <x:c r="D665" s="268"/>
      <x:c r="E665" s="268"/>
      <x:c r="F665" s="268"/>
      <x:c r="G665" s="268"/>
      <x:c r="H665" s="268"/>
      <x:c r="I665" s="268"/>
      <x:c r="J665" s="268"/>
      <x:c r="K665" s="268"/>
      <x:c r="L665" s="268"/>
      <x:c r="M665" s="268"/>
      <x:c r="N665" s="268"/>
      <x:c r="O665" s="268"/>
      <x:c r="P665" s="268"/>
      <x:c r="Q665" s="268"/>
      <x:c r="R665" s="268"/>
      <x:c r="S665" s="268"/>
      <x:c r="T665" s="268"/>
      <x:c r="U665" s="268"/>
      <x:c r="V665" s="268"/>
      <x:c r="W665" s="268"/>
      <x:c r="X665" s="268"/>
      <x:c r="Y665" s="268"/>
      <x:c r="Z665" s="268"/>
      <x:c r="AA665" s="268"/>
      <x:c r="AB665" s="268"/>
      <x:c r="AC665" s="268"/>
    </x:row>
    <x:row r="666">
      <x:c r="A666" s="268"/>
      <x:c r="B666" s="268"/>
      <x:c r="C666" s="268"/>
      <x:c r="D666" s="268"/>
      <x:c r="E666" s="268"/>
      <x:c r="F666" s="268"/>
      <x:c r="G666" s="268"/>
      <x:c r="H666" s="268"/>
      <x:c r="I666" s="268"/>
      <x:c r="J666" s="268"/>
      <x:c r="K666" s="268"/>
      <x:c r="L666" s="268"/>
      <x:c r="M666" s="268"/>
      <x:c r="N666" s="268"/>
      <x:c r="O666" s="268"/>
      <x:c r="P666" s="268"/>
      <x:c r="Q666" s="268"/>
      <x:c r="R666" s="268"/>
      <x:c r="S666" s="268"/>
      <x:c r="T666" s="268"/>
      <x:c r="U666" s="268"/>
      <x:c r="V666" s="268"/>
      <x:c r="W666" s="268"/>
      <x:c r="X666" s="268"/>
      <x:c r="Y666" s="268"/>
      <x:c r="Z666" s="268"/>
      <x:c r="AA666" s="268"/>
      <x:c r="AB666" s="268"/>
      <x:c r="AC666" s="268"/>
    </x:row>
    <x:row r="667">
      <x:c r="A667" s="268"/>
      <x:c r="B667" s="268"/>
      <x:c r="C667" s="268"/>
      <x:c r="D667" s="268"/>
      <x:c r="E667" s="268"/>
      <x:c r="F667" s="268"/>
      <x:c r="G667" s="268"/>
      <x:c r="H667" s="268"/>
      <x:c r="I667" s="268"/>
      <x:c r="J667" s="268"/>
      <x:c r="K667" s="268"/>
      <x:c r="L667" s="268"/>
      <x:c r="M667" s="268"/>
      <x:c r="N667" s="268"/>
      <x:c r="O667" s="268"/>
      <x:c r="P667" s="268"/>
      <x:c r="Q667" s="268"/>
      <x:c r="R667" s="268"/>
      <x:c r="S667" s="268"/>
      <x:c r="T667" s="268"/>
      <x:c r="U667" s="268"/>
      <x:c r="V667" s="268"/>
      <x:c r="W667" s="268"/>
      <x:c r="X667" s="268"/>
      <x:c r="Y667" s="268"/>
      <x:c r="Z667" s="268"/>
      <x:c r="AA667" s="268"/>
      <x:c r="AB667" s="268"/>
      <x:c r="AC667" s="268"/>
    </x:row>
    <x:row r="668">
      <x:c r="A668" s="268"/>
      <x:c r="B668" s="268"/>
      <x:c r="C668" s="268"/>
      <x:c r="D668" s="268"/>
      <x:c r="E668" s="268"/>
      <x:c r="F668" s="268"/>
      <x:c r="G668" s="268"/>
      <x:c r="H668" s="268"/>
      <x:c r="I668" s="268"/>
      <x:c r="J668" s="268"/>
      <x:c r="K668" s="268"/>
      <x:c r="L668" s="268"/>
      <x:c r="M668" s="268"/>
      <x:c r="N668" s="268"/>
      <x:c r="O668" s="268"/>
      <x:c r="P668" s="268"/>
      <x:c r="Q668" s="268"/>
      <x:c r="R668" s="268"/>
      <x:c r="S668" s="268"/>
      <x:c r="T668" s="268"/>
      <x:c r="U668" s="268"/>
      <x:c r="V668" s="268"/>
      <x:c r="W668" s="268"/>
      <x:c r="X668" s="268"/>
      <x:c r="Y668" s="268"/>
      <x:c r="Z668" s="268"/>
      <x:c r="AA668" s="268"/>
      <x:c r="AB668" s="268"/>
      <x:c r="AC668" s="268"/>
    </x:row>
    <x:row r="669">
      <x:c r="A669" s="268"/>
      <x:c r="B669" s="268"/>
      <x:c r="C669" s="268"/>
      <x:c r="D669" s="268"/>
      <x:c r="E669" s="268"/>
      <x:c r="F669" s="268"/>
      <x:c r="G669" s="268"/>
      <x:c r="H669" s="268"/>
      <x:c r="I669" s="268"/>
      <x:c r="J669" s="268"/>
      <x:c r="K669" s="268"/>
      <x:c r="L669" s="268"/>
      <x:c r="M669" s="268"/>
      <x:c r="N669" s="268"/>
      <x:c r="O669" s="268"/>
      <x:c r="P669" s="268"/>
      <x:c r="Q669" s="268"/>
      <x:c r="R669" s="268"/>
      <x:c r="S669" s="268"/>
      <x:c r="T669" s="268"/>
      <x:c r="U669" s="268"/>
      <x:c r="V669" s="268"/>
      <x:c r="W669" s="268"/>
      <x:c r="X669" s="268"/>
      <x:c r="Y669" s="268"/>
      <x:c r="Z669" s="268"/>
      <x:c r="AA669" s="268"/>
      <x:c r="AB669" s="268"/>
      <x:c r="AC669" s="268"/>
    </x:row>
    <x:row r="670">
      <x:c r="A670" s="268"/>
      <x:c r="B670" s="268"/>
      <x:c r="C670" s="268"/>
      <x:c r="D670" s="268"/>
      <x:c r="E670" s="268"/>
      <x:c r="F670" s="268"/>
      <x:c r="G670" s="268"/>
      <x:c r="H670" s="268"/>
      <x:c r="I670" s="268"/>
      <x:c r="J670" s="268"/>
      <x:c r="K670" s="268"/>
      <x:c r="L670" s="268"/>
      <x:c r="M670" s="268"/>
      <x:c r="N670" s="268"/>
      <x:c r="O670" s="268"/>
      <x:c r="P670" s="268"/>
      <x:c r="Q670" s="268"/>
      <x:c r="R670" s="268"/>
      <x:c r="S670" s="268"/>
      <x:c r="T670" s="268"/>
      <x:c r="U670" s="268"/>
      <x:c r="V670" s="268"/>
      <x:c r="W670" s="268"/>
      <x:c r="X670" s="268"/>
      <x:c r="Y670" s="268"/>
      <x:c r="Z670" s="268"/>
      <x:c r="AA670" s="268"/>
      <x:c r="AB670" s="268"/>
      <x:c r="AC670" s="268"/>
    </x:row>
    <x:row r="671">
      <x:c r="A671" s="268"/>
      <x:c r="B671" s="268"/>
      <x:c r="C671" s="268"/>
      <x:c r="D671" s="268"/>
      <x:c r="E671" s="268"/>
      <x:c r="F671" s="268"/>
      <x:c r="G671" s="268"/>
      <x:c r="H671" s="268"/>
      <x:c r="I671" s="268"/>
      <x:c r="J671" s="268"/>
      <x:c r="K671" s="268"/>
      <x:c r="L671" s="268"/>
      <x:c r="M671" s="268"/>
      <x:c r="N671" s="268"/>
      <x:c r="O671" s="268"/>
      <x:c r="P671" s="268"/>
      <x:c r="Q671" s="268"/>
      <x:c r="R671" s="268"/>
      <x:c r="S671" s="268"/>
      <x:c r="T671" s="268"/>
      <x:c r="U671" s="268"/>
      <x:c r="V671" s="268"/>
      <x:c r="W671" s="268"/>
      <x:c r="X671" s="268"/>
      <x:c r="Y671" s="268"/>
      <x:c r="Z671" s="268"/>
      <x:c r="AA671" s="268"/>
      <x:c r="AB671" s="268"/>
      <x:c r="AC671" s="268"/>
    </x:row>
    <x:row r="672">
      <x:c r="A672" s="268"/>
      <x:c r="B672" s="268"/>
      <x:c r="C672" s="268"/>
      <x:c r="D672" s="268"/>
      <x:c r="E672" s="268"/>
      <x:c r="F672" s="268"/>
      <x:c r="G672" s="268"/>
      <x:c r="H672" s="268"/>
      <x:c r="I672" s="268"/>
      <x:c r="J672" s="268"/>
      <x:c r="K672" s="268"/>
      <x:c r="L672" s="268"/>
      <x:c r="M672" s="268"/>
      <x:c r="N672" s="268"/>
      <x:c r="O672" s="268"/>
      <x:c r="P672" s="268"/>
      <x:c r="Q672" s="268"/>
      <x:c r="R672" s="268"/>
      <x:c r="S672" s="268"/>
      <x:c r="T672" s="268"/>
      <x:c r="U672" s="268"/>
      <x:c r="V672" s="268"/>
      <x:c r="W672" s="268"/>
      <x:c r="X672" s="268"/>
      <x:c r="Y672" s="268"/>
      <x:c r="Z672" s="268"/>
      <x:c r="AA672" s="268"/>
      <x:c r="AB672" s="268"/>
      <x:c r="AC672" s="268"/>
    </x:row>
    <x:row r="673">
      <x:c r="A673" s="268"/>
      <x:c r="B673" s="268"/>
      <x:c r="C673" s="268"/>
      <x:c r="D673" s="268"/>
      <x:c r="E673" s="268"/>
      <x:c r="F673" s="268"/>
      <x:c r="G673" s="268"/>
      <x:c r="H673" s="268"/>
      <x:c r="I673" s="268"/>
      <x:c r="J673" s="268"/>
      <x:c r="K673" s="268"/>
      <x:c r="L673" s="268"/>
      <x:c r="M673" s="268"/>
      <x:c r="N673" s="268"/>
      <x:c r="O673" s="268"/>
      <x:c r="P673" s="268"/>
      <x:c r="Q673" s="268"/>
      <x:c r="R673" s="268"/>
      <x:c r="S673" s="268"/>
      <x:c r="T673" s="268"/>
      <x:c r="U673" s="268"/>
      <x:c r="V673" s="268"/>
      <x:c r="W673" s="268"/>
      <x:c r="X673" s="268"/>
      <x:c r="Y673" s="268"/>
      <x:c r="Z673" s="268"/>
      <x:c r="AA673" s="268"/>
      <x:c r="AB673" s="268"/>
      <x:c r="AC673" s="268"/>
    </x:row>
    <x:row r="674">
      <x:c r="A674" s="268"/>
      <x:c r="B674" s="268"/>
      <x:c r="C674" s="268"/>
      <x:c r="D674" s="268"/>
      <x:c r="E674" s="268"/>
      <x:c r="F674" s="268"/>
      <x:c r="G674" s="268"/>
      <x:c r="H674" s="268"/>
      <x:c r="I674" s="268"/>
      <x:c r="J674" s="268"/>
      <x:c r="K674" s="268"/>
      <x:c r="L674" s="268"/>
      <x:c r="M674" s="268"/>
      <x:c r="N674" s="268"/>
      <x:c r="O674" s="268"/>
      <x:c r="P674" s="268"/>
      <x:c r="Q674" s="268"/>
      <x:c r="R674" s="268"/>
      <x:c r="S674" s="268"/>
      <x:c r="T674" s="268"/>
      <x:c r="U674" s="268"/>
      <x:c r="V674" s="268"/>
      <x:c r="W674" s="268"/>
      <x:c r="X674" s="268"/>
      <x:c r="Y674" s="268"/>
      <x:c r="Z674" s="268"/>
      <x:c r="AA674" s="268"/>
      <x:c r="AB674" s="268"/>
      <x:c r="AC674" s="268"/>
    </x:row>
    <x:row r="675">
      <x:c r="A675" s="268"/>
      <x:c r="B675" s="268"/>
      <x:c r="C675" s="268"/>
      <x:c r="D675" s="268"/>
      <x:c r="E675" s="268"/>
      <x:c r="F675" s="268"/>
      <x:c r="G675" s="268"/>
      <x:c r="H675" s="268"/>
      <x:c r="I675" s="268"/>
      <x:c r="J675" s="268"/>
      <x:c r="K675" s="268"/>
      <x:c r="L675" s="268"/>
      <x:c r="M675" s="268"/>
      <x:c r="N675" s="268"/>
      <x:c r="O675" s="268"/>
      <x:c r="P675" s="268"/>
      <x:c r="Q675" s="268"/>
      <x:c r="R675" s="268"/>
      <x:c r="S675" s="268"/>
      <x:c r="T675" s="268"/>
      <x:c r="U675" s="268"/>
      <x:c r="V675" s="268"/>
      <x:c r="W675" s="268"/>
      <x:c r="X675" s="268"/>
      <x:c r="Y675" s="268"/>
      <x:c r="Z675" s="268"/>
      <x:c r="AA675" s="268"/>
      <x:c r="AB675" s="268"/>
      <x:c r="AC675" s="268"/>
    </x:row>
    <x:row r="676">
      <x:c r="A676" s="268"/>
      <x:c r="B676" s="268"/>
      <x:c r="C676" s="268"/>
      <x:c r="D676" s="268"/>
      <x:c r="E676" s="268"/>
      <x:c r="F676" s="268"/>
      <x:c r="G676" s="268"/>
      <x:c r="H676" s="268"/>
      <x:c r="I676" s="268"/>
      <x:c r="J676" s="268"/>
      <x:c r="K676" s="268"/>
      <x:c r="L676" s="268"/>
      <x:c r="M676" s="268"/>
      <x:c r="N676" s="268"/>
      <x:c r="O676" s="268"/>
      <x:c r="P676" s="268"/>
      <x:c r="Q676" s="268"/>
      <x:c r="R676" s="268"/>
      <x:c r="S676" s="268"/>
      <x:c r="T676" s="268"/>
      <x:c r="U676" s="268"/>
      <x:c r="V676" s="268"/>
      <x:c r="W676" s="268"/>
      <x:c r="X676" s="268"/>
      <x:c r="Y676" s="268"/>
      <x:c r="Z676" s="268"/>
      <x:c r="AA676" s="268"/>
      <x:c r="AB676" s="268"/>
      <x:c r="AC676" s="268"/>
    </x:row>
    <x:row r="677">
      <x:c r="A677" s="268"/>
      <x:c r="B677" s="268"/>
      <x:c r="C677" s="268"/>
      <x:c r="D677" s="268"/>
      <x:c r="E677" s="268"/>
      <x:c r="F677" s="268"/>
      <x:c r="G677" s="268"/>
      <x:c r="H677" s="268"/>
      <x:c r="I677" s="268"/>
      <x:c r="J677" s="268"/>
      <x:c r="K677" s="268"/>
      <x:c r="L677" s="268"/>
      <x:c r="M677" s="268"/>
      <x:c r="N677" s="268"/>
      <x:c r="O677" s="268"/>
      <x:c r="P677" s="268"/>
      <x:c r="Q677" s="268"/>
      <x:c r="R677" s="268"/>
      <x:c r="S677" s="268"/>
      <x:c r="T677" s="268"/>
      <x:c r="U677" s="268"/>
      <x:c r="V677" s="268"/>
      <x:c r="W677" s="268"/>
      <x:c r="X677" s="268"/>
      <x:c r="Y677" s="268"/>
      <x:c r="Z677" s="268"/>
      <x:c r="AA677" s="268"/>
      <x:c r="AB677" s="268"/>
      <x:c r="AC677" s="268"/>
    </x:row>
    <x:row r="678">
      <x:c r="A678" s="268"/>
      <x:c r="B678" s="268"/>
      <x:c r="C678" s="268"/>
      <x:c r="D678" s="268"/>
      <x:c r="E678" s="268"/>
      <x:c r="F678" s="268"/>
      <x:c r="G678" s="268"/>
      <x:c r="H678" s="268"/>
      <x:c r="I678" s="268"/>
      <x:c r="J678" s="268"/>
      <x:c r="K678" s="268"/>
      <x:c r="L678" s="268"/>
      <x:c r="M678" s="268"/>
      <x:c r="N678" s="268"/>
      <x:c r="O678" s="268"/>
      <x:c r="P678" s="268"/>
      <x:c r="Q678" s="268"/>
      <x:c r="R678" s="268"/>
      <x:c r="S678" s="268"/>
      <x:c r="T678" s="268"/>
      <x:c r="U678" s="268"/>
      <x:c r="V678" s="268"/>
      <x:c r="W678" s="268"/>
      <x:c r="X678" s="268"/>
      <x:c r="Y678" s="268"/>
      <x:c r="Z678" s="268"/>
      <x:c r="AA678" s="268"/>
      <x:c r="AB678" s="268"/>
      <x:c r="AC678" s="268"/>
    </x:row>
    <x:row r="679">
      <x:c r="A679" s="268"/>
      <x:c r="B679" s="268"/>
      <x:c r="C679" s="268"/>
      <x:c r="D679" s="268"/>
      <x:c r="E679" s="268"/>
      <x:c r="F679" s="268"/>
      <x:c r="G679" s="268"/>
      <x:c r="H679" s="268"/>
      <x:c r="I679" s="268"/>
      <x:c r="J679" s="268"/>
      <x:c r="K679" s="268"/>
      <x:c r="L679" s="268"/>
      <x:c r="M679" s="268"/>
      <x:c r="N679" s="268"/>
      <x:c r="O679" s="268"/>
      <x:c r="P679" s="268"/>
      <x:c r="Q679" s="268"/>
      <x:c r="R679" s="268"/>
      <x:c r="S679" s="268"/>
      <x:c r="T679" s="268"/>
      <x:c r="U679" s="268"/>
      <x:c r="V679" s="268"/>
      <x:c r="W679" s="268"/>
      <x:c r="X679" s="268"/>
      <x:c r="Y679" s="268"/>
      <x:c r="Z679" s="268"/>
      <x:c r="AA679" s="268"/>
      <x:c r="AB679" s="268"/>
      <x:c r="AC679" s="268"/>
    </x:row>
    <x:row r="680">
      <x:c r="A680" s="268"/>
      <x:c r="B680" s="268"/>
      <x:c r="C680" s="268"/>
      <x:c r="D680" s="268"/>
      <x:c r="E680" s="268"/>
      <x:c r="F680" s="268"/>
      <x:c r="G680" s="268"/>
      <x:c r="H680" s="268"/>
      <x:c r="I680" s="268"/>
      <x:c r="J680" s="268"/>
      <x:c r="K680" s="268"/>
      <x:c r="L680" s="268"/>
      <x:c r="M680" s="268"/>
      <x:c r="N680" s="268"/>
      <x:c r="O680" s="268"/>
      <x:c r="P680" s="268"/>
      <x:c r="Q680" s="268"/>
      <x:c r="R680" s="268"/>
      <x:c r="S680" s="268"/>
      <x:c r="T680" s="268"/>
      <x:c r="U680" s="268"/>
      <x:c r="V680" s="268"/>
      <x:c r="W680" s="268"/>
      <x:c r="X680" s="268"/>
      <x:c r="Y680" s="268"/>
      <x:c r="Z680" s="268"/>
      <x:c r="AA680" s="268"/>
      <x:c r="AB680" s="268"/>
      <x:c r="AC680" s="268"/>
    </x:row>
    <x:row r="681">
      <x:c r="A681" s="268"/>
      <x:c r="B681" s="268"/>
      <x:c r="C681" s="268"/>
      <x:c r="D681" s="268"/>
      <x:c r="E681" s="268"/>
      <x:c r="F681" s="268"/>
      <x:c r="G681" s="268"/>
      <x:c r="H681" s="268"/>
      <x:c r="I681" s="268"/>
      <x:c r="J681" s="268"/>
      <x:c r="K681" s="268"/>
      <x:c r="L681" s="268"/>
      <x:c r="M681" s="268"/>
      <x:c r="N681" s="268"/>
      <x:c r="O681" s="268"/>
      <x:c r="P681" s="268"/>
      <x:c r="Q681" s="268"/>
      <x:c r="R681" s="268"/>
      <x:c r="S681" s="268"/>
      <x:c r="T681" s="268"/>
      <x:c r="U681" s="268"/>
      <x:c r="V681" s="268"/>
      <x:c r="W681" s="268"/>
      <x:c r="X681" s="268"/>
      <x:c r="Y681" s="268"/>
      <x:c r="Z681" s="268"/>
      <x:c r="AA681" s="268"/>
      <x:c r="AB681" s="268"/>
      <x:c r="AC681" s="268"/>
    </x:row>
    <x:row r="682">
      <x:c r="A682" s="268"/>
      <x:c r="B682" s="268"/>
      <x:c r="C682" s="268"/>
      <x:c r="D682" s="268"/>
      <x:c r="E682" s="268"/>
      <x:c r="F682" s="268"/>
      <x:c r="G682" s="268"/>
      <x:c r="H682" s="268"/>
      <x:c r="I682" s="268"/>
      <x:c r="J682" s="268"/>
      <x:c r="K682" s="268"/>
      <x:c r="L682" s="268"/>
      <x:c r="M682" s="268"/>
      <x:c r="N682" s="268"/>
      <x:c r="O682" s="268"/>
      <x:c r="P682" s="268"/>
      <x:c r="Q682" s="268"/>
      <x:c r="R682" s="268"/>
      <x:c r="S682" s="268"/>
      <x:c r="T682" s="268"/>
      <x:c r="U682" s="268"/>
      <x:c r="V682" s="268"/>
      <x:c r="W682" s="268"/>
      <x:c r="X682" s="268"/>
      <x:c r="Y682" s="268"/>
      <x:c r="Z682" s="268"/>
      <x:c r="AA682" s="268"/>
      <x:c r="AB682" s="268"/>
      <x:c r="AC682" s="268"/>
    </x:row>
    <x:row r="683">
      <x:c r="A683" s="268"/>
      <x:c r="B683" s="268"/>
      <x:c r="C683" s="268"/>
      <x:c r="D683" s="268"/>
      <x:c r="E683" s="268"/>
      <x:c r="F683" s="268"/>
      <x:c r="G683" s="268"/>
      <x:c r="H683" s="268"/>
      <x:c r="I683" s="268"/>
      <x:c r="J683" s="268"/>
      <x:c r="K683" s="268"/>
      <x:c r="L683" s="268"/>
      <x:c r="M683" s="268"/>
      <x:c r="N683" s="268"/>
      <x:c r="O683" s="268"/>
      <x:c r="P683" s="268"/>
      <x:c r="Q683" s="268"/>
      <x:c r="R683" s="268"/>
      <x:c r="S683" s="268"/>
      <x:c r="T683" s="268"/>
      <x:c r="U683" s="268"/>
      <x:c r="V683" s="268"/>
      <x:c r="W683" s="268"/>
      <x:c r="X683" s="268"/>
      <x:c r="Y683" s="268"/>
      <x:c r="Z683" s="268"/>
      <x:c r="AA683" s="268"/>
      <x:c r="AB683" s="268"/>
      <x:c r="AC683" s="268"/>
    </x:row>
    <x:row r="684">
      <x:c r="A684" s="268"/>
      <x:c r="B684" s="268"/>
      <x:c r="C684" s="268"/>
      <x:c r="D684" s="268"/>
      <x:c r="E684" s="268"/>
      <x:c r="F684" s="268"/>
      <x:c r="G684" s="268"/>
      <x:c r="H684" s="268"/>
      <x:c r="I684" s="268"/>
      <x:c r="J684" s="268"/>
      <x:c r="K684" s="268"/>
      <x:c r="L684" s="268"/>
      <x:c r="M684" s="268"/>
      <x:c r="N684" s="268"/>
      <x:c r="O684" s="268"/>
      <x:c r="P684" s="268"/>
      <x:c r="Q684" s="268"/>
      <x:c r="R684" s="268"/>
      <x:c r="S684" s="268"/>
      <x:c r="T684" s="268"/>
      <x:c r="U684" s="268"/>
      <x:c r="V684" s="268"/>
      <x:c r="W684" s="268"/>
      <x:c r="X684" s="268"/>
      <x:c r="Y684" s="268"/>
      <x:c r="Z684" s="268"/>
      <x:c r="AA684" s="268"/>
      <x:c r="AB684" s="268"/>
      <x:c r="AC684" s="268"/>
    </x:row>
    <x:row r="685">
      <x:c r="A685" s="268"/>
      <x:c r="B685" s="268"/>
      <x:c r="C685" s="268"/>
      <x:c r="D685" s="268"/>
      <x:c r="E685" s="268"/>
      <x:c r="F685" s="268"/>
      <x:c r="G685" s="268"/>
      <x:c r="H685" s="268"/>
      <x:c r="I685" s="268"/>
      <x:c r="J685" s="268"/>
      <x:c r="K685" s="268"/>
      <x:c r="L685" s="268"/>
      <x:c r="M685" s="268"/>
      <x:c r="N685" s="268"/>
      <x:c r="O685" s="268"/>
      <x:c r="P685" s="268"/>
      <x:c r="Q685" s="268"/>
      <x:c r="R685" s="268"/>
      <x:c r="S685" s="268"/>
      <x:c r="T685" s="268"/>
      <x:c r="U685" s="268"/>
      <x:c r="V685" s="268"/>
      <x:c r="W685" s="268"/>
      <x:c r="X685" s="268"/>
      <x:c r="Y685" s="268"/>
      <x:c r="Z685" s="268"/>
      <x:c r="AA685" s="268"/>
      <x:c r="AB685" s="268"/>
      <x:c r="AC685" s="268"/>
    </x:row>
    <x:row r="686">
      <x:c r="A686" s="268"/>
      <x:c r="B686" s="268"/>
      <x:c r="C686" s="268"/>
      <x:c r="D686" s="268"/>
      <x:c r="E686" s="268"/>
      <x:c r="F686" s="268"/>
      <x:c r="G686" s="268"/>
      <x:c r="H686" s="268"/>
      <x:c r="I686" s="268"/>
      <x:c r="J686" s="268"/>
      <x:c r="K686" s="268"/>
      <x:c r="L686" s="268"/>
      <x:c r="M686" s="268"/>
      <x:c r="N686" s="268"/>
      <x:c r="O686" s="268"/>
      <x:c r="P686" s="268"/>
      <x:c r="Q686" s="268"/>
      <x:c r="R686" s="268"/>
      <x:c r="S686" s="268"/>
      <x:c r="T686" s="268"/>
      <x:c r="U686" s="268"/>
      <x:c r="V686" s="268"/>
      <x:c r="W686" s="268"/>
      <x:c r="X686" s="268"/>
      <x:c r="Y686" s="268"/>
      <x:c r="Z686" s="268"/>
      <x:c r="AA686" s="268"/>
      <x:c r="AB686" s="268"/>
      <x:c r="AC686" s="268"/>
    </x:row>
    <x:row r="687">
      <x:c r="A687" s="268"/>
      <x:c r="B687" s="268"/>
      <x:c r="C687" s="268"/>
      <x:c r="D687" s="268"/>
      <x:c r="E687" s="268"/>
      <x:c r="F687" s="268"/>
      <x:c r="G687" s="268"/>
      <x:c r="H687" s="268"/>
      <x:c r="I687" s="268"/>
      <x:c r="J687" s="268"/>
      <x:c r="K687" s="268"/>
      <x:c r="L687" s="268"/>
      <x:c r="M687" s="268"/>
      <x:c r="N687" s="268"/>
      <x:c r="O687" s="268"/>
      <x:c r="P687" s="268"/>
      <x:c r="Q687" s="268"/>
      <x:c r="R687" s="268"/>
      <x:c r="S687" s="268"/>
      <x:c r="T687" s="268"/>
      <x:c r="U687" s="268"/>
      <x:c r="V687" s="268"/>
      <x:c r="W687" s="268"/>
      <x:c r="X687" s="268"/>
      <x:c r="Y687" s="268"/>
      <x:c r="Z687" s="268"/>
      <x:c r="AA687" s="268"/>
      <x:c r="AB687" s="268"/>
      <x:c r="AC687" s="268"/>
    </x:row>
    <x:row r="688">
      <x:c r="A688" s="268"/>
      <x:c r="B688" s="268"/>
      <x:c r="C688" s="268"/>
      <x:c r="D688" s="268"/>
      <x:c r="E688" s="268"/>
      <x:c r="F688" s="268"/>
      <x:c r="G688" s="268"/>
      <x:c r="H688" s="268"/>
      <x:c r="I688" s="268"/>
      <x:c r="J688" s="268"/>
      <x:c r="K688" s="268"/>
      <x:c r="L688" s="268"/>
      <x:c r="M688" s="268"/>
      <x:c r="N688" s="268"/>
      <x:c r="O688" s="268"/>
      <x:c r="P688" s="268"/>
      <x:c r="Q688" s="268"/>
      <x:c r="R688" s="268"/>
      <x:c r="S688" s="268"/>
      <x:c r="T688" s="268"/>
      <x:c r="U688" s="268"/>
      <x:c r="V688" s="268"/>
      <x:c r="W688" s="268"/>
      <x:c r="X688" s="268"/>
      <x:c r="Y688" s="268"/>
      <x:c r="Z688" s="268"/>
      <x:c r="AA688" s="268"/>
      <x:c r="AB688" s="268"/>
      <x:c r="AC688" s="268"/>
    </x:row>
    <x:row r="689">
      <x:c r="A689" s="268"/>
      <x:c r="B689" s="268"/>
      <x:c r="C689" s="268"/>
      <x:c r="D689" s="268"/>
      <x:c r="E689" s="268"/>
      <x:c r="F689" s="268"/>
      <x:c r="G689" s="268"/>
      <x:c r="H689" s="268"/>
      <x:c r="I689" s="268"/>
      <x:c r="J689" s="268"/>
      <x:c r="K689" s="268"/>
      <x:c r="L689" s="268"/>
      <x:c r="M689" s="268"/>
      <x:c r="N689" s="268"/>
      <x:c r="O689" s="268"/>
      <x:c r="P689" s="268"/>
      <x:c r="Q689" s="268"/>
      <x:c r="R689" s="268"/>
      <x:c r="S689" s="268"/>
      <x:c r="T689" s="268"/>
      <x:c r="U689" s="268"/>
      <x:c r="V689" s="268"/>
      <x:c r="W689" s="268"/>
      <x:c r="X689" s="268"/>
      <x:c r="Y689" s="268"/>
      <x:c r="Z689" s="268"/>
      <x:c r="AA689" s="268"/>
      <x:c r="AB689" s="268"/>
      <x:c r="AC689" s="268"/>
    </x:row>
    <x:row r="690">
      <x:c r="A690" s="268"/>
      <x:c r="B690" s="268"/>
      <x:c r="C690" s="268"/>
      <x:c r="D690" s="268"/>
      <x:c r="E690" s="268"/>
      <x:c r="F690" s="268"/>
      <x:c r="G690" s="268"/>
      <x:c r="H690" s="268"/>
      <x:c r="I690" s="268"/>
      <x:c r="J690" s="268"/>
      <x:c r="K690" s="268"/>
      <x:c r="L690" s="268"/>
      <x:c r="M690" s="268"/>
      <x:c r="N690" s="268"/>
      <x:c r="O690" s="268"/>
      <x:c r="P690" s="268"/>
      <x:c r="Q690" s="268"/>
      <x:c r="R690" s="268"/>
      <x:c r="S690" s="268"/>
      <x:c r="T690" s="268"/>
      <x:c r="U690" s="268"/>
      <x:c r="V690" s="268"/>
      <x:c r="W690" s="268"/>
      <x:c r="X690" s="268"/>
      <x:c r="Y690" s="268"/>
      <x:c r="Z690" s="268"/>
      <x:c r="AA690" s="268"/>
      <x:c r="AB690" s="268"/>
      <x:c r="AC690" s="268"/>
    </x:row>
    <x:row r="691">
      <x:c r="A691" s="268"/>
      <x:c r="B691" s="268"/>
      <x:c r="C691" s="268"/>
      <x:c r="D691" s="268"/>
      <x:c r="E691" s="268"/>
      <x:c r="F691" s="268"/>
      <x:c r="G691" s="268"/>
      <x:c r="H691" s="268"/>
      <x:c r="I691" s="268"/>
      <x:c r="J691" s="268"/>
      <x:c r="K691" s="268"/>
      <x:c r="L691" s="268"/>
      <x:c r="M691" s="268"/>
      <x:c r="N691" s="268"/>
      <x:c r="O691" s="268"/>
      <x:c r="P691" s="268"/>
      <x:c r="Q691" s="268"/>
      <x:c r="R691" s="268"/>
      <x:c r="S691" s="268"/>
      <x:c r="T691" s="268"/>
      <x:c r="U691" s="268"/>
      <x:c r="V691" s="268"/>
      <x:c r="W691" s="268"/>
      <x:c r="X691" s="268"/>
      <x:c r="Y691" s="268"/>
      <x:c r="Z691" s="268"/>
      <x:c r="AA691" s="268"/>
      <x:c r="AB691" s="268"/>
      <x:c r="AC691" s="268"/>
    </x:row>
    <x:row r="692">
      <x:c r="A692" s="268"/>
      <x:c r="B692" s="268"/>
      <x:c r="C692" s="268"/>
      <x:c r="D692" s="268"/>
      <x:c r="E692" s="268"/>
      <x:c r="F692" s="268"/>
      <x:c r="G692" s="268"/>
      <x:c r="H692" s="268"/>
      <x:c r="I692" s="268"/>
      <x:c r="J692" s="268"/>
      <x:c r="K692" s="268"/>
      <x:c r="L692" s="268"/>
      <x:c r="M692" s="268"/>
      <x:c r="N692" s="268"/>
      <x:c r="O692" s="268"/>
      <x:c r="P692" s="268"/>
      <x:c r="Q692" s="268"/>
      <x:c r="R692" s="268"/>
      <x:c r="S692" s="268"/>
      <x:c r="T692" s="268"/>
      <x:c r="U692" s="268"/>
      <x:c r="V692" s="268"/>
      <x:c r="W692" s="268"/>
      <x:c r="X692" s="268"/>
      <x:c r="Y692" s="268"/>
      <x:c r="Z692" s="268"/>
      <x:c r="AA692" s="268"/>
      <x:c r="AB692" s="268"/>
      <x:c r="AC692" s="268"/>
    </x:row>
    <x:row r="693">
      <x:c r="A693" s="268"/>
      <x:c r="B693" s="268"/>
      <x:c r="C693" s="268"/>
      <x:c r="D693" s="268"/>
      <x:c r="E693" s="268"/>
      <x:c r="F693" s="268"/>
      <x:c r="G693" s="268"/>
      <x:c r="H693" s="268"/>
      <x:c r="I693" s="268"/>
      <x:c r="J693" s="268"/>
      <x:c r="K693" s="268"/>
      <x:c r="L693" s="268"/>
      <x:c r="M693" s="268"/>
      <x:c r="N693" s="268"/>
      <x:c r="O693" s="268"/>
      <x:c r="P693" s="268"/>
      <x:c r="Q693" s="268"/>
      <x:c r="R693" s="268"/>
      <x:c r="S693" s="268"/>
      <x:c r="T693" s="268"/>
      <x:c r="U693" s="268"/>
      <x:c r="V693" s="268"/>
      <x:c r="W693" s="268"/>
      <x:c r="X693" s="268"/>
      <x:c r="Y693" s="268"/>
      <x:c r="Z693" s="268"/>
      <x:c r="AA693" s="268"/>
      <x:c r="AB693" s="268"/>
      <x:c r="AC693" s="268"/>
    </x:row>
    <x:row r="694">
      <x:c r="A694" s="268"/>
      <x:c r="B694" s="268"/>
      <x:c r="C694" s="268"/>
      <x:c r="D694" s="268"/>
      <x:c r="E694" s="268"/>
      <x:c r="F694" s="268"/>
      <x:c r="G694" s="268"/>
      <x:c r="H694" s="268"/>
      <x:c r="I694" s="268"/>
      <x:c r="J694" s="268"/>
      <x:c r="K694" s="268"/>
      <x:c r="L694" s="268"/>
      <x:c r="M694" s="268"/>
      <x:c r="N694" s="268"/>
      <x:c r="O694" s="268"/>
      <x:c r="P694" s="268"/>
      <x:c r="Q694" s="268"/>
      <x:c r="R694" s="268"/>
      <x:c r="S694" s="268"/>
      <x:c r="T694" s="268"/>
      <x:c r="U694" s="268"/>
      <x:c r="V694" s="268"/>
      <x:c r="W694" s="268"/>
      <x:c r="X694" s="268"/>
      <x:c r="Y694" s="268"/>
      <x:c r="Z694" s="268"/>
      <x:c r="AA694" s="268"/>
      <x:c r="AB694" s="268"/>
      <x:c r="AC694" s="268"/>
    </x:row>
    <x:row r="695">
      <x:c r="A695" s="268"/>
      <x:c r="B695" s="268"/>
      <x:c r="C695" s="268"/>
      <x:c r="D695" s="268"/>
      <x:c r="E695" s="268"/>
      <x:c r="F695" s="268"/>
      <x:c r="G695" s="268"/>
      <x:c r="H695" s="268"/>
      <x:c r="I695" s="268"/>
      <x:c r="J695" s="268"/>
      <x:c r="K695" s="268"/>
      <x:c r="L695" s="268"/>
      <x:c r="M695" s="268"/>
      <x:c r="N695" s="268"/>
      <x:c r="O695" s="268"/>
      <x:c r="P695" s="268"/>
      <x:c r="Q695" s="268"/>
      <x:c r="R695" s="268"/>
      <x:c r="S695" s="268"/>
      <x:c r="T695" s="268"/>
      <x:c r="U695" s="268"/>
      <x:c r="V695" s="268"/>
      <x:c r="W695" s="268"/>
      <x:c r="X695" s="268"/>
      <x:c r="Y695" s="268"/>
      <x:c r="Z695" s="268"/>
      <x:c r="AA695" s="268"/>
      <x:c r="AB695" s="268"/>
      <x:c r="AC695" s="268"/>
    </x:row>
    <x:row r="696">
      <x:c r="A696" s="268"/>
      <x:c r="B696" s="268"/>
      <x:c r="C696" s="268"/>
      <x:c r="D696" s="268"/>
      <x:c r="E696" s="268"/>
      <x:c r="F696" s="268"/>
      <x:c r="G696" s="268"/>
      <x:c r="H696" s="268"/>
      <x:c r="I696" s="268"/>
      <x:c r="J696" s="268"/>
      <x:c r="K696" s="268"/>
      <x:c r="L696" s="268"/>
      <x:c r="M696" s="268"/>
      <x:c r="N696" s="268"/>
      <x:c r="O696" s="268"/>
      <x:c r="P696" s="268"/>
      <x:c r="Q696" s="268"/>
      <x:c r="R696" s="268"/>
      <x:c r="S696" s="268"/>
      <x:c r="T696" s="268"/>
      <x:c r="U696" s="268"/>
      <x:c r="V696" s="268"/>
      <x:c r="W696" s="268"/>
      <x:c r="X696" s="268"/>
      <x:c r="Y696" s="268"/>
      <x:c r="Z696" s="268"/>
      <x:c r="AA696" s="268"/>
      <x:c r="AB696" s="268"/>
      <x:c r="AC696" s="268"/>
    </x:row>
    <x:row r="697">
      <x:c r="A697" s="268"/>
      <x:c r="B697" s="268"/>
      <x:c r="C697" s="268"/>
      <x:c r="D697" s="268"/>
      <x:c r="E697" s="268"/>
      <x:c r="F697" s="268"/>
      <x:c r="G697" s="268"/>
      <x:c r="H697" s="268"/>
      <x:c r="I697" s="268"/>
      <x:c r="J697" s="268"/>
      <x:c r="K697" s="268"/>
      <x:c r="L697" s="268"/>
      <x:c r="M697" s="268"/>
      <x:c r="N697" s="268"/>
      <x:c r="O697" s="268"/>
      <x:c r="P697" s="268"/>
      <x:c r="Q697" s="268"/>
      <x:c r="R697" s="268"/>
      <x:c r="S697" s="268"/>
      <x:c r="T697" s="268"/>
      <x:c r="U697" s="268"/>
      <x:c r="V697" s="268"/>
      <x:c r="W697" s="268"/>
      <x:c r="X697" s="268"/>
      <x:c r="Y697" s="268"/>
      <x:c r="Z697" s="268"/>
      <x:c r="AA697" s="268"/>
      <x:c r="AB697" s="268"/>
      <x:c r="AC697" s="268"/>
    </x:row>
    <x:row r="698">
      <x:c r="A698" s="268"/>
      <x:c r="B698" s="268"/>
      <x:c r="C698" s="268"/>
      <x:c r="D698" s="268"/>
      <x:c r="E698" s="268"/>
      <x:c r="F698" s="268"/>
      <x:c r="G698" s="268"/>
      <x:c r="H698" s="268"/>
      <x:c r="I698" s="268"/>
      <x:c r="J698" s="268"/>
      <x:c r="K698" s="268"/>
      <x:c r="L698" s="268"/>
      <x:c r="M698" s="268"/>
      <x:c r="N698" s="268"/>
      <x:c r="O698" s="268"/>
      <x:c r="P698" s="268"/>
      <x:c r="Q698" s="268"/>
      <x:c r="R698" s="268"/>
      <x:c r="S698" s="268"/>
      <x:c r="T698" s="268"/>
      <x:c r="U698" s="268"/>
      <x:c r="V698" s="268"/>
      <x:c r="W698" s="268"/>
      <x:c r="X698" s="268"/>
      <x:c r="Y698" s="268"/>
      <x:c r="Z698" s="268"/>
      <x:c r="AA698" s="268"/>
      <x:c r="AB698" s="268"/>
      <x:c r="AC698" s="268"/>
    </x:row>
    <x:row r="699">
      <x:c r="A699" s="268"/>
      <x:c r="B699" s="268"/>
      <x:c r="C699" s="268"/>
      <x:c r="D699" s="268"/>
      <x:c r="E699" s="268"/>
      <x:c r="F699" s="268"/>
      <x:c r="G699" s="268"/>
      <x:c r="H699" s="268"/>
      <x:c r="I699" s="268"/>
      <x:c r="J699" s="268"/>
      <x:c r="K699" s="268"/>
      <x:c r="L699" s="268"/>
      <x:c r="M699" s="268"/>
      <x:c r="N699" s="268"/>
      <x:c r="O699" s="268"/>
      <x:c r="P699" s="268"/>
      <x:c r="Q699" s="268"/>
      <x:c r="R699" s="268"/>
      <x:c r="S699" s="268"/>
      <x:c r="T699" s="268"/>
      <x:c r="U699" s="268"/>
      <x:c r="V699" s="268"/>
      <x:c r="W699" s="268"/>
      <x:c r="X699" s="268"/>
      <x:c r="Y699" s="268"/>
      <x:c r="Z699" s="268"/>
      <x:c r="AA699" s="268"/>
      <x:c r="AB699" s="268"/>
      <x:c r="AC699" s="268"/>
    </x:row>
    <x:row r="700">
      <x:c r="A700" s="268"/>
      <x:c r="B700" s="268"/>
      <x:c r="C700" s="268"/>
      <x:c r="D700" s="268"/>
      <x:c r="E700" s="268"/>
      <x:c r="F700" s="268"/>
      <x:c r="G700" s="268"/>
      <x:c r="H700" s="268"/>
      <x:c r="I700" s="268"/>
      <x:c r="J700" s="268"/>
      <x:c r="K700" s="268"/>
      <x:c r="L700" s="268"/>
      <x:c r="M700" s="268"/>
      <x:c r="N700" s="268"/>
      <x:c r="O700" s="268"/>
      <x:c r="P700" s="268"/>
      <x:c r="Q700" s="268"/>
      <x:c r="R700" s="268"/>
      <x:c r="S700" s="268"/>
      <x:c r="T700" s="268"/>
      <x:c r="U700" s="268"/>
      <x:c r="V700" s="268"/>
      <x:c r="W700" s="268"/>
      <x:c r="X700" s="268"/>
      <x:c r="Y700" s="268"/>
      <x:c r="Z700" s="268"/>
      <x:c r="AA700" s="268"/>
      <x:c r="AB700" s="268"/>
      <x:c r="AC700" s="268"/>
    </x:row>
    <x:row r="701">
      <x:c r="A701" s="268"/>
      <x:c r="B701" s="268"/>
      <x:c r="C701" s="268"/>
      <x:c r="D701" s="268"/>
      <x:c r="E701" s="268"/>
      <x:c r="F701" s="268"/>
      <x:c r="G701" s="268"/>
      <x:c r="H701" s="268"/>
      <x:c r="I701" s="268"/>
      <x:c r="J701" s="268"/>
      <x:c r="K701" s="268"/>
      <x:c r="L701" s="268"/>
      <x:c r="M701" s="268"/>
      <x:c r="N701" s="268"/>
      <x:c r="O701" s="268"/>
      <x:c r="P701" s="268"/>
      <x:c r="Q701" s="268"/>
      <x:c r="R701" s="268"/>
      <x:c r="S701" s="268"/>
      <x:c r="T701" s="268"/>
      <x:c r="U701" s="268"/>
      <x:c r="V701" s="268"/>
      <x:c r="W701" s="268"/>
      <x:c r="X701" s="268"/>
      <x:c r="Y701" s="268"/>
      <x:c r="Z701" s="268"/>
      <x:c r="AA701" s="268"/>
      <x:c r="AB701" s="268"/>
      <x:c r="AC701" s="268"/>
    </x:row>
    <x:row r="702">
      <x:c r="A702" s="268"/>
      <x:c r="B702" s="268"/>
      <x:c r="C702" s="268"/>
      <x:c r="D702" s="268"/>
      <x:c r="E702" s="268"/>
      <x:c r="F702" s="268"/>
      <x:c r="G702" s="268"/>
      <x:c r="H702" s="268"/>
      <x:c r="I702" s="268"/>
      <x:c r="J702" s="268"/>
      <x:c r="K702" s="268"/>
      <x:c r="L702" s="268"/>
      <x:c r="M702" s="268"/>
      <x:c r="N702" s="268"/>
      <x:c r="O702" s="268"/>
      <x:c r="P702" s="268"/>
      <x:c r="Q702" s="268"/>
      <x:c r="R702" s="268"/>
      <x:c r="S702" s="268"/>
      <x:c r="T702" s="268"/>
      <x:c r="U702" s="268"/>
      <x:c r="V702" s="268"/>
      <x:c r="W702" s="268"/>
      <x:c r="X702" s="268"/>
      <x:c r="Y702" s="268"/>
      <x:c r="Z702" s="268"/>
      <x:c r="AA702" s="268"/>
      <x:c r="AB702" s="268"/>
      <x:c r="AC702" s="268"/>
    </x:row>
    <x:row r="703">
      <x:c r="A703" s="268"/>
      <x:c r="B703" s="268"/>
      <x:c r="C703" s="268"/>
      <x:c r="D703" s="268"/>
      <x:c r="E703" s="268"/>
      <x:c r="F703" s="268"/>
      <x:c r="G703" s="268"/>
      <x:c r="H703" s="268"/>
      <x:c r="I703" s="268"/>
      <x:c r="J703" s="268"/>
      <x:c r="K703" s="268"/>
      <x:c r="L703" s="268"/>
      <x:c r="M703" s="268"/>
      <x:c r="N703" s="268"/>
      <x:c r="O703" s="268"/>
      <x:c r="P703" s="268"/>
      <x:c r="Q703" s="268"/>
      <x:c r="R703" s="268"/>
      <x:c r="S703" s="268"/>
      <x:c r="T703" s="268"/>
      <x:c r="U703" s="268"/>
      <x:c r="V703" s="268"/>
      <x:c r="W703" s="268"/>
      <x:c r="X703" s="268"/>
      <x:c r="Y703" s="268"/>
      <x:c r="Z703" s="268"/>
      <x:c r="AA703" s="268"/>
      <x:c r="AB703" s="268"/>
      <x:c r="AC703" s="268"/>
    </x:row>
    <x:row r="704">
      <x:c r="A704" s="268"/>
      <x:c r="B704" s="268"/>
      <x:c r="C704" s="268"/>
      <x:c r="D704" s="268"/>
      <x:c r="E704" s="268"/>
      <x:c r="F704" s="268"/>
      <x:c r="G704" s="268"/>
      <x:c r="H704" s="268"/>
      <x:c r="I704" s="268"/>
      <x:c r="J704" s="268"/>
      <x:c r="K704" s="268"/>
      <x:c r="L704" s="268"/>
      <x:c r="M704" s="268"/>
      <x:c r="N704" s="268"/>
      <x:c r="O704" s="268"/>
      <x:c r="P704" s="268"/>
      <x:c r="Q704" s="268"/>
      <x:c r="R704" s="268"/>
      <x:c r="S704" s="268"/>
      <x:c r="T704" s="268"/>
      <x:c r="U704" s="268"/>
      <x:c r="V704" s="268"/>
      <x:c r="W704" s="268"/>
      <x:c r="X704" s="268"/>
      <x:c r="Y704" s="268"/>
      <x:c r="Z704" s="268"/>
      <x:c r="AA704" s="268"/>
      <x:c r="AB704" s="268"/>
      <x:c r="AC704" s="268"/>
    </x:row>
    <x:row r="705">
      <x:c r="A705" s="268"/>
      <x:c r="B705" s="268"/>
      <x:c r="C705" s="268"/>
      <x:c r="D705" s="268"/>
      <x:c r="E705" s="268"/>
      <x:c r="F705" s="268"/>
      <x:c r="G705" s="268"/>
      <x:c r="H705" s="268"/>
      <x:c r="I705" s="268"/>
      <x:c r="J705" s="268"/>
      <x:c r="K705" s="268"/>
      <x:c r="L705" s="268"/>
      <x:c r="M705" s="268"/>
      <x:c r="N705" s="268"/>
      <x:c r="O705" s="268"/>
      <x:c r="P705" s="268"/>
      <x:c r="Q705" s="268"/>
      <x:c r="R705" s="268"/>
      <x:c r="S705" s="268"/>
      <x:c r="T705" s="268"/>
      <x:c r="U705" s="268"/>
      <x:c r="V705" s="268"/>
      <x:c r="W705" s="268"/>
      <x:c r="X705" s="268"/>
      <x:c r="Y705" s="268"/>
      <x:c r="Z705" s="268"/>
      <x:c r="AA705" s="268"/>
      <x:c r="AB705" s="268"/>
      <x:c r="AC705" s="268"/>
    </x:row>
    <x:row r="706">
      <x:c r="A706" s="268"/>
      <x:c r="B706" s="268"/>
      <x:c r="C706" s="268"/>
      <x:c r="D706" s="268"/>
      <x:c r="E706" s="268"/>
      <x:c r="F706" s="268"/>
      <x:c r="G706" s="268"/>
      <x:c r="H706" s="268"/>
      <x:c r="I706" s="268"/>
      <x:c r="J706" s="268"/>
      <x:c r="K706" s="268"/>
      <x:c r="L706" s="268"/>
      <x:c r="M706" s="268"/>
      <x:c r="N706" s="268"/>
      <x:c r="O706" s="268"/>
      <x:c r="P706" s="268"/>
      <x:c r="Q706" s="268"/>
      <x:c r="R706" s="268"/>
      <x:c r="S706" s="268"/>
      <x:c r="T706" s="268"/>
      <x:c r="U706" s="268"/>
      <x:c r="V706" s="268"/>
      <x:c r="W706" s="268"/>
      <x:c r="X706" s="268"/>
      <x:c r="Y706" s="268"/>
      <x:c r="Z706" s="268"/>
      <x:c r="AA706" s="268"/>
      <x:c r="AB706" s="268"/>
      <x:c r="AC706" s="268"/>
    </x:row>
    <x:row r="707">
      <x:c r="A707" s="268"/>
      <x:c r="B707" s="268"/>
      <x:c r="C707" s="268"/>
      <x:c r="D707" s="268"/>
      <x:c r="E707" s="268"/>
      <x:c r="F707" s="268"/>
      <x:c r="G707" s="268"/>
      <x:c r="H707" s="268"/>
      <x:c r="I707" s="268"/>
      <x:c r="J707" s="268"/>
      <x:c r="K707" s="268"/>
      <x:c r="L707" s="268"/>
      <x:c r="M707" s="268"/>
      <x:c r="N707" s="268"/>
      <x:c r="O707" s="268"/>
      <x:c r="P707" s="268"/>
      <x:c r="Q707" s="268"/>
      <x:c r="R707" s="268"/>
      <x:c r="S707" s="268"/>
      <x:c r="T707" s="268"/>
      <x:c r="U707" s="268"/>
      <x:c r="V707" s="268"/>
      <x:c r="W707" s="268"/>
      <x:c r="X707" s="268"/>
      <x:c r="Y707" s="268"/>
      <x:c r="Z707" s="268"/>
      <x:c r="AA707" s="268"/>
      <x:c r="AB707" s="268"/>
      <x:c r="AC707" s="268"/>
    </x:row>
    <x:row r="708">
      <x:c r="A708" s="268"/>
      <x:c r="B708" s="268"/>
      <x:c r="C708" s="268"/>
      <x:c r="D708" s="268"/>
      <x:c r="E708" s="268"/>
      <x:c r="F708" s="268"/>
      <x:c r="G708" s="268"/>
      <x:c r="H708" s="268"/>
      <x:c r="I708" s="268"/>
      <x:c r="J708" s="268"/>
      <x:c r="K708" s="268"/>
      <x:c r="L708" s="268"/>
      <x:c r="M708" s="268"/>
      <x:c r="N708" s="268"/>
      <x:c r="O708" s="268"/>
      <x:c r="P708" s="268"/>
      <x:c r="Q708" s="268"/>
      <x:c r="R708" s="268"/>
      <x:c r="S708" s="268"/>
      <x:c r="T708" s="268"/>
      <x:c r="U708" s="268"/>
      <x:c r="V708" s="268"/>
      <x:c r="W708" s="268"/>
      <x:c r="X708" s="268"/>
      <x:c r="Y708" s="268"/>
      <x:c r="Z708" s="268"/>
      <x:c r="AA708" s="268"/>
      <x:c r="AB708" s="268"/>
      <x:c r="AC708" s="268"/>
    </x:row>
    <x:row r="709">
      <x:c r="A709" s="268"/>
      <x:c r="B709" s="268"/>
      <x:c r="C709" s="268"/>
      <x:c r="D709" s="268"/>
      <x:c r="E709" s="268"/>
      <x:c r="F709" s="268"/>
      <x:c r="G709" s="268"/>
      <x:c r="H709" s="268"/>
      <x:c r="I709" s="268"/>
      <x:c r="J709" s="268"/>
      <x:c r="K709" s="268"/>
      <x:c r="L709" s="268"/>
      <x:c r="M709" s="268"/>
      <x:c r="N709" s="268"/>
      <x:c r="O709" s="268"/>
      <x:c r="P709" s="268"/>
      <x:c r="Q709" s="268"/>
      <x:c r="R709" s="268"/>
      <x:c r="S709" s="268"/>
      <x:c r="T709" s="268"/>
      <x:c r="U709" s="268"/>
      <x:c r="V709" s="268"/>
      <x:c r="W709" s="268"/>
      <x:c r="X709" s="268"/>
      <x:c r="Y709" s="268"/>
      <x:c r="Z709" s="268"/>
      <x:c r="AA709" s="268"/>
      <x:c r="AB709" s="268"/>
      <x:c r="AC709" s="268"/>
    </x:row>
    <x:row r="710">
      <x:c r="A710" s="268"/>
      <x:c r="B710" s="268"/>
      <x:c r="C710" s="268"/>
      <x:c r="D710" s="268"/>
      <x:c r="E710" s="268"/>
      <x:c r="F710" s="268"/>
      <x:c r="G710" s="268"/>
      <x:c r="H710" s="268"/>
      <x:c r="I710" s="268"/>
      <x:c r="J710" s="268"/>
      <x:c r="K710" s="268"/>
      <x:c r="L710" s="268"/>
      <x:c r="M710" s="268"/>
      <x:c r="N710" s="268"/>
      <x:c r="O710" s="268"/>
      <x:c r="P710" s="268"/>
      <x:c r="Q710" s="268"/>
      <x:c r="R710" s="268"/>
      <x:c r="S710" s="268"/>
      <x:c r="T710" s="268"/>
      <x:c r="U710" s="268"/>
      <x:c r="V710" s="268"/>
      <x:c r="W710" s="268"/>
      <x:c r="X710" s="268"/>
      <x:c r="Y710" s="268"/>
      <x:c r="Z710" s="268"/>
      <x:c r="AA710" s="268"/>
      <x:c r="AB710" s="268"/>
      <x:c r="AC710" s="268"/>
    </x:row>
    <x:row r="711">
      <x:c r="A711" s="268"/>
      <x:c r="B711" s="268"/>
      <x:c r="C711" s="268"/>
      <x:c r="D711" s="268"/>
      <x:c r="E711" s="268"/>
      <x:c r="F711" s="268"/>
      <x:c r="G711" s="268"/>
      <x:c r="H711" s="268"/>
      <x:c r="I711" s="268"/>
      <x:c r="J711" s="268"/>
      <x:c r="K711" s="268"/>
      <x:c r="L711" s="268"/>
      <x:c r="M711" s="268"/>
      <x:c r="N711" s="268"/>
      <x:c r="O711" s="268"/>
      <x:c r="P711" s="268"/>
      <x:c r="Q711" s="268"/>
      <x:c r="R711" s="268"/>
      <x:c r="S711" s="268"/>
      <x:c r="T711" s="268"/>
      <x:c r="U711" s="268"/>
      <x:c r="V711" s="268"/>
      <x:c r="W711" s="268"/>
      <x:c r="X711" s="268"/>
      <x:c r="Y711" s="268"/>
      <x:c r="Z711" s="268"/>
      <x:c r="AA711" s="268"/>
      <x:c r="AB711" s="268"/>
      <x:c r="AC711" s="268"/>
    </x:row>
    <x:row r="712">
      <x:c r="A712" s="268"/>
      <x:c r="B712" s="268"/>
      <x:c r="C712" s="268"/>
      <x:c r="D712" s="268"/>
      <x:c r="E712" s="268"/>
      <x:c r="F712" s="268"/>
      <x:c r="G712" s="268"/>
      <x:c r="H712" s="268"/>
      <x:c r="I712" s="268"/>
      <x:c r="J712" s="268"/>
      <x:c r="K712" s="268"/>
      <x:c r="L712" s="268"/>
      <x:c r="M712" s="268"/>
      <x:c r="N712" s="268"/>
      <x:c r="O712" s="268"/>
      <x:c r="P712" s="268"/>
      <x:c r="Q712" s="268"/>
      <x:c r="R712" s="268"/>
      <x:c r="S712" s="268"/>
      <x:c r="T712" s="268"/>
      <x:c r="U712" s="268"/>
      <x:c r="V712" s="268"/>
      <x:c r="W712" s="268"/>
      <x:c r="X712" s="268"/>
      <x:c r="Y712" s="268"/>
      <x:c r="Z712" s="268"/>
      <x:c r="AA712" s="268"/>
      <x:c r="AB712" s="268"/>
      <x:c r="AC712" s="268"/>
    </x:row>
    <x:row r="713">
      <x:c r="A713" s="268"/>
      <x:c r="B713" s="268"/>
      <x:c r="C713" s="268"/>
      <x:c r="D713" s="268"/>
      <x:c r="E713" s="268"/>
      <x:c r="F713" s="268"/>
      <x:c r="G713" s="268"/>
      <x:c r="H713" s="268"/>
      <x:c r="I713" s="268"/>
      <x:c r="J713" s="268"/>
      <x:c r="K713" s="268"/>
      <x:c r="L713" s="268"/>
      <x:c r="M713" s="268"/>
      <x:c r="N713" s="268"/>
      <x:c r="O713" s="268"/>
      <x:c r="P713" s="268"/>
      <x:c r="Q713" s="268"/>
      <x:c r="R713" s="268"/>
      <x:c r="S713" s="268"/>
      <x:c r="T713" s="268"/>
      <x:c r="U713" s="268"/>
      <x:c r="V713" s="268"/>
      <x:c r="W713" s="268"/>
      <x:c r="X713" s="268"/>
      <x:c r="Y713" s="268"/>
      <x:c r="Z713" s="268"/>
      <x:c r="AA713" s="268"/>
      <x:c r="AB713" s="268"/>
      <x:c r="AC713" s="268"/>
    </x:row>
    <x:row r="714">
      <x:c r="A714" s="268"/>
      <x:c r="B714" s="268"/>
      <x:c r="C714" s="268"/>
      <x:c r="D714" s="268"/>
      <x:c r="E714" s="268"/>
      <x:c r="F714" s="268"/>
      <x:c r="G714" s="268"/>
      <x:c r="H714" s="268"/>
      <x:c r="I714" s="268"/>
      <x:c r="J714" s="268"/>
      <x:c r="K714" s="268"/>
      <x:c r="L714" s="268"/>
      <x:c r="M714" s="268"/>
      <x:c r="N714" s="268"/>
      <x:c r="O714" s="268"/>
      <x:c r="P714" s="268"/>
      <x:c r="Q714" s="268"/>
      <x:c r="R714" s="268"/>
      <x:c r="S714" s="268"/>
      <x:c r="T714" s="268"/>
      <x:c r="U714" s="268"/>
      <x:c r="V714" s="268"/>
      <x:c r="W714" s="268"/>
      <x:c r="X714" s="268"/>
      <x:c r="Y714" s="268"/>
      <x:c r="Z714" s="268"/>
      <x:c r="AA714" s="268"/>
      <x:c r="AB714" s="268"/>
      <x:c r="AC714" s="268"/>
    </x:row>
    <x:row r="715">
      <x:c r="A715" s="268"/>
      <x:c r="B715" s="268"/>
      <x:c r="C715" s="268"/>
      <x:c r="D715" s="268"/>
      <x:c r="E715" s="268"/>
      <x:c r="F715" s="268"/>
      <x:c r="G715" s="268"/>
      <x:c r="H715" s="268"/>
      <x:c r="I715" s="268"/>
      <x:c r="J715" s="268"/>
      <x:c r="K715" s="268"/>
      <x:c r="L715" s="268"/>
      <x:c r="M715" s="268"/>
      <x:c r="N715" s="268"/>
      <x:c r="O715" s="268"/>
      <x:c r="P715" s="268"/>
      <x:c r="Q715" s="268"/>
      <x:c r="R715" s="268"/>
      <x:c r="S715" s="268"/>
      <x:c r="T715" s="268"/>
      <x:c r="U715" s="268"/>
      <x:c r="V715" s="268"/>
      <x:c r="W715" s="268"/>
      <x:c r="X715" s="268"/>
      <x:c r="Y715" s="268"/>
      <x:c r="Z715" s="268"/>
      <x:c r="AA715" s="268"/>
      <x:c r="AB715" s="268"/>
      <x:c r="AC715" s="268"/>
    </x:row>
    <x:row r="716">
      <x:c r="A716" s="268"/>
      <x:c r="B716" s="268"/>
      <x:c r="C716" s="268"/>
      <x:c r="D716" s="268"/>
      <x:c r="E716" s="268"/>
      <x:c r="F716" s="268"/>
      <x:c r="G716" s="268"/>
      <x:c r="H716" s="268"/>
      <x:c r="I716" s="268"/>
      <x:c r="J716" s="268"/>
      <x:c r="K716" s="268"/>
      <x:c r="L716" s="268"/>
      <x:c r="M716" s="268"/>
      <x:c r="N716" s="268"/>
      <x:c r="O716" s="268"/>
      <x:c r="P716" s="268"/>
      <x:c r="Q716" s="268"/>
      <x:c r="R716" s="268"/>
      <x:c r="S716" s="268"/>
      <x:c r="T716" s="268"/>
      <x:c r="U716" s="268"/>
      <x:c r="V716" s="268"/>
      <x:c r="W716" s="268"/>
      <x:c r="X716" s="268"/>
      <x:c r="Y716" s="268"/>
      <x:c r="Z716" s="268"/>
      <x:c r="AA716" s="268"/>
      <x:c r="AB716" s="268"/>
      <x:c r="AC716" s="268"/>
    </x:row>
    <x:row r="717">
      <x:c r="A717" s="268"/>
      <x:c r="B717" s="268"/>
      <x:c r="C717" s="268"/>
      <x:c r="D717" s="268"/>
      <x:c r="E717" s="268"/>
      <x:c r="F717" s="268"/>
      <x:c r="G717" s="268"/>
      <x:c r="H717" s="268"/>
      <x:c r="I717" s="268"/>
      <x:c r="J717" s="268"/>
      <x:c r="K717" s="268"/>
      <x:c r="L717" s="268"/>
      <x:c r="M717" s="268"/>
      <x:c r="N717" s="268"/>
      <x:c r="O717" s="268"/>
      <x:c r="P717" s="268"/>
      <x:c r="Q717" s="268"/>
      <x:c r="R717" s="268"/>
      <x:c r="S717" s="268"/>
      <x:c r="T717" s="268"/>
      <x:c r="U717" s="268"/>
      <x:c r="V717" s="268"/>
      <x:c r="W717" s="268"/>
      <x:c r="X717" s="268"/>
      <x:c r="Y717" s="268"/>
      <x:c r="Z717" s="268"/>
      <x:c r="AA717" s="268"/>
      <x:c r="AB717" s="268"/>
      <x:c r="AC717" s="268"/>
    </x:row>
    <x:row r="718">
      <x:c r="A718" s="268"/>
      <x:c r="B718" s="268"/>
      <x:c r="C718" s="268"/>
      <x:c r="D718" s="268"/>
      <x:c r="E718" s="268"/>
      <x:c r="F718" s="268"/>
      <x:c r="G718" s="268"/>
      <x:c r="H718" s="268"/>
      <x:c r="I718" s="268"/>
      <x:c r="J718" s="268"/>
      <x:c r="K718" s="268"/>
      <x:c r="L718" s="268"/>
      <x:c r="M718" s="268"/>
      <x:c r="N718" s="268"/>
      <x:c r="O718" s="268"/>
      <x:c r="P718" s="268"/>
      <x:c r="Q718" s="268"/>
      <x:c r="R718" s="268"/>
      <x:c r="S718" s="268"/>
      <x:c r="T718" s="268"/>
      <x:c r="U718" s="268"/>
      <x:c r="V718" s="268"/>
      <x:c r="W718" s="268"/>
      <x:c r="X718" s="268"/>
      <x:c r="Y718" s="268"/>
      <x:c r="Z718" s="268"/>
      <x:c r="AA718" s="268"/>
      <x:c r="AB718" s="268"/>
      <x:c r="AC718" s="268"/>
    </x:row>
    <x:row r="719">
      <x:c r="A719" s="268"/>
      <x:c r="B719" s="268"/>
      <x:c r="C719" s="268"/>
      <x:c r="D719" s="268"/>
      <x:c r="E719" s="268"/>
      <x:c r="F719" s="268"/>
      <x:c r="G719" s="268"/>
      <x:c r="H719" s="268"/>
      <x:c r="I719" s="268"/>
      <x:c r="J719" s="268"/>
      <x:c r="K719" s="268"/>
      <x:c r="L719" s="268"/>
      <x:c r="M719" s="268"/>
      <x:c r="N719" s="268"/>
      <x:c r="O719" s="268"/>
      <x:c r="P719" s="268"/>
      <x:c r="Q719" s="268"/>
      <x:c r="R719" s="268"/>
      <x:c r="S719" s="268"/>
      <x:c r="T719" s="268"/>
      <x:c r="U719" s="268"/>
      <x:c r="V719" s="268"/>
      <x:c r="W719" s="268"/>
      <x:c r="X719" s="268"/>
      <x:c r="Y719" s="268"/>
      <x:c r="Z719" s="268"/>
      <x:c r="AA719" s="268"/>
      <x:c r="AB719" s="268"/>
      <x:c r="AC719" s="268"/>
    </x:row>
    <x:row r="720">
      <x:c r="A720" s="268"/>
      <x:c r="B720" s="268"/>
      <x:c r="C720" s="268"/>
      <x:c r="D720" s="268"/>
      <x:c r="E720" s="268"/>
      <x:c r="F720" s="268"/>
      <x:c r="G720" s="268"/>
      <x:c r="H720" s="268"/>
      <x:c r="I720" s="268"/>
      <x:c r="J720" s="268"/>
      <x:c r="K720" s="268"/>
      <x:c r="L720" s="268"/>
      <x:c r="M720" s="268"/>
      <x:c r="N720" s="268"/>
      <x:c r="O720" s="268"/>
      <x:c r="P720" s="268"/>
      <x:c r="Q720" s="268"/>
      <x:c r="R720" s="268"/>
      <x:c r="S720" s="268"/>
      <x:c r="T720" s="268"/>
      <x:c r="U720" s="268"/>
      <x:c r="V720" s="268"/>
      <x:c r="W720" s="268"/>
      <x:c r="X720" s="268"/>
      <x:c r="Y720" s="268"/>
      <x:c r="Z720" s="268"/>
      <x:c r="AA720" s="268"/>
      <x:c r="AB720" s="268"/>
      <x:c r="AC720" s="268"/>
    </x:row>
    <x:row r="721">
      <x:c r="A721" s="268"/>
      <x:c r="B721" s="268"/>
      <x:c r="C721" s="268"/>
      <x:c r="D721" s="268"/>
      <x:c r="E721" s="268"/>
      <x:c r="F721" s="268"/>
      <x:c r="G721" s="268"/>
      <x:c r="H721" s="268"/>
      <x:c r="I721" s="268"/>
      <x:c r="J721" s="268"/>
      <x:c r="K721" s="268"/>
      <x:c r="L721" s="268"/>
      <x:c r="M721" s="268"/>
      <x:c r="N721" s="268"/>
      <x:c r="O721" s="268"/>
      <x:c r="P721" s="268"/>
      <x:c r="Q721" s="268"/>
      <x:c r="R721" s="268"/>
      <x:c r="S721" s="268"/>
      <x:c r="T721" s="268"/>
      <x:c r="U721" s="268"/>
      <x:c r="V721" s="268"/>
      <x:c r="W721" s="268"/>
      <x:c r="X721" s="268"/>
      <x:c r="Y721" s="268"/>
      <x:c r="Z721" s="268"/>
      <x:c r="AA721" s="268"/>
      <x:c r="AB721" s="268"/>
      <x:c r="AC721" s="268"/>
    </x:row>
    <x:row r="722">
      <x:c r="A722" s="268"/>
      <x:c r="B722" s="268"/>
      <x:c r="C722" s="268"/>
      <x:c r="D722" s="268"/>
      <x:c r="E722" s="268"/>
      <x:c r="F722" s="268"/>
      <x:c r="G722" s="268"/>
      <x:c r="H722" s="268"/>
      <x:c r="I722" s="268"/>
      <x:c r="J722" s="268"/>
      <x:c r="K722" s="268"/>
      <x:c r="L722" s="268"/>
      <x:c r="M722" s="268"/>
      <x:c r="N722" s="268"/>
      <x:c r="O722" s="268"/>
      <x:c r="P722" s="268"/>
      <x:c r="Q722" s="268"/>
      <x:c r="R722" s="268"/>
      <x:c r="S722" s="268"/>
      <x:c r="T722" s="268"/>
      <x:c r="U722" s="268"/>
      <x:c r="V722" s="268"/>
      <x:c r="W722" s="268"/>
      <x:c r="X722" s="268"/>
      <x:c r="Y722" s="268"/>
      <x:c r="Z722" s="268"/>
      <x:c r="AA722" s="268"/>
      <x:c r="AB722" s="268"/>
      <x:c r="AC722" s="268"/>
    </x:row>
    <x:row r="723">
      <x:c r="A723" s="268"/>
      <x:c r="B723" s="268"/>
      <x:c r="C723" s="268"/>
      <x:c r="D723" s="268"/>
      <x:c r="E723" s="268"/>
      <x:c r="F723" s="268"/>
      <x:c r="G723" s="268"/>
      <x:c r="H723" s="268"/>
      <x:c r="I723" s="268"/>
      <x:c r="J723" s="268"/>
      <x:c r="K723" s="268"/>
      <x:c r="L723" s="268"/>
      <x:c r="M723" s="268"/>
      <x:c r="N723" s="268"/>
      <x:c r="O723" s="268"/>
      <x:c r="P723" s="268"/>
      <x:c r="Q723" s="268"/>
      <x:c r="R723" s="268"/>
      <x:c r="S723" s="268"/>
      <x:c r="T723" s="268"/>
      <x:c r="U723" s="268"/>
      <x:c r="V723" s="268"/>
      <x:c r="W723" s="268"/>
      <x:c r="X723" s="268"/>
      <x:c r="Y723" s="268"/>
      <x:c r="Z723" s="268"/>
      <x:c r="AA723" s="268"/>
      <x:c r="AB723" s="268"/>
      <x:c r="AC723" s="268"/>
    </x:row>
    <x:row r="724">
      <x:c r="A724" s="268"/>
      <x:c r="B724" s="268"/>
      <x:c r="C724" s="268"/>
      <x:c r="D724" s="268"/>
      <x:c r="E724" s="268"/>
      <x:c r="F724" s="268"/>
      <x:c r="G724" s="268"/>
      <x:c r="H724" s="268"/>
      <x:c r="I724" s="268"/>
      <x:c r="J724" s="268"/>
      <x:c r="K724" s="268"/>
      <x:c r="L724" s="268"/>
      <x:c r="M724" s="268"/>
      <x:c r="N724" s="268"/>
      <x:c r="O724" s="268"/>
      <x:c r="P724" s="268"/>
      <x:c r="Q724" s="268"/>
      <x:c r="R724" s="268"/>
      <x:c r="S724" s="268"/>
      <x:c r="T724" s="268"/>
      <x:c r="U724" s="268"/>
      <x:c r="V724" s="268"/>
      <x:c r="W724" s="268"/>
      <x:c r="X724" s="268"/>
      <x:c r="Y724" s="268"/>
      <x:c r="Z724" s="268"/>
      <x:c r="AA724" s="268"/>
      <x:c r="AB724" s="268"/>
      <x:c r="AC724" s="268"/>
    </x:row>
    <x:row r="725">
      <x:c r="A725" s="268"/>
      <x:c r="B725" s="268"/>
      <x:c r="C725" s="268"/>
      <x:c r="D725" s="268"/>
      <x:c r="E725" s="268"/>
      <x:c r="F725" s="268"/>
      <x:c r="G725" s="268"/>
      <x:c r="H725" s="268"/>
      <x:c r="I725" s="268"/>
      <x:c r="J725" s="268"/>
      <x:c r="K725" s="268"/>
      <x:c r="L725" s="268"/>
      <x:c r="M725" s="268"/>
      <x:c r="N725" s="268"/>
      <x:c r="O725" s="268"/>
      <x:c r="P725" s="268"/>
      <x:c r="Q725" s="268"/>
      <x:c r="R725" s="268"/>
      <x:c r="S725" s="268"/>
      <x:c r="T725" s="268"/>
      <x:c r="U725" s="268"/>
      <x:c r="V725" s="268"/>
      <x:c r="W725" s="268"/>
      <x:c r="X725" s="268"/>
      <x:c r="Y725" s="268"/>
      <x:c r="Z725" s="268"/>
      <x:c r="AA725" s="268"/>
      <x:c r="AB725" s="268"/>
      <x:c r="AC725" s="268"/>
    </x:row>
    <x:row r="726">
      <x:c r="A726" s="268"/>
      <x:c r="B726" s="268"/>
      <x:c r="C726" s="268"/>
      <x:c r="D726" s="268"/>
      <x:c r="E726" s="268"/>
      <x:c r="F726" s="268"/>
      <x:c r="G726" s="268"/>
      <x:c r="H726" s="268"/>
      <x:c r="I726" s="268"/>
      <x:c r="J726" s="268"/>
      <x:c r="K726" s="268"/>
      <x:c r="L726" s="268"/>
      <x:c r="M726" s="268"/>
      <x:c r="N726" s="268"/>
      <x:c r="O726" s="268"/>
      <x:c r="P726" s="268"/>
      <x:c r="Q726" s="268"/>
      <x:c r="R726" s="268"/>
      <x:c r="S726" s="268"/>
      <x:c r="T726" s="268"/>
      <x:c r="U726" s="268"/>
      <x:c r="V726" s="268"/>
      <x:c r="W726" s="268"/>
      <x:c r="X726" s="268"/>
      <x:c r="Y726" s="268"/>
      <x:c r="Z726" s="268"/>
      <x:c r="AA726" s="268"/>
      <x:c r="AB726" s="268"/>
      <x:c r="AC726" s="268"/>
    </x:row>
    <x:row r="727">
      <x:c r="A727" s="268"/>
      <x:c r="B727" s="268"/>
      <x:c r="C727" s="268"/>
      <x:c r="D727" s="268"/>
      <x:c r="E727" s="268"/>
      <x:c r="F727" s="268"/>
      <x:c r="G727" s="268"/>
      <x:c r="H727" s="268"/>
      <x:c r="I727" s="268"/>
      <x:c r="J727" s="268"/>
      <x:c r="K727" s="268"/>
      <x:c r="L727" s="268"/>
      <x:c r="M727" s="268"/>
      <x:c r="N727" s="268"/>
      <x:c r="O727" s="268"/>
      <x:c r="P727" s="268"/>
      <x:c r="Q727" s="268"/>
      <x:c r="R727" s="268"/>
      <x:c r="S727" s="268"/>
      <x:c r="T727" s="268"/>
      <x:c r="U727" s="268"/>
      <x:c r="V727" s="268"/>
      <x:c r="W727" s="268"/>
      <x:c r="X727" s="268"/>
      <x:c r="Y727" s="268"/>
      <x:c r="Z727" s="268"/>
      <x:c r="AA727" s="268"/>
      <x:c r="AB727" s="268"/>
      <x:c r="AC727" s="268"/>
    </x:row>
    <x:row r="728">
      <x:c r="A728" s="268"/>
      <x:c r="B728" s="268"/>
      <x:c r="C728" s="268"/>
      <x:c r="D728" s="268"/>
      <x:c r="E728" s="268"/>
      <x:c r="F728" s="268"/>
      <x:c r="G728" s="268"/>
      <x:c r="H728" s="268"/>
      <x:c r="I728" s="268"/>
      <x:c r="J728" s="268"/>
      <x:c r="K728" s="268"/>
      <x:c r="L728" s="268"/>
      <x:c r="M728" s="268"/>
      <x:c r="N728" s="268"/>
      <x:c r="O728" s="268"/>
      <x:c r="P728" s="268"/>
      <x:c r="Q728" s="268"/>
      <x:c r="R728" s="268"/>
      <x:c r="S728" s="268"/>
      <x:c r="T728" s="268"/>
      <x:c r="U728" s="268"/>
      <x:c r="V728" s="268"/>
      <x:c r="W728" s="268"/>
      <x:c r="X728" s="268"/>
      <x:c r="Y728" s="268"/>
      <x:c r="Z728" s="268"/>
      <x:c r="AA728" s="268"/>
      <x:c r="AB728" s="268"/>
      <x:c r="AC728" s="268"/>
    </x:row>
    <x:row r="729">
      <x:c r="A729" s="268"/>
      <x:c r="B729" s="268"/>
      <x:c r="C729" s="268"/>
      <x:c r="D729" s="268"/>
      <x:c r="E729" s="268"/>
      <x:c r="F729" s="268"/>
      <x:c r="G729" s="268"/>
      <x:c r="H729" s="268"/>
      <x:c r="I729" s="268"/>
      <x:c r="J729" s="268"/>
      <x:c r="K729" s="268"/>
      <x:c r="L729" s="268"/>
      <x:c r="M729" s="268"/>
      <x:c r="N729" s="268"/>
      <x:c r="O729" s="268"/>
      <x:c r="P729" s="268"/>
      <x:c r="Q729" s="268"/>
      <x:c r="R729" s="268"/>
      <x:c r="S729" s="268"/>
      <x:c r="T729" s="268"/>
      <x:c r="U729" s="268"/>
      <x:c r="V729" s="268"/>
      <x:c r="W729" s="268"/>
      <x:c r="X729" s="268"/>
      <x:c r="Y729" s="268"/>
      <x:c r="Z729" s="268"/>
      <x:c r="AA729" s="268"/>
      <x:c r="AB729" s="268"/>
      <x:c r="AC729" s="268"/>
    </x:row>
    <x:row r="730">
      <x:c r="A730" s="268"/>
      <x:c r="B730" s="268"/>
      <x:c r="C730" s="268"/>
      <x:c r="D730" s="268"/>
      <x:c r="E730" s="268"/>
      <x:c r="F730" s="268"/>
      <x:c r="G730" s="268"/>
      <x:c r="H730" s="268"/>
      <x:c r="I730" s="268"/>
      <x:c r="J730" s="268"/>
      <x:c r="K730" s="268"/>
      <x:c r="L730" s="268"/>
      <x:c r="M730" s="268"/>
      <x:c r="N730" s="268"/>
      <x:c r="O730" s="268"/>
      <x:c r="P730" s="268"/>
      <x:c r="Q730" s="268"/>
      <x:c r="R730" s="268"/>
      <x:c r="S730" s="268"/>
      <x:c r="T730" s="268"/>
      <x:c r="U730" s="268"/>
      <x:c r="V730" s="268"/>
      <x:c r="W730" s="268"/>
      <x:c r="X730" s="268"/>
      <x:c r="Y730" s="268"/>
      <x:c r="Z730" s="268"/>
      <x:c r="AA730" s="268"/>
      <x:c r="AB730" s="268"/>
      <x:c r="AC730" s="268"/>
    </x:row>
    <x:row r="731">
      <x:c r="A731" s="268"/>
      <x:c r="B731" s="268"/>
      <x:c r="C731" s="268"/>
      <x:c r="D731" s="268"/>
      <x:c r="E731" s="268"/>
      <x:c r="F731" s="268"/>
      <x:c r="G731" s="268"/>
      <x:c r="H731" s="268"/>
      <x:c r="I731" s="268"/>
      <x:c r="J731" s="268"/>
      <x:c r="K731" s="268"/>
      <x:c r="L731" s="268"/>
      <x:c r="M731" s="268"/>
      <x:c r="N731" s="268"/>
      <x:c r="O731" s="268"/>
      <x:c r="P731" s="268"/>
      <x:c r="Q731" s="268"/>
      <x:c r="R731" s="268"/>
      <x:c r="S731" s="268"/>
      <x:c r="T731" s="268"/>
      <x:c r="U731" s="268"/>
      <x:c r="V731" s="268"/>
      <x:c r="W731" s="268"/>
      <x:c r="X731" s="268"/>
      <x:c r="Y731" s="268"/>
      <x:c r="Z731" s="268"/>
      <x:c r="AA731" s="268"/>
      <x:c r="AB731" s="268"/>
      <x:c r="AC731" s="268"/>
    </x:row>
    <x:row r="732">
      <x:c r="A732" s="268"/>
      <x:c r="B732" s="268"/>
      <x:c r="C732" s="268"/>
      <x:c r="D732" s="268"/>
      <x:c r="E732" s="268"/>
      <x:c r="F732" s="268"/>
      <x:c r="G732" s="268"/>
      <x:c r="H732" s="268"/>
      <x:c r="I732" s="268"/>
      <x:c r="J732" s="268"/>
      <x:c r="K732" s="268"/>
      <x:c r="L732" s="268"/>
      <x:c r="M732" s="268"/>
      <x:c r="N732" s="268"/>
      <x:c r="O732" s="268"/>
      <x:c r="P732" s="268"/>
      <x:c r="Q732" s="268"/>
      <x:c r="R732" s="268"/>
      <x:c r="S732" s="268"/>
      <x:c r="T732" s="268"/>
      <x:c r="U732" s="268"/>
      <x:c r="V732" s="268"/>
      <x:c r="W732" s="268"/>
      <x:c r="X732" s="268"/>
      <x:c r="Y732" s="268"/>
      <x:c r="Z732" s="268"/>
      <x:c r="AA732" s="268"/>
      <x:c r="AB732" s="268"/>
      <x:c r="AC732" s="268"/>
    </x:row>
    <x:row r="733">
      <x:c r="A733" s="268"/>
      <x:c r="B733" s="268"/>
      <x:c r="C733" s="268"/>
      <x:c r="D733" s="268"/>
      <x:c r="E733" s="268"/>
      <x:c r="F733" s="268"/>
      <x:c r="G733" s="268"/>
      <x:c r="H733" s="268"/>
      <x:c r="I733" s="268"/>
      <x:c r="J733" s="268"/>
      <x:c r="K733" s="268"/>
      <x:c r="L733" s="268"/>
      <x:c r="M733" s="268"/>
      <x:c r="N733" s="268"/>
      <x:c r="O733" s="268"/>
      <x:c r="P733" s="268"/>
      <x:c r="Q733" s="268"/>
      <x:c r="R733" s="268"/>
      <x:c r="S733" s="268"/>
      <x:c r="T733" s="268"/>
      <x:c r="U733" s="268"/>
      <x:c r="V733" s="268"/>
      <x:c r="W733" s="268"/>
      <x:c r="X733" s="268"/>
      <x:c r="Y733" s="268"/>
      <x:c r="Z733" s="268"/>
      <x:c r="AA733" s="268"/>
      <x:c r="AB733" s="268"/>
      <x:c r="AC733" s="268"/>
    </x:row>
    <x:row r="734">
      <x:c r="A734" s="268"/>
      <x:c r="B734" s="268"/>
      <x:c r="C734" s="268"/>
      <x:c r="D734" s="268"/>
      <x:c r="E734" s="268"/>
      <x:c r="F734" s="268"/>
      <x:c r="G734" s="268"/>
      <x:c r="H734" s="268"/>
      <x:c r="I734" s="268"/>
      <x:c r="J734" s="268"/>
      <x:c r="K734" s="268"/>
      <x:c r="L734" s="268"/>
      <x:c r="M734" s="268"/>
      <x:c r="N734" s="268"/>
      <x:c r="O734" s="268"/>
      <x:c r="P734" s="268"/>
      <x:c r="Q734" s="268"/>
      <x:c r="R734" s="268"/>
      <x:c r="S734" s="268"/>
      <x:c r="T734" s="268"/>
      <x:c r="U734" s="268"/>
      <x:c r="V734" s="268"/>
      <x:c r="W734" s="268"/>
      <x:c r="X734" s="268"/>
      <x:c r="Y734" s="268"/>
      <x:c r="Z734" s="268"/>
      <x:c r="AA734" s="268"/>
      <x:c r="AB734" s="268"/>
      <x:c r="AC734" s="268"/>
    </x:row>
    <x:row r="735">
      <x:c r="A735" s="268"/>
      <x:c r="B735" s="268"/>
      <x:c r="C735" s="268"/>
      <x:c r="D735" s="268"/>
      <x:c r="E735" s="268"/>
      <x:c r="F735" s="268"/>
      <x:c r="G735" s="268"/>
      <x:c r="H735" s="268"/>
      <x:c r="I735" s="268"/>
      <x:c r="J735" s="268"/>
      <x:c r="K735" s="268"/>
      <x:c r="L735" s="268"/>
      <x:c r="M735" s="268"/>
      <x:c r="N735" s="268"/>
      <x:c r="O735" s="268"/>
      <x:c r="P735" s="268"/>
      <x:c r="Q735" s="268"/>
      <x:c r="R735" s="268"/>
      <x:c r="S735" s="268"/>
      <x:c r="T735" s="268"/>
      <x:c r="U735" s="268"/>
      <x:c r="V735" s="268"/>
      <x:c r="W735" s="268"/>
      <x:c r="X735" s="268"/>
      <x:c r="Y735" s="268"/>
      <x:c r="Z735" s="268"/>
      <x:c r="AA735" s="268"/>
      <x:c r="AB735" s="268"/>
      <x:c r="AC735" s="268"/>
    </x:row>
    <x:row r="736">
      <x:c r="A736" s="268"/>
      <x:c r="B736" s="268"/>
      <x:c r="C736" s="268"/>
      <x:c r="D736" s="268"/>
      <x:c r="E736" s="268"/>
      <x:c r="F736" s="268"/>
      <x:c r="G736" s="268"/>
      <x:c r="H736" s="268"/>
      <x:c r="I736" s="268"/>
      <x:c r="J736" s="268"/>
      <x:c r="K736" s="268"/>
      <x:c r="L736" s="268"/>
      <x:c r="M736" s="268"/>
      <x:c r="N736" s="268"/>
      <x:c r="O736" s="268"/>
      <x:c r="P736" s="268"/>
      <x:c r="Q736" s="268"/>
      <x:c r="R736" s="268"/>
      <x:c r="S736" s="268"/>
      <x:c r="T736" s="268"/>
      <x:c r="U736" s="268"/>
      <x:c r="V736" s="268"/>
      <x:c r="W736" s="268"/>
      <x:c r="X736" s="268"/>
      <x:c r="Y736" s="268"/>
      <x:c r="Z736" s="268"/>
      <x:c r="AA736" s="268"/>
      <x:c r="AB736" s="268"/>
      <x:c r="AC736" s="268"/>
    </x:row>
    <x:row r="737">
      <x:c r="A737" s="268"/>
      <x:c r="B737" s="268"/>
      <x:c r="C737" s="268"/>
      <x:c r="D737" s="268"/>
      <x:c r="E737" s="268"/>
      <x:c r="F737" s="268"/>
      <x:c r="G737" s="268"/>
      <x:c r="H737" s="268"/>
      <x:c r="I737" s="268"/>
      <x:c r="J737" s="268"/>
      <x:c r="K737" s="268"/>
      <x:c r="L737" s="268"/>
      <x:c r="M737" s="268"/>
      <x:c r="N737" s="268"/>
      <x:c r="O737" s="268"/>
      <x:c r="P737" s="268"/>
      <x:c r="Q737" s="268"/>
      <x:c r="R737" s="268"/>
      <x:c r="S737" s="268"/>
      <x:c r="T737" s="268"/>
      <x:c r="U737" s="268"/>
      <x:c r="V737" s="268"/>
      <x:c r="W737" s="268"/>
      <x:c r="X737" s="268"/>
      <x:c r="Y737" s="268"/>
      <x:c r="Z737" s="268"/>
      <x:c r="AA737" s="268"/>
      <x:c r="AB737" s="268"/>
      <x:c r="AC737" s="268"/>
    </x:row>
    <x:row r="738">
      <x:c r="A738" s="268"/>
      <x:c r="B738" s="268"/>
      <x:c r="C738" s="268"/>
      <x:c r="D738" s="268"/>
      <x:c r="E738" s="268"/>
      <x:c r="F738" s="268"/>
      <x:c r="G738" s="268"/>
      <x:c r="H738" s="268"/>
      <x:c r="I738" s="268"/>
      <x:c r="J738" s="268"/>
      <x:c r="K738" s="268"/>
      <x:c r="L738" s="268"/>
      <x:c r="M738" s="268"/>
      <x:c r="N738" s="268"/>
      <x:c r="O738" s="268"/>
      <x:c r="P738" s="268"/>
      <x:c r="Q738" s="268"/>
      <x:c r="R738" s="268"/>
      <x:c r="S738" s="268"/>
      <x:c r="T738" s="268"/>
      <x:c r="U738" s="268"/>
      <x:c r="V738" s="268"/>
      <x:c r="W738" s="268"/>
      <x:c r="X738" s="268"/>
      <x:c r="Y738" s="268"/>
      <x:c r="Z738" s="268"/>
      <x:c r="AA738" s="268"/>
      <x:c r="AB738" s="268"/>
      <x:c r="AC738" s="268"/>
    </x:row>
    <x:row r="739">
      <x:c r="A739" s="268"/>
      <x:c r="B739" s="268"/>
      <x:c r="C739" s="268"/>
      <x:c r="D739" s="268"/>
      <x:c r="E739" s="268"/>
      <x:c r="F739" s="268"/>
      <x:c r="G739" s="268"/>
      <x:c r="H739" s="268"/>
      <x:c r="I739" s="268"/>
      <x:c r="J739" s="268"/>
      <x:c r="K739" s="268"/>
      <x:c r="L739" s="268"/>
      <x:c r="M739" s="268"/>
      <x:c r="N739" s="268"/>
      <x:c r="O739" s="268"/>
      <x:c r="P739" s="268"/>
      <x:c r="Q739" s="268"/>
      <x:c r="R739" s="268"/>
      <x:c r="S739" s="268"/>
      <x:c r="T739" s="268"/>
      <x:c r="U739" s="268"/>
      <x:c r="V739" s="268"/>
      <x:c r="W739" s="268"/>
      <x:c r="X739" s="268"/>
      <x:c r="Y739" s="268"/>
      <x:c r="Z739" s="268"/>
      <x:c r="AA739" s="268"/>
      <x:c r="AB739" s="268"/>
      <x:c r="AC739" s="268"/>
    </x:row>
    <x:row r="740">
      <x:c r="A740" s="268"/>
      <x:c r="B740" s="268"/>
      <x:c r="C740" s="268"/>
      <x:c r="D740" s="268"/>
      <x:c r="E740" s="268"/>
      <x:c r="F740" s="268"/>
      <x:c r="G740" s="268"/>
      <x:c r="H740" s="268"/>
      <x:c r="I740" s="268"/>
      <x:c r="J740" s="268"/>
      <x:c r="K740" s="268"/>
      <x:c r="L740" s="268"/>
      <x:c r="M740" s="268"/>
      <x:c r="N740" s="268"/>
      <x:c r="O740" s="268"/>
      <x:c r="P740" s="268"/>
      <x:c r="Q740" s="268"/>
      <x:c r="R740" s="268"/>
      <x:c r="S740" s="268"/>
      <x:c r="T740" s="268"/>
      <x:c r="U740" s="268"/>
      <x:c r="V740" s="268"/>
      <x:c r="W740" s="268"/>
      <x:c r="X740" s="268"/>
      <x:c r="Y740" s="268"/>
      <x:c r="Z740" s="268"/>
      <x:c r="AA740" s="268"/>
      <x:c r="AB740" s="268"/>
      <x:c r="AC740" s="268"/>
    </x:row>
    <x:row r="741">
      <x:c r="A741" s="268"/>
      <x:c r="B741" s="268"/>
      <x:c r="C741" s="268"/>
      <x:c r="D741" s="268"/>
      <x:c r="E741" s="268"/>
      <x:c r="F741" s="268"/>
      <x:c r="G741" s="268"/>
      <x:c r="H741" s="268"/>
      <x:c r="I741" s="268"/>
      <x:c r="J741" s="268"/>
      <x:c r="K741" s="268"/>
      <x:c r="L741" s="268"/>
      <x:c r="M741" s="268"/>
      <x:c r="N741" s="268"/>
      <x:c r="O741" s="268"/>
      <x:c r="P741" s="268"/>
      <x:c r="Q741" s="268"/>
      <x:c r="R741" s="268"/>
      <x:c r="S741" s="268"/>
      <x:c r="T741" s="268"/>
      <x:c r="U741" s="268"/>
      <x:c r="V741" s="268"/>
      <x:c r="W741" s="268"/>
      <x:c r="X741" s="268"/>
      <x:c r="Y741" s="268"/>
      <x:c r="Z741" s="268"/>
      <x:c r="AA741" s="268"/>
      <x:c r="AB741" s="268"/>
      <x:c r="AC741" s="268"/>
    </x:row>
    <x:row r="742">
      <x:c r="A742" s="268"/>
      <x:c r="B742" s="268"/>
      <x:c r="C742" s="268"/>
      <x:c r="D742" s="268"/>
      <x:c r="E742" s="268"/>
      <x:c r="F742" s="268"/>
      <x:c r="G742" s="268"/>
      <x:c r="H742" s="268"/>
      <x:c r="I742" s="268"/>
      <x:c r="J742" s="268"/>
      <x:c r="K742" s="268"/>
      <x:c r="L742" s="268"/>
      <x:c r="M742" s="268"/>
      <x:c r="N742" s="268"/>
      <x:c r="O742" s="268"/>
      <x:c r="P742" s="268"/>
      <x:c r="Q742" s="268"/>
      <x:c r="R742" s="268"/>
      <x:c r="S742" s="268"/>
      <x:c r="T742" s="268"/>
      <x:c r="U742" s="268"/>
      <x:c r="V742" s="268"/>
      <x:c r="W742" s="268"/>
      <x:c r="X742" s="268"/>
      <x:c r="Y742" s="268"/>
      <x:c r="Z742" s="268"/>
      <x:c r="AA742" s="268"/>
      <x:c r="AB742" s="268"/>
      <x:c r="AC742" s="268"/>
    </x:row>
    <x:row r="743">
      <x:c r="A743" s="268"/>
      <x:c r="B743" s="268"/>
      <x:c r="C743" s="268"/>
      <x:c r="D743" s="268"/>
      <x:c r="E743" s="268"/>
      <x:c r="F743" s="268"/>
      <x:c r="G743" s="268"/>
      <x:c r="H743" s="268"/>
      <x:c r="I743" s="268"/>
      <x:c r="J743" s="268"/>
      <x:c r="K743" s="268"/>
      <x:c r="L743" s="268"/>
      <x:c r="M743" s="268"/>
      <x:c r="N743" s="268"/>
      <x:c r="O743" s="268"/>
      <x:c r="P743" s="268"/>
      <x:c r="Q743" s="268"/>
      <x:c r="R743" s="268"/>
      <x:c r="S743" s="268"/>
      <x:c r="T743" s="268"/>
      <x:c r="U743" s="268"/>
      <x:c r="V743" s="268"/>
      <x:c r="W743" s="268"/>
      <x:c r="X743" s="268"/>
      <x:c r="Y743" s="268"/>
      <x:c r="Z743" s="268"/>
      <x:c r="AA743" s="268"/>
      <x:c r="AB743" s="268"/>
      <x:c r="AC743" s="268"/>
    </x:row>
    <x:row r="744">
      <x:c r="A744" s="268"/>
      <x:c r="B744" s="268"/>
      <x:c r="C744" s="268"/>
      <x:c r="D744" s="268"/>
      <x:c r="E744" s="268"/>
      <x:c r="F744" s="268"/>
      <x:c r="G744" s="268"/>
      <x:c r="H744" s="268"/>
      <x:c r="I744" s="268"/>
      <x:c r="J744" s="268"/>
      <x:c r="K744" s="268"/>
      <x:c r="L744" s="268"/>
      <x:c r="M744" s="268"/>
      <x:c r="N744" s="268"/>
      <x:c r="O744" s="268"/>
      <x:c r="P744" s="268"/>
      <x:c r="Q744" s="268"/>
      <x:c r="R744" s="268"/>
      <x:c r="S744" s="268"/>
      <x:c r="T744" s="268"/>
      <x:c r="U744" s="268"/>
      <x:c r="V744" s="268"/>
      <x:c r="W744" s="268"/>
      <x:c r="X744" s="268"/>
      <x:c r="Y744" s="268"/>
      <x:c r="Z744" s="268"/>
      <x:c r="AA744" s="268"/>
      <x:c r="AB744" s="268"/>
      <x:c r="AC744" s="268"/>
    </x:row>
    <x:row r="745">
      <x:c r="A745" s="268"/>
      <x:c r="B745" s="268"/>
      <x:c r="C745" s="268"/>
      <x:c r="D745" s="268"/>
      <x:c r="E745" s="268"/>
      <x:c r="F745" s="268"/>
      <x:c r="G745" s="268"/>
      <x:c r="H745" s="268"/>
      <x:c r="I745" s="268"/>
      <x:c r="J745" s="268"/>
      <x:c r="K745" s="268"/>
      <x:c r="L745" s="268"/>
      <x:c r="M745" s="268"/>
      <x:c r="N745" s="268"/>
      <x:c r="O745" s="268"/>
      <x:c r="P745" s="268"/>
      <x:c r="Q745" s="268"/>
      <x:c r="R745" s="268"/>
      <x:c r="S745" s="268"/>
      <x:c r="T745" s="268"/>
      <x:c r="U745" s="268"/>
      <x:c r="V745" s="268"/>
      <x:c r="W745" s="268"/>
      <x:c r="X745" s="268"/>
      <x:c r="Y745" s="268"/>
      <x:c r="Z745" s="268"/>
      <x:c r="AA745" s="268"/>
      <x:c r="AB745" s="268"/>
      <x:c r="AC745" s="268"/>
    </x:row>
    <x:row r="746">
      <x:c r="A746" s="268"/>
      <x:c r="B746" s="268"/>
      <x:c r="C746" s="268"/>
      <x:c r="D746" s="268"/>
      <x:c r="E746" s="268"/>
      <x:c r="F746" s="268"/>
      <x:c r="G746" s="268"/>
      <x:c r="H746" s="268"/>
      <x:c r="I746" s="268"/>
      <x:c r="J746" s="268"/>
      <x:c r="K746" s="268"/>
      <x:c r="L746" s="268"/>
      <x:c r="M746" s="268"/>
      <x:c r="N746" s="268"/>
      <x:c r="O746" s="268"/>
      <x:c r="P746" s="268"/>
      <x:c r="Q746" s="268"/>
      <x:c r="R746" s="268"/>
      <x:c r="S746" s="268"/>
      <x:c r="T746" s="268"/>
      <x:c r="U746" s="268"/>
      <x:c r="V746" s="268"/>
      <x:c r="W746" s="268"/>
      <x:c r="X746" s="268"/>
      <x:c r="Y746" s="268"/>
      <x:c r="Z746" s="268"/>
      <x:c r="AA746" s="268"/>
      <x:c r="AB746" s="268"/>
      <x:c r="AC746" s="268"/>
    </x:row>
    <x:row r="747">
      <x:c r="A747" s="268"/>
      <x:c r="B747" s="268"/>
      <x:c r="C747" s="268"/>
      <x:c r="D747" s="268"/>
      <x:c r="E747" s="268"/>
      <x:c r="F747" s="268"/>
      <x:c r="G747" s="268"/>
      <x:c r="H747" s="268"/>
      <x:c r="I747" s="268"/>
      <x:c r="J747" s="268"/>
      <x:c r="K747" s="268"/>
      <x:c r="L747" s="268"/>
      <x:c r="M747" s="268"/>
      <x:c r="N747" s="268"/>
      <x:c r="O747" s="268"/>
      <x:c r="P747" s="268"/>
      <x:c r="Q747" s="268"/>
      <x:c r="R747" s="268"/>
      <x:c r="S747" s="268"/>
      <x:c r="T747" s="268"/>
      <x:c r="U747" s="268"/>
      <x:c r="V747" s="268"/>
      <x:c r="W747" s="268"/>
      <x:c r="X747" s="268"/>
      <x:c r="Y747" s="268"/>
      <x:c r="Z747" s="268"/>
      <x:c r="AA747" s="268"/>
      <x:c r="AB747" s="268"/>
      <x:c r="AC747" s="268"/>
    </x:row>
    <x:row r="748">
      <x:c r="A748" s="268"/>
      <x:c r="B748" s="268"/>
      <x:c r="C748" s="268"/>
      <x:c r="D748" s="268"/>
      <x:c r="E748" s="268"/>
      <x:c r="F748" s="268"/>
      <x:c r="G748" s="268"/>
      <x:c r="H748" s="268"/>
      <x:c r="I748" s="268"/>
      <x:c r="J748" s="268"/>
      <x:c r="K748" s="268"/>
      <x:c r="L748" s="268"/>
      <x:c r="M748" s="268"/>
      <x:c r="N748" s="268"/>
      <x:c r="O748" s="268"/>
      <x:c r="P748" s="268"/>
      <x:c r="Q748" s="268"/>
      <x:c r="R748" s="268"/>
      <x:c r="S748" s="268"/>
      <x:c r="T748" s="268"/>
      <x:c r="U748" s="268"/>
      <x:c r="V748" s="268"/>
      <x:c r="W748" s="268"/>
      <x:c r="X748" s="268"/>
      <x:c r="Y748" s="268"/>
      <x:c r="Z748" s="268"/>
      <x:c r="AA748" s="268"/>
      <x:c r="AB748" s="268"/>
      <x:c r="AC748" s="268"/>
    </x:row>
    <x:row r="749">
      <x:c r="A749" s="268"/>
      <x:c r="B749" s="268"/>
      <x:c r="C749" s="268"/>
      <x:c r="D749" s="268"/>
      <x:c r="E749" s="268"/>
      <x:c r="F749" s="268"/>
      <x:c r="G749" s="268"/>
      <x:c r="H749" s="268"/>
      <x:c r="I749" s="268"/>
      <x:c r="J749" s="268"/>
      <x:c r="K749" s="268"/>
      <x:c r="L749" s="268"/>
      <x:c r="M749" s="268"/>
      <x:c r="N749" s="268"/>
      <x:c r="O749" s="268"/>
      <x:c r="P749" s="268"/>
      <x:c r="Q749" s="268"/>
      <x:c r="R749" s="268"/>
      <x:c r="S749" s="268"/>
      <x:c r="T749" s="268"/>
      <x:c r="U749" s="268"/>
      <x:c r="V749" s="268"/>
      <x:c r="W749" s="268"/>
      <x:c r="X749" s="268"/>
      <x:c r="Y749" s="268"/>
      <x:c r="Z749" s="268"/>
      <x:c r="AA749" s="268"/>
      <x:c r="AB749" s="268"/>
      <x:c r="AC749" s="268"/>
    </x:row>
    <x:row r="750">
      <x:c r="A750" s="268"/>
      <x:c r="B750" s="268"/>
      <x:c r="C750" s="268"/>
      <x:c r="D750" s="268"/>
      <x:c r="E750" s="268"/>
      <x:c r="F750" s="268"/>
      <x:c r="G750" s="268"/>
      <x:c r="H750" s="268"/>
      <x:c r="I750" s="268"/>
      <x:c r="J750" s="268"/>
      <x:c r="K750" s="268"/>
      <x:c r="L750" s="268"/>
      <x:c r="M750" s="268"/>
      <x:c r="N750" s="268"/>
      <x:c r="O750" s="268"/>
      <x:c r="P750" s="268"/>
      <x:c r="Q750" s="268"/>
      <x:c r="R750" s="268"/>
      <x:c r="S750" s="268"/>
      <x:c r="T750" s="268"/>
      <x:c r="U750" s="268"/>
      <x:c r="V750" s="268"/>
      <x:c r="W750" s="268"/>
      <x:c r="X750" s="268"/>
      <x:c r="Y750" s="268"/>
      <x:c r="Z750" s="268"/>
      <x:c r="AA750" s="268"/>
      <x:c r="AB750" s="268"/>
      <x:c r="AC750" s="268"/>
    </x:row>
    <x:row r="751">
      <x:c r="A751" s="268"/>
      <x:c r="B751" s="268"/>
      <x:c r="C751" s="268"/>
      <x:c r="D751" s="268"/>
      <x:c r="E751" s="268"/>
      <x:c r="F751" s="268"/>
      <x:c r="G751" s="268"/>
      <x:c r="H751" s="268"/>
      <x:c r="I751" s="268"/>
      <x:c r="J751" s="268"/>
      <x:c r="K751" s="268"/>
      <x:c r="L751" s="268"/>
      <x:c r="M751" s="268"/>
      <x:c r="N751" s="268"/>
      <x:c r="O751" s="268"/>
      <x:c r="P751" s="268"/>
      <x:c r="Q751" s="268"/>
      <x:c r="R751" s="268"/>
      <x:c r="S751" s="268"/>
      <x:c r="T751" s="268"/>
      <x:c r="U751" s="268"/>
      <x:c r="V751" s="268"/>
      <x:c r="W751" s="268"/>
      <x:c r="X751" s="268"/>
      <x:c r="Y751" s="268"/>
      <x:c r="Z751" s="268"/>
      <x:c r="AA751" s="268"/>
      <x:c r="AB751" s="268"/>
      <x:c r="AC751" s="268"/>
    </x:row>
    <x:row r="752">
      <x:c r="A752" s="268"/>
      <x:c r="B752" s="268"/>
      <x:c r="C752" s="268"/>
      <x:c r="D752" s="268"/>
      <x:c r="E752" s="268"/>
      <x:c r="F752" s="268"/>
      <x:c r="G752" s="268"/>
      <x:c r="H752" s="268"/>
      <x:c r="I752" s="268"/>
      <x:c r="J752" s="268"/>
      <x:c r="K752" s="268"/>
      <x:c r="L752" s="268"/>
      <x:c r="M752" s="268"/>
      <x:c r="N752" s="268"/>
      <x:c r="O752" s="268"/>
      <x:c r="P752" s="268"/>
      <x:c r="Q752" s="268"/>
      <x:c r="R752" s="268"/>
      <x:c r="S752" s="268"/>
      <x:c r="T752" s="268"/>
      <x:c r="U752" s="268"/>
      <x:c r="V752" s="268"/>
      <x:c r="W752" s="268"/>
      <x:c r="X752" s="268"/>
      <x:c r="Y752" s="268"/>
      <x:c r="Z752" s="268"/>
      <x:c r="AA752" s="268"/>
      <x:c r="AB752" s="268"/>
      <x:c r="AC752" s="268"/>
    </x:row>
    <x:row r="753">
      <x:c r="A753" s="268"/>
      <x:c r="B753" s="268"/>
      <x:c r="C753" s="268"/>
      <x:c r="D753" s="268"/>
      <x:c r="E753" s="268"/>
      <x:c r="F753" s="268"/>
      <x:c r="G753" s="268"/>
      <x:c r="H753" s="268"/>
      <x:c r="I753" s="268"/>
      <x:c r="J753" s="268"/>
      <x:c r="K753" s="268"/>
      <x:c r="L753" s="268"/>
      <x:c r="M753" s="268"/>
      <x:c r="N753" s="268"/>
      <x:c r="O753" s="268"/>
      <x:c r="P753" s="268"/>
      <x:c r="Q753" s="268"/>
      <x:c r="R753" s="268"/>
      <x:c r="S753" s="268"/>
      <x:c r="T753" s="268"/>
      <x:c r="U753" s="268"/>
      <x:c r="V753" s="268"/>
      <x:c r="W753" s="268"/>
      <x:c r="X753" s="268"/>
      <x:c r="Y753" s="268"/>
      <x:c r="Z753" s="268"/>
      <x:c r="AA753" s="268"/>
      <x:c r="AB753" s="268"/>
      <x:c r="AC753" s="268"/>
    </x:row>
    <x:row r="754">
      <x:c r="A754" s="268"/>
      <x:c r="B754" s="268"/>
      <x:c r="C754" s="268"/>
      <x:c r="D754" s="268"/>
      <x:c r="E754" s="268"/>
      <x:c r="F754" s="268"/>
      <x:c r="G754" s="268"/>
      <x:c r="H754" s="268"/>
      <x:c r="I754" s="268"/>
      <x:c r="J754" s="268"/>
      <x:c r="K754" s="268"/>
      <x:c r="L754" s="268"/>
      <x:c r="M754" s="268"/>
      <x:c r="N754" s="268"/>
      <x:c r="O754" s="268"/>
      <x:c r="P754" s="268"/>
      <x:c r="Q754" s="268"/>
      <x:c r="R754" s="268"/>
      <x:c r="S754" s="268"/>
      <x:c r="T754" s="268"/>
      <x:c r="U754" s="268"/>
      <x:c r="V754" s="268"/>
      <x:c r="W754" s="268"/>
      <x:c r="X754" s="268"/>
      <x:c r="Y754" s="268"/>
      <x:c r="Z754" s="268"/>
      <x:c r="AA754" s="268"/>
      <x:c r="AB754" s="268"/>
      <x:c r="AC754" s="268"/>
    </x:row>
    <x:row r="755">
      <x:c r="A755" s="268"/>
      <x:c r="B755" s="268"/>
      <x:c r="C755" s="268"/>
      <x:c r="D755" s="268"/>
      <x:c r="E755" s="268"/>
      <x:c r="F755" s="268"/>
      <x:c r="G755" s="268"/>
      <x:c r="H755" s="268"/>
      <x:c r="I755" s="268"/>
      <x:c r="J755" s="268"/>
      <x:c r="K755" s="268"/>
      <x:c r="L755" s="268"/>
      <x:c r="M755" s="268"/>
      <x:c r="N755" s="268"/>
      <x:c r="O755" s="268"/>
      <x:c r="P755" s="268"/>
      <x:c r="Q755" s="268"/>
      <x:c r="R755" s="268"/>
      <x:c r="S755" s="268"/>
      <x:c r="T755" s="268"/>
      <x:c r="U755" s="268"/>
      <x:c r="V755" s="268"/>
      <x:c r="W755" s="268"/>
      <x:c r="X755" s="268"/>
      <x:c r="Y755" s="268"/>
      <x:c r="Z755" s="268"/>
      <x:c r="AA755" s="268"/>
      <x:c r="AB755" s="268"/>
      <x:c r="AC755" s="268"/>
    </x:row>
    <x:row r="756">
      <x:c r="A756" s="268"/>
      <x:c r="B756" s="268"/>
      <x:c r="C756" s="268"/>
      <x:c r="D756" s="268"/>
      <x:c r="E756" s="268"/>
      <x:c r="F756" s="268"/>
      <x:c r="G756" s="268"/>
      <x:c r="H756" s="268"/>
      <x:c r="I756" s="268"/>
      <x:c r="J756" s="268"/>
      <x:c r="K756" s="268"/>
      <x:c r="L756" s="268"/>
      <x:c r="M756" s="268"/>
      <x:c r="N756" s="268"/>
      <x:c r="O756" s="268"/>
      <x:c r="P756" s="268"/>
      <x:c r="Q756" s="268"/>
      <x:c r="R756" s="268"/>
      <x:c r="S756" s="268"/>
      <x:c r="T756" s="268"/>
      <x:c r="U756" s="268"/>
      <x:c r="V756" s="268"/>
      <x:c r="W756" s="268"/>
      <x:c r="X756" s="268"/>
      <x:c r="Y756" s="268"/>
      <x:c r="Z756" s="268"/>
      <x:c r="AA756" s="268"/>
      <x:c r="AB756" s="268"/>
      <x:c r="AC756" s="268"/>
    </x:row>
    <x:row r="757">
      <x:c r="A757" s="268"/>
      <x:c r="B757" s="268"/>
      <x:c r="C757" s="268"/>
      <x:c r="D757" s="268"/>
      <x:c r="E757" s="268"/>
      <x:c r="F757" s="268"/>
      <x:c r="G757" s="268"/>
      <x:c r="H757" s="268"/>
      <x:c r="I757" s="268"/>
      <x:c r="J757" s="268"/>
      <x:c r="K757" s="268"/>
      <x:c r="L757" s="268"/>
      <x:c r="M757" s="268"/>
      <x:c r="N757" s="268"/>
      <x:c r="O757" s="268"/>
      <x:c r="P757" s="268"/>
      <x:c r="Q757" s="268"/>
      <x:c r="R757" s="268"/>
      <x:c r="S757" s="268"/>
      <x:c r="T757" s="268"/>
      <x:c r="U757" s="268"/>
      <x:c r="V757" s="268"/>
      <x:c r="W757" s="268"/>
      <x:c r="X757" s="268"/>
      <x:c r="Y757" s="268"/>
      <x:c r="Z757" s="268"/>
      <x:c r="AA757" s="268"/>
      <x:c r="AB757" s="268"/>
      <x:c r="AC757" s="268"/>
    </x:row>
    <x:row r="758">
      <x:c r="A758" s="268"/>
      <x:c r="B758" s="268"/>
      <x:c r="C758" s="268"/>
      <x:c r="D758" s="268"/>
      <x:c r="E758" s="268"/>
      <x:c r="F758" s="268"/>
      <x:c r="G758" s="268"/>
      <x:c r="H758" s="268"/>
      <x:c r="I758" s="268"/>
      <x:c r="J758" s="268"/>
      <x:c r="K758" s="268"/>
      <x:c r="L758" s="268"/>
      <x:c r="M758" s="268"/>
      <x:c r="N758" s="268"/>
      <x:c r="O758" s="268"/>
      <x:c r="P758" s="268"/>
      <x:c r="Q758" s="268"/>
      <x:c r="R758" s="268"/>
      <x:c r="S758" s="268"/>
      <x:c r="T758" s="268"/>
      <x:c r="U758" s="268"/>
      <x:c r="V758" s="268"/>
      <x:c r="W758" s="268"/>
      <x:c r="X758" s="268"/>
      <x:c r="Y758" s="268"/>
      <x:c r="Z758" s="268"/>
      <x:c r="AA758" s="268"/>
      <x:c r="AB758" s="268"/>
      <x:c r="AC758" s="268"/>
    </x:row>
    <x:row r="759">
      <x:c r="A759" s="268"/>
      <x:c r="B759" s="268"/>
      <x:c r="C759" s="268"/>
      <x:c r="D759" s="268"/>
      <x:c r="E759" s="268"/>
      <x:c r="F759" s="268"/>
      <x:c r="G759" s="268"/>
      <x:c r="H759" s="268"/>
      <x:c r="I759" s="268"/>
      <x:c r="J759" s="268"/>
      <x:c r="K759" s="268"/>
      <x:c r="L759" s="268"/>
      <x:c r="M759" s="268"/>
      <x:c r="N759" s="268"/>
      <x:c r="O759" s="268"/>
      <x:c r="P759" s="268"/>
      <x:c r="Q759" s="268"/>
      <x:c r="R759" s="268"/>
      <x:c r="S759" s="268"/>
      <x:c r="T759" s="268"/>
      <x:c r="U759" s="268"/>
      <x:c r="V759" s="268"/>
      <x:c r="W759" s="268"/>
      <x:c r="X759" s="268"/>
      <x:c r="Y759" s="268"/>
      <x:c r="Z759" s="268"/>
      <x:c r="AA759" s="268"/>
      <x:c r="AB759" s="268"/>
      <x:c r="AC759" s="268"/>
    </x:row>
    <x:row r="760">
      <x:c r="A760" s="268"/>
      <x:c r="B760" s="268"/>
      <x:c r="C760" s="268"/>
      <x:c r="D760" s="268"/>
      <x:c r="E760" s="268"/>
      <x:c r="F760" s="268"/>
      <x:c r="G760" s="268"/>
      <x:c r="H760" s="268"/>
      <x:c r="I760" s="268"/>
      <x:c r="J760" s="268"/>
      <x:c r="K760" s="268"/>
      <x:c r="L760" s="268"/>
      <x:c r="M760" s="268"/>
      <x:c r="N760" s="268"/>
      <x:c r="O760" s="268"/>
      <x:c r="P760" s="268"/>
      <x:c r="Q760" s="268"/>
      <x:c r="R760" s="268"/>
      <x:c r="S760" s="268"/>
      <x:c r="T760" s="268"/>
      <x:c r="U760" s="268"/>
      <x:c r="V760" s="268"/>
      <x:c r="W760" s="268"/>
      <x:c r="X760" s="268"/>
      <x:c r="Y760" s="268"/>
      <x:c r="Z760" s="268"/>
      <x:c r="AA760" s="268"/>
      <x:c r="AB760" s="268"/>
      <x:c r="AC760" s="268"/>
    </x:row>
    <x:row r="761">
      <x:c r="A761" s="268"/>
      <x:c r="B761" s="268"/>
      <x:c r="C761" s="268"/>
      <x:c r="D761" s="268"/>
      <x:c r="E761" s="268"/>
      <x:c r="F761" s="268"/>
      <x:c r="G761" s="268"/>
      <x:c r="H761" s="268"/>
      <x:c r="I761" s="268"/>
      <x:c r="J761" s="268"/>
      <x:c r="K761" s="268"/>
      <x:c r="L761" s="268"/>
      <x:c r="M761" s="268"/>
      <x:c r="N761" s="268"/>
      <x:c r="O761" s="268"/>
      <x:c r="P761" s="268"/>
      <x:c r="Q761" s="268"/>
      <x:c r="R761" s="268"/>
      <x:c r="S761" s="268"/>
      <x:c r="T761" s="268"/>
      <x:c r="U761" s="268"/>
      <x:c r="V761" s="268"/>
      <x:c r="W761" s="268"/>
      <x:c r="X761" s="268"/>
      <x:c r="Y761" s="268"/>
      <x:c r="Z761" s="268"/>
      <x:c r="AA761" s="268"/>
      <x:c r="AB761" s="268"/>
      <x:c r="AC761" s="268"/>
    </x:row>
    <x:row r="762">
      <x:c r="A762" s="268"/>
      <x:c r="B762" s="268"/>
      <x:c r="C762" s="268"/>
      <x:c r="D762" s="268"/>
      <x:c r="E762" s="268"/>
      <x:c r="F762" s="268"/>
      <x:c r="G762" s="268"/>
      <x:c r="H762" s="268"/>
      <x:c r="I762" s="268"/>
      <x:c r="J762" s="268"/>
      <x:c r="K762" s="268"/>
      <x:c r="L762" s="268"/>
      <x:c r="M762" s="268"/>
      <x:c r="N762" s="268"/>
      <x:c r="O762" s="268"/>
      <x:c r="P762" s="268"/>
      <x:c r="Q762" s="268"/>
      <x:c r="R762" s="268"/>
      <x:c r="S762" s="268"/>
      <x:c r="T762" s="268"/>
      <x:c r="U762" s="268"/>
      <x:c r="V762" s="268"/>
      <x:c r="W762" s="268"/>
      <x:c r="X762" s="268"/>
      <x:c r="Y762" s="268"/>
      <x:c r="Z762" s="268"/>
      <x:c r="AA762" s="268"/>
      <x:c r="AB762" s="268"/>
      <x:c r="AC762" s="268"/>
    </x:row>
    <x:row r="763">
      <x:c r="A763" s="268"/>
      <x:c r="B763" s="268"/>
      <x:c r="C763" s="268"/>
      <x:c r="D763" s="268"/>
      <x:c r="E763" s="268"/>
      <x:c r="F763" s="268"/>
      <x:c r="G763" s="268"/>
      <x:c r="H763" s="268"/>
      <x:c r="I763" s="268"/>
      <x:c r="J763" s="268"/>
      <x:c r="K763" s="268"/>
      <x:c r="L763" s="268"/>
      <x:c r="M763" s="268"/>
      <x:c r="N763" s="268"/>
      <x:c r="O763" s="268"/>
      <x:c r="P763" s="268"/>
      <x:c r="Q763" s="268"/>
      <x:c r="R763" s="268"/>
      <x:c r="S763" s="268"/>
      <x:c r="T763" s="268"/>
      <x:c r="U763" s="268"/>
      <x:c r="V763" s="268"/>
      <x:c r="W763" s="268"/>
      <x:c r="X763" s="268"/>
      <x:c r="Y763" s="268"/>
      <x:c r="Z763" s="268"/>
      <x:c r="AA763" s="268"/>
      <x:c r="AB763" s="268"/>
      <x:c r="AC763" s="268"/>
    </x:row>
    <x:row r="764">
      <x:c r="A764" s="268"/>
      <x:c r="B764" s="268"/>
      <x:c r="C764" s="268"/>
      <x:c r="D764" s="268"/>
      <x:c r="E764" s="268"/>
      <x:c r="F764" s="268"/>
      <x:c r="G764" s="268"/>
      <x:c r="H764" s="268"/>
      <x:c r="I764" s="268"/>
      <x:c r="J764" s="268"/>
      <x:c r="K764" s="268"/>
      <x:c r="L764" s="268"/>
      <x:c r="M764" s="268"/>
      <x:c r="N764" s="268"/>
      <x:c r="O764" s="268"/>
      <x:c r="P764" s="268"/>
      <x:c r="Q764" s="268"/>
      <x:c r="R764" s="268"/>
      <x:c r="S764" s="268"/>
      <x:c r="T764" s="268"/>
      <x:c r="U764" s="268"/>
      <x:c r="V764" s="268"/>
      <x:c r="W764" s="268"/>
      <x:c r="X764" s="268"/>
      <x:c r="Y764" s="268"/>
      <x:c r="Z764" s="268"/>
      <x:c r="AA764" s="268"/>
      <x:c r="AB764" s="268"/>
      <x:c r="AC764" s="268"/>
    </x:row>
    <x:row r="765">
      <x:c r="A765" s="268"/>
      <x:c r="B765" s="268"/>
      <x:c r="C765" s="268"/>
      <x:c r="D765" s="268"/>
      <x:c r="E765" s="268"/>
      <x:c r="F765" s="268"/>
      <x:c r="G765" s="268"/>
      <x:c r="H765" s="268"/>
      <x:c r="I765" s="268"/>
      <x:c r="J765" s="268"/>
      <x:c r="K765" s="268"/>
      <x:c r="L765" s="268"/>
      <x:c r="M765" s="268"/>
      <x:c r="N765" s="268"/>
      <x:c r="O765" s="268"/>
      <x:c r="P765" s="268"/>
      <x:c r="Q765" s="268"/>
      <x:c r="R765" s="268"/>
      <x:c r="S765" s="268"/>
      <x:c r="T765" s="268"/>
      <x:c r="U765" s="268"/>
      <x:c r="V765" s="268"/>
      <x:c r="W765" s="268"/>
      <x:c r="X765" s="268"/>
      <x:c r="Y765" s="268"/>
      <x:c r="Z765" s="268"/>
      <x:c r="AA765" s="268"/>
      <x:c r="AB765" s="268"/>
      <x:c r="AC765" s="268"/>
    </x:row>
    <x:row r="766">
      <x:c r="A766" s="268"/>
      <x:c r="B766" s="268"/>
      <x:c r="C766" s="268"/>
      <x:c r="D766" s="268"/>
      <x:c r="E766" s="268"/>
      <x:c r="F766" s="268"/>
      <x:c r="G766" s="268"/>
      <x:c r="H766" s="268"/>
      <x:c r="I766" s="268"/>
      <x:c r="J766" s="268"/>
      <x:c r="K766" s="268"/>
      <x:c r="L766" s="268"/>
      <x:c r="M766" s="268"/>
      <x:c r="N766" s="268"/>
      <x:c r="O766" s="268"/>
      <x:c r="P766" s="268"/>
      <x:c r="Q766" s="268"/>
      <x:c r="R766" s="268"/>
      <x:c r="S766" s="268"/>
      <x:c r="T766" s="268"/>
      <x:c r="U766" s="268"/>
      <x:c r="V766" s="268"/>
      <x:c r="W766" s="268"/>
      <x:c r="X766" s="268"/>
      <x:c r="Y766" s="268"/>
      <x:c r="Z766" s="268"/>
      <x:c r="AA766" s="268"/>
      <x:c r="AB766" s="268"/>
      <x:c r="AC766" s="268"/>
    </x:row>
    <x:row r="767">
      <x:c r="A767" s="268"/>
      <x:c r="B767" s="268"/>
      <x:c r="C767" s="268"/>
      <x:c r="D767" s="268"/>
      <x:c r="E767" s="268"/>
      <x:c r="F767" s="268"/>
      <x:c r="G767" s="268"/>
      <x:c r="H767" s="268"/>
      <x:c r="I767" s="268"/>
      <x:c r="J767" s="268"/>
      <x:c r="K767" s="268"/>
      <x:c r="L767" s="268"/>
      <x:c r="M767" s="268"/>
      <x:c r="N767" s="268"/>
      <x:c r="O767" s="268"/>
      <x:c r="P767" s="268"/>
      <x:c r="Q767" s="268"/>
      <x:c r="R767" s="268"/>
      <x:c r="S767" s="268"/>
      <x:c r="T767" s="268"/>
      <x:c r="U767" s="268"/>
      <x:c r="V767" s="268"/>
      <x:c r="W767" s="268"/>
      <x:c r="X767" s="268"/>
      <x:c r="Y767" s="268"/>
      <x:c r="Z767" s="268"/>
      <x:c r="AA767" s="268"/>
      <x:c r="AB767" s="268"/>
      <x:c r="AC767" s="268"/>
    </x:row>
    <x:row r="768">
      <x:c r="A768" s="268"/>
      <x:c r="B768" s="268"/>
      <x:c r="C768" s="268"/>
      <x:c r="D768" s="268"/>
      <x:c r="E768" s="268"/>
      <x:c r="F768" s="268"/>
      <x:c r="G768" s="268"/>
      <x:c r="H768" s="268"/>
      <x:c r="I768" s="268"/>
      <x:c r="J768" s="268"/>
      <x:c r="K768" s="268"/>
      <x:c r="L768" s="268"/>
      <x:c r="M768" s="268"/>
      <x:c r="N768" s="268"/>
      <x:c r="O768" s="268"/>
      <x:c r="P768" s="268"/>
      <x:c r="Q768" s="268"/>
      <x:c r="R768" s="268"/>
      <x:c r="S768" s="268"/>
      <x:c r="T768" s="268"/>
      <x:c r="U768" s="268"/>
      <x:c r="V768" s="268"/>
      <x:c r="W768" s="268"/>
      <x:c r="X768" s="268"/>
      <x:c r="Y768" s="268"/>
      <x:c r="Z768" s="268"/>
      <x:c r="AA768" s="268"/>
      <x:c r="AB768" s="268"/>
      <x:c r="AC768" s="268"/>
    </x:row>
    <x:row r="769">
      <x:c r="A769" s="268"/>
      <x:c r="B769" s="268"/>
      <x:c r="C769" s="268"/>
      <x:c r="D769" s="268"/>
      <x:c r="E769" s="268"/>
      <x:c r="F769" s="268"/>
      <x:c r="G769" s="268"/>
      <x:c r="H769" s="268"/>
      <x:c r="I769" s="268"/>
      <x:c r="J769" s="268"/>
      <x:c r="K769" s="268"/>
      <x:c r="L769" s="268"/>
      <x:c r="M769" s="268"/>
      <x:c r="N769" s="268"/>
      <x:c r="O769" s="268"/>
      <x:c r="P769" s="268"/>
      <x:c r="Q769" s="268"/>
      <x:c r="R769" s="268"/>
      <x:c r="S769" s="268"/>
      <x:c r="T769" s="268"/>
      <x:c r="U769" s="268"/>
      <x:c r="V769" s="268"/>
      <x:c r="W769" s="268"/>
      <x:c r="X769" s="268"/>
      <x:c r="Y769" s="268"/>
      <x:c r="Z769" s="268"/>
      <x:c r="AA769" s="268"/>
      <x:c r="AB769" s="268"/>
      <x:c r="AC769" s="268"/>
    </x:row>
    <x:row r="770">
      <x:c r="A770" s="268"/>
      <x:c r="B770" s="268"/>
      <x:c r="C770" s="268"/>
      <x:c r="D770" s="268"/>
      <x:c r="E770" s="268"/>
      <x:c r="F770" s="268"/>
      <x:c r="G770" s="268"/>
      <x:c r="H770" s="268"/>
      <x:c r="I770" s="268"/>
      <x:c r="J770" s="268"/>
      <x:c r="K770" s="268"/>
      <x:c r="L770" s="268"/>
      <x:c r="M770" s="268"/>
      <x:c r="N770" s="268"/>
      <x:c r="O770" s="268"/>
      <x:c r="P770" s="268"/>
      <x:c r="Q770" s="268"/>
      <x:c r="R770" s="268"/>
      <x:c r="S770" s="268"/>
      <x:c r="T770" s="268"/>
      <x:c r="U770" s="268"/>
      <x:c r="V770" s="268"/>
      <x:c r="W770" s="268"/>
      <x:c r="X770" s="268"/>
      <x:c r="Y770" s="268"/>
      <x:c r="Z770" s="268"/>
      <x:c r="AA770" s="268"/>
      <x:c r="AB770" s="268"/>
      <x:c r="AC770" s="268"/>
    </x:row>
    <x:row r="771">
      <x:c r="A771" s="268"/>
      <x:c r="B771" s="268"/>
      <x:c r="C771" s="268"/>
      <x:c r="D771" s="268"/>
      <x:c r="E771" s="268"/>
      <x:c r="F771" s="268"/>
      <x:c r="G771" s="268"/>
      <x:c r="H771" s="268"/>
      <x:c r="I771" s="268"/>
      <x:c r="J771" s="268"/>
      <x:c r="K771" s="268"/>
      <x:c r="L771" s="268"/>
      <x:c r="M771" s="268"/>
      <x:c r="N771" s="268"/>
      <x:c r="O771" s="268"/>
      <x:c r="P771" s="268"/>
      <x:c r="Q771" s="268"/>
      <x:c r="R771" s="268"/>
      <x:c r="S771" s="268"/>
      <x:c r="T771" s="268"/>
      <x:c r="U771" s="268"/>
      <x:c r="V771" s="268"/>
      <x:c r="W771" s="268"/>
      <x:c r="X771" s="268"/>
      <x:c r="Y771" s="268"/>
      <x:c r="Z771" s="268"/>
      <x:c r="AA771" s="268"/>
      <x:c r="AB771" s="268"/>
      <x:c r="AC771" s="268"/>
    </x:row>
    <x:row r="772">
      <x:c r="A772" s="268"/>
      <x:c r="B772" s="268"/>
      <x:c r="C772" s="268"/>
      <x:c r="D772" s="268"/>
      <x:c r="E772" s="268"/>
      <x:c r="F772" s="268"/>
      <x:c r="G772" s="268"/>
      <x:c r="H772" s="268"/>
      <x:c r="I772" s="268"/>
      <x:c r="J772" s="268"/>
      <x:c r="K772" s="268"/>
      <x:c r="L772" s="268"/>
      <x:c r="M772" s="268"/>
      <x:c r="N772" s="268"/>
      <x:c r="O772" s="268"/>
      <x:c r="P772" s="268"/>
      <x:c r="Q772" s="268"/>
      <x:c r="R772" s="268"/>
      <x:c r="S772" s="268"/>
      <x:c r="T772" s="268"/>
      <x:c r="U772" s="268"/>
      <x:c r="V772" s="268"/>
      <x:c r="W772" s="268"/>
      <x:c r="X772" s="268"/>
      <x:c r="Y772" s="268"/>
      <x:c r="Z772" s="268"/>
      <x:c r="AA772" s="268"/>
      <x:c r="AB772" s="268"/>
      <x:c r="AC772" s="268"/>
    </x:row>
    <x:row r="773">
      <x:c r="A773" s="268"/>
      <x:c r="B773" s="268"/>
      <x:c r="C773" s="268"/>
      <x:c r="D773" s="268"/>
      <x:c r="E773" s="268"/>
      <x:c r="F773" s="268"/>
      <x:c r="G773" s="268"/>
      <x:c r="H773" s="268"/>
      <x:c r="I773" s="268"/>
      <x:c r="J773" s="268"/>
      <x:c r="K773" s="268"/>
      <x:c r="L773" s="268"/>
      <x:c r="M773" s="268"/>
      <x:c r="N773" s="268"/>
      <x:c r="O773" s="268"/>
      <x:c r="P773" s="268"/>
      <x:c r="Q773" s="268"/>
      <x:c r="R773" s="268"/>
      <x:c r="S773" s="268"/>
      <x:c r="T773" s="268"/>
      <x:c r="U773" s="268"/>
      <x:c r="V773" s="268"/>
      <x:c r="W773" s="268"/>
      <x:c r="X773" s="268"/>
      <x:c r="Y773" s="268"/>
      <x:c r="Z773" s="268"/>
      <x:c r="AA773" s="268"/>
      <x:c r="AB773" s="268"/>
      <x:c r="AC773" s="268"/>
    </x:row>
    <x:row r="774">
      <x:c r="A774" s="268"/>
      <x:c r="B774" s="268"/>
      <x:c r="C774" s="268"/>
      <x:c r="D774" s="268"/>
      <x:c r="E774" s="268"/>
      <x:c r="F774" s="268"/>
      <x:c r="G774" s="268"/>
      <x:c r="H774" s="268"/>
      <x:c r="I774" s="268"/>
      <x:c r="J774" s="268"/>
      <x:c r="K774" s="268"/>
      <x:c r="L774" s="268"/>
      <x:c r="M774" s="268"/>
      <x:c r="N774" s="268"/>
      <x:c r="O774" s="268"/>
      <x:c r="P774" s="268"/>
      <x:c r="Q774" s="268"/>
      <x:c r="R774" s="268"/>
      <x:c r="S774" s="268"/>
      <x:c r="T774" s="268"/>
      <x:c r="U774" s="268"/>
      <x:c r="V774" s="268"/>
      <x:c r="W774" s="268"/>
      <x:c r="X774" s="268"/>
      <x:c r="Y774" s="268"/>
      <x:c r="Z774" s="268"/>
      <x:c r="AA774" s="268"/>
      <x:c r="AB774" s="268"/>
      <x:c r="AC774" s="268"/>
    </x:row>
    <x:row r="775">
      <x:c r="A775" s="268"/>
      <x:c r="B775" s="268"/>
      <x:c r="C775" s="268"/>
      <x:c r="D775" s="268"/>
      <x:c r="E775" s="268"/>
      <x:c r="F775" s="268"/>
      <x:c r="G775" s="268"/>
      <x:c r="H775" s="268"/>
      <x:c r="I775" s="268"/>
      <x:c r="J775" s="268"/>
      <x:c r="K775" s="268"/>
      <x:c r="L775" s="268"/>
      <x:c r="M775" s="268"/>
      <x:c r="N775" s="268"/>
      <x:c r="O775" s="268"/>
      <x:c r="P775" s="268"/>
      <x:c r="Q775" s="268"/>
      <x:c r="R775" s="268"/>
      <x:c r="S775" s="268"/>
      <x:c r="T775" s="268"/>
      <x:c r="U775" s="268"/>
      <x:c r="V775" s="268"/>
      <x:c r="W775" s="268"/>
      <x:c r="X775" s="268"/>
      <x:c r="Y775" s="268"/>
      <x:c r="Z775" s="268"/>
      <x:c r="AA775" s="268"/>
      <x:c r="AB775" s="268"/>
      <x:c r="AC775" s="268"/>
    </x:row>
    <x:row r="776">
      <x:c r="A776" s="268"/>
      <x:c r="B776" s="268"/>
      <x:c r="C776" s="268"/>
      <x:c r="D776" s="268"/>
      <x:c r="E776" s="268"/>
      <x:c r="F776" s="268"/>
      <x:c r="G776" s="268"/>
      <x:c r="H776" s="268"/>
      <x:c r="I776" s="268"/>
      <x:c r="J776" s="268"/>
      <x:c r="K776" s="268"/>
      <x:c r="L776" s="268"/>
      <x:c r="M776" s="268"/>
      <x:c r="N776" s="268"/>
      <x:c r="O776" s="268"/>
      <x:c r="P776" s="268"/>
      <x:c r="Q776" s="268"/>
      <x:c r="R776" s="268"/>
      <x:c r="S776" s="268"/>
      <x:c r="T776" s="268"/>
      <x:c r="U776" s="268"/>
      <x:c r="V776" s="268"/>
      <x:c r="W776" s="268"/>
      <x:c r="X776" s="268"/>
      <x:c r="Y776" s="268"/>
      <x:c r="Z776" s="268"/>
      <x:c r="AA776" s="268"/>
      <x:c r="AB776" s="268"/>
      <x:c r="AC776" s="268"/>
    </x:row>
    <x:row r="777">
      <x:c r="A777" s="268"/>
      <x:c r="B777" s="268"/>
      <x:c r="C777" s="268"/>
      <x:c r="D777" s="268"/>
      <x:c r="E777" s="268"/>
      <x:c r="F777" s="268"/>
      <x:c r="G777" s="268"/>
      <x:c r="H777" s="268"/>
      <x:c r="I777" s="268"/>
      <x:c r="J777" s="268"/>
      <x:c r="K777" s="268"/>
      <x:c r="L777" s="268"/>
      <x:c r="M777" s="268"/>
      <x:c r="N777" s="268"/>
      <x:c r="O777" s="268"/>
      <x:c r="P777" s="268"/>
      <x:c r="Q777" s="268"/>
      <x:c r="R777" s="268"/>
      <x:c r="S777" s="268"/>
      <x:c r="T777" s="268"/>
      <x:c r="U777" s="268"/>
      <x:c r="V777" s="268"/>
      <x:c r="W777" s="268"/>
      <x:c r="X777" s="268"/>
      <x:c r="Y777" s="268"/>
      <x:c r="Z777" s="268"/>
      <x:c r="AA777" s="268"/>
      <x:c r="AB777" s="268"/>
      <x:c r="AC777" s="268"/>
    </x:row>
    <x:row r="778">
      <x:c r="A778" s="268"/>
      <x:c r="B778" s="268"/>
      <x:c r="C778" s="268"/>
      <x:c r="D778" s="268"/>
      <x:c r="E778" s="268"/>
      <x:c r="F778" s="268"/>
      <x:c r="G778" s="268"/>
      <x:c r="H778" s="268"/>
      <x:c r="I778" s="268"/>
      <x:c r="J778" s="268"/>
      <x:c r="K778" s="268"/>
      <x:c r="L778" s="268"/>
      <x:c r="M778" s="268"/>
      <x:c r="N778" s="268"/>
      <x:c r="O778" s="268"/>
      <x:c r="P778" s="268"/>
      <x:c r="Q778" s="268"/>
      <x:c r="R778" s="268"/>
      <x:c r="S778" s="268"/>
      <x:c r="T778" s="268"/>
      <x:c r="U778" s="268"/>
      <x:c r="V778" s="268"/>
      <x:c r="W778" s="268"/>
      <x:c r="X778" s="268"/>
      <x:c r="Y778" s="268"/>
      <x:c r="Z778" s="268"/>
      <x:c r="AA778" s="268"/>
      <x:c r="AB778" s="268"/>
      <x:c r="AC778" s="268"/>
    </x:row>
    <x:row r="779">
      <x:c r="A779" s="268"/>
      <x:c r="B779" s="268"/>
      <x:c r="C779" s="268"/>
      <x:c r="D779" s="268"/>
      <x:c r="E779" s="268"/>
      <x:c r="F779" s="268"/>
      <x:c r="G779" s="268"/>
      <x:c r="H779" s="268"/>
      <x:c r="I779" s="268"/>
      <x:c r="J779" s="268"/>
      <x:c r="K779" s="268"/>
      <x:c r="L779" s="268"/>
      <x:c r="M779" s="268"/>
      <x:c r="N779" s="268"/>
      <x:c r="O779" s="268"/>
      <x:c r="P779" s="268"/>
      <x:c r="Q779" s="268"/>
      <x:c r="R779" s="268"/>
      <x:c r="S779" s="268"/>
      <x:c r="T779" s="268"/>
      <x:c r="U779" s="268"/>
      <x:c r="V779" s="268"/>
      <x:c r="W779" s="268"/>
      <x:c r="X779" s="268"/>
      <x:c r="Y779" s="268"/>
      <x:c r="Z779" s="268"/>
      <x:c r="AA779" s="268"/>
      <x:c r="AB779" s="268"/>
      <x:c r="AC779" s="268"/>
    </x:row>
    <x:row r="780">
      <x:c r="A780" s="268"/>
      <x:c r="B780" s="268"/>
      <x:c r="C780" s="268"/>
      <x:c r="D780" s="268"/>
      <x:c r="E780" s="268"/>
      <x:c r="F780" s="268"/>
      <x:c r="G780" s="268"/>
      <x:c r="H780" s="268"/>
      <x:c r="I780" s="268"/>
      <x:c r="J780" s="268"/>
      <x:c r="K780" s="268"/>
      <x:c r="L780" s="268"/>
      <x:c r="M780" s="268"/>
      <x:c r="N780" s="268"/>
      <x:c r="O780" s="268"/>
      <x:c r="P780" s="268"/>
      <x:c r="Q780" s="268"/>
      <x:c r="R780" s="268"/>
      <x:c r="S780" s="268"/>
      <x:c r="T780" s="268"/>
      <x:c r="U780" s="268"/>
      <x:c r="V780" s="268"/>
      <x:c r="W780" s="268"/>
      <x:c r="X780" s="268"/>
      <x:c r="Y780" s="268"/>
      <x:c r="Z780" s="268"/>
      <x:c r="AA780" s="268"/>
      <x:c r="AB780" s="268"/>
      <x:c r="AC780" s="268"/>
    </x:row>
    <x:row r="781">
      <x:c r="A781" s="268"/>
      <x:c r="B781" s="268"/>
      <x:c r="C781" s="268"/>
      <x:c r="D781" s="268"/>
      <x:c r="E781" s="268"/>
      <x:c r="F781" s="268"/>
      <x:c r="G781" s="268"/>
      <x:c r="H781" s="268"/>
      <x:c r="I781" s="268"/>
      <x:c r="J781" s="268"/>
      <x:c r="K781" s="268"/>
      <x:c r="L781" s="268"/>
      <x:c r="M781" s="268"/>
      <x:c r="N781" s="268"/>
      <x:c r="O781" s="268"/>
      <x:c r="P781" s="268"/>
      <x:c r="Q781" s="268"/>
      <x:c r="R781" s="268"/>
      <x:c r="S781" s="268"/>
      <x:c r="T781" s="268"/>
      <x:c r="U781" s="268"/>
      <x:c r="V781" s="268"/>
      <x:c r="W781" s="268"/>
      <x:c r="X781" s="268"/>
      <x:c r="Y781" s="268"/>
      <x:c r="Z781" s="268"/>
      <x:c r="AA781" s="268"/>
      <x:c r="AB781" s="268"/>
      <x:c r="AC781" s="268"/>
    </x:row>
    <x:row r="782">
      <x:c r="A782" s="268"/>
      <x:c r="B782" s="268"/>
      <x:c r="C782" s="268"/>
      <x:c r="D782" s="268"/>
      <x:c r="E782" s="268"/>
      <x:c r="F782" s="268"/>
      <x:c r="G782" s="268"/>
      <x:c r="H782" s="268"/>
      <x:c r="I782" s="268"/>
      <x:c r="J782" s="268"/>
      <x:c r="K782" s="268"/>
      <x:c r="L782" s="268"/>
      <x:c r="M782" s="268"/>
      <x:c r="N782" s="268"/>
      <x:c r="O782" s="268"/>
      <x:c r="P782" s="268"/>
      <x:c r="Q782" s="268"/>
      <x:c r="R782" s="268"/>
      <x:c r="S782" s="268"/>
      <x:c r="T782" s="268"/>
      <x:c r="U782" s="268"/>
      <x:c r="V782" s="268"/>
      <x:c r="W782" s="268"/>
      <x:c r="X782" s="268"/>
      <x:c r="Y782" s="268"/>
      <x:c r="Z782" s="268"/>
      <x:c r="AA782" s="268"/>
      <x:c r="AB782" s="268"/>
      <x:c r="AC782" s="268"/>
    </x:row>
    <x:row r="783">
      <x:c r="A783" s="268"/>
      <x:c r="B783" s="268"/>
      <x:c r="C783" s="268"/>
      <x:c r="D783" s="268"/>
      <x:c r="E783" s="268"/>
      <x:c r="F783" s="268"/>
      <x:c r="G783" s="268"/>
      <x:c r="H783" s="268"/>
      <x:c r="I783" s="268"/>
      <x:c r="J783" s="268"/>
      <x:c r="K783" s="268"/>
      <x:c r="L783" s="268"/>
      <x:c r="M783" s="268"/>
      <x:c r="N783" s="268"/>
      <x:c r="O783" s="268"/>
      <x:c r="P783" s="268"/>
      <x:c r="Q783" s="268"/>
      <x:c r="R783" s="268"/>
      <x:c r="S783" s="268"/>
      <x:c r="T783" s="268"/>
      <x:c r="U783" s="268"/>
      <x:c r="V783" s="268"/>
      <x:c r="W783" s="268"/>
      <x:c r="X783" s="268"/>
      <x:c r="Y783" s="268"/>
      <x:c r="Z783" s="268"/>
      <x:c r="AA783" s="268"/>
      <x:c r="AB783" s="268"/>
      <x:c r="AC783" s="268"/>
    </x:row>
    <x:row r="784">
      <x:c r="A784" s="268"/>
      <x:c r="B784" s="268"/>
      <x:c r="C784" s="268"/>
      <x:c r="D784" s="268"/>
      <x:c r="E784" s="268"/>
      <x:c r="F784" s="268"/>
      <x:c r="G784" s="268"/>
      <x:c r="H784" s="268"/>
      <x:c r="I784" s="268"/>
      <x:c r="J784" s="268"/>
      <x:c r="K784" s="268"/>
      <x:c r="L784" s="268"/>
      <x:c r="M784" s="268"/>
      <x:c r="N784" s="268"/>
      <x:c r="O784" s="268"/>
      <x:c r="P784" s="268"/>
      <x:c r="Q784" s="268"/>
      <x:c r="R784" s="268"/>
      <x:c r="S784" s="268"/>
      <x:c r="T784" s="268"/>
      <x:c r="U784" s="268"/>
      <x:c r="V784" s="268"/>
      <x:c r="W784" s="268"/>
      <x:c r="X784" s="268"/>
      <x:c r="Y784" s="268"/>
      <x:c r="Z784" s="268"/>
      <x:c r="AA784" s="268"/>
      <x:c r="AB784" s="268"/>
      <x:c r="AC784" s="268"/>
    </x:row>
    <x:row r="785">
      <x:c r="A785" s="268"/>
      <x:c r="B785" s="268"/>
      <x:c r="C785" s="268"/>
      <x:c r="D785" s="268"/>
      <x:c r="E785" s="268"/>
      <x:c r="F785" s="268"/>
      <x:c r="G785" s="268"/>
      <x:c r="H785" s="268"/>
      <x:c r="I785" s="268"/>
      <x:c r="J785" s="268"/>
      <x:c r="K785" s="268"/>
      <x:c r="L785" s="268"/>
      <x:c r="M785" s="268"/>
      <x:c r="N785" s="268"/>
      <x:c r="O785" s="268"/>
      <x:c r="P785" s="268"/>
      <x:c r="Q785" s="268"/>
      <x:c r="R785" s="268"/>
      <x:c r="S785" s="268"/>
      <x:c r="T785" s="268"/>
      <x:c r="U785" s="268"/>
      <x:c r="V785" s="268"/>
      <x:c r="W785" s="268"/>
      <x:c r="X785" s="268"/>
      <x:c r="Y785" s="268"/>
      <x:c r="Z785" s="268"/>
      <x:c r="AA785" s="268"/>
      <x:c r="AB785" s="268"/>
      <x:c r="AC785" s="268"/>
    </x:row>
    <x:row r="786">
      <x:c r="A786" s="268"/>
      <x:c r="B786" s="268"/>
      <x:c r="C786" s="268"/>
      <x:c r="D786" s="268"/>
      <x:c r="E786" s="268"/>
      <x:c r="F786" s="268"/>
      <x:c r="G786" s="268"/>
      <x:c r="H786" s="268"/>
      <x:c r="I786" s="268"/>
      <x:c r="J786" s="268"/>
      <x:c r="K786" s="268"/>
      <x:c r="L786" s="268"/>
      <x:c r="M786" s="268"/>
      <x:c r="N786" s="268"/>
      <x:c r="O786" s="268"/>
      <x:c r="P786" s="268"/>
      <x:c r="Q786" s="268"/>
      <x:c r="R786" s="268"/>
      <x:c r="S786" s="268"/>
      <x:c r="T786" s="268"/>
      <x:c r="U786" s="268"/>
      <x:c r="V786" s="268"/>
      <x:c r="W786" s="268"/>
      <x:c r="X786" s="268"/>
      <x:c r="Y786" s="268"/>
      <x:c r="Z786" s="268"/>
      <x:c r="AA786" s="268"/>
      <x:c r="AB786" s="268"/>
      <x:c r="AC786" s="268"/>
    </x:row>
    <x:row r="787">
      <x:c r="A787" s="268"/>
      <x:c r="B787" s="268"/>
      <x:c r="C787" s="268"/>
      <x:c r="D787" s="268"/>
      <x:c r="E787" s="268"/>
      <x:c r="F787" s="268"/>
      <x:c r="G787" s="268"/>
      <x:c r="H787" s="268"/>
      <x:c r="I787" s="268"/>
      <x:c r="J787" s="268"/>
      <x:c r="K787" s="268"/>
      <x:c r="L787" s="268"/>
      <x:c r="M787" s="268"/>
      <x:c r="N787" s="268"/>
      <x:c r="O787" s="268"/>
      <x:c r="P787" s="268"/>
      <x:c r="Q787" s="268"/>
      <x:c r="R787" s="268"/>
      <x:c r="S787" s="268"/>
      <x:c r="T787" s="268"/>
      <x:c r="U787" s="268"/>
      <x:c r="V787" s="268"/>
      <x:c r="W787" s="268"/>
      <x:c r="X787" s="268"/>
      <x:c r="Y787" s="268"/>
      <x:c r="Z787" s="268"/>
      <x:c r="AA787" s="268"/>
      <x:c r="AB787" s="268"/>
      <x:c r="AC787" s="268"/>
    </x:row>
    <x:row r="788">
      <x:c r="A788" s="268"/>
      <x:c r="B788" s="268"/>
      <x:c r="C788" s="268"/>
      <x:c r="D788" s="268"/>
      <x:c r="E788" s="268"/>
      <x:c r="F788" s="268"/>
      <x:c r="G788" s="268"/>
      <x:c r="H788" s="268"/>
      <x:c r="I788" s="268"/>
      <x:c r="J788" s="268"/>
      <x:c r="K788" s="268"/>
      <x:c r="L788" s="268"/>
      <x:c r="M788" s="268"/>
      <x:c r="N788" s="268"/>
      <x:c r="O788" s="268"/>
      <x:c r="P788" s="268"/>
      <x:c r="Q788" s="268"/>
      <x:c r="R788" s="268"/>
      <x:c r="S788" s="268"/>
      <x:c r="T788" s="268"/>
      <x:c r="U788" s="268"/>
      <x:c r="V788" s="268"/>
      <x:c r="W788" s="268"/>
      <x:c r="X788" s="268"/>
      <x:c r="Y788" s="268"/>
      <x:c r="Z788" s="268"/>
      <x:c r="AA788" s="268"/>
      <x:c r="AB788" s="268"/>
      <x:c r="AC788" s="268"/>
    </x:row>
    <x:row r="789">
      <x:c r="A789" s="268"/>
      <x:c r="B789" s="268"/>
      <x:c r="C789" s="268"/>
      <x:c r="D789" s="268"/>
      <x:c r="E789" s="268"/>
      <x:c r="F789" s="268"/>
      <x:c r="G789" s="268"/>
      <x:c r="H789" s="268"/>
      <x:c r="I789" s="268"/>
      <x:c r="J789" s="268"/>
      <x:c r="K789" s="268"/>
      <x:c r="L789" s="268"/>
      <x:c r="M789" s="268"/>
      <x:c r="N789" s="268"/>
      <x:c r="O789" s="268"/>
      <x:c r="P789" s="268"/>
      <x:c r="Q789" s="268"/>
      <x:c r="R789" s="268"/>
      <x:c r="S789" s="268"/>
      <x:c r="T789" s="268"/>
      <x:c r="U789" s="268"/>
      <x:c r="V789" s="268"/>
      <x:c r="W789" s="268"/>
      <x:c r="X789" s="268"/>
      <x:c r="Y789" s="268"/>
      <x:c r="Z789" s="268"/>
      <x:c r="AA789" s="268"/>
      <x:c r="AB789" s="268"/>
      <x:c r="AC789" s="268"/>
    </x:row>
    <x:row r="790">
      <x:c r="A790" s="268"/>
      <x:c r="B790" s="268"/>
      <x:c r="C790" s="268"/>
      <x:c r="D790" s="268"/>
      <x:c r="E790" s="268"/>
      <x:c r="F790" s="268"/>
      <x:c r="G790" s="268"/>
      <x:c r="H790" s="268"/>
      <x:c r="I790" s="268"/>
      <x:c r="J790" s="268"/>
      <x:c r="K790" s="268"/>
      <x:c r="L790" s="268"/>
      <x:c r="M790" s="268"/>
      <x:c r="N790" s="268"/>
      <x:c r="O790" s="268"/>
      <x:c r="P790" s="268"/>
      <x:c r="Q790" s="268"/>
      <x:c r="R790" s="268"/>
      <x:c r="S790" s="268"/>
      <x:c r="T790" s="268"/>
      <x:c r="U790" s="268"/>
      <x:c r="V790" s="268"/>
      <x:c r="W790" s="268"/>
      <x:c r="X790" s="268"/>
      <x:c r="Y790" s="268"/>
      <x:c r="Z790" s="268"/>
      <x:c r="AA790" s="268"/>
      <x:c r="AB790" s="268"/>
      <x:c r="AC790" s="268"/>
    </x:row>
    <x:row r="791">
      <x:c r="A791" s="268"/>
      <x:c r="B791" s="268"/>
      <x:c r="C791" s="268"/>
      <x:c r="D791" s="268"/>
      <x:c r="E791" s="268"/>
      <x:c r="F791" s="268"/>
      <x:c r="G791" s="268"/>
      <x:c r="H791" s="268"/>
      <x:c r="I791" s="268"/>
      <x:c r="J791" s="268"/>
      <x:c r="K791" s="268"/>
      <x:c r="L791" s="268"/>
      <x:c r="M791" s="268"/>
      <x:c r="N791" s="268"/>
      <x:c r="O791" s="268"/>
      <x:c r="P791" s="268"/>
      <x:c r="Q791" s="268"/>
      <x:c r="R791" s="268"/>
      <x:c r="S791" s="268"/>
      <x:c r="T791" s="268"/>
      <x:c r="U791" s="268"/>
      <x:c r="V791" s="268"/>
      <x:c r="W791" s="268"/>
      <x:c r="X791" s="268"/>
      <x:c r="Y791" s="268"/>
      <x:c r="Z791" s="268"/>
      <x:c r="AA791" s="268"/>
      <x:c r="AB791" s="268"/>
      <x:c r="AC791" s="268"/>
    </x:row>
    <x:row r="792">
      <x:c r="A792" s="268"/>
      <x:c r="B792" s="268"/>
      <x:c r="C792" s="268"/>
      <x:c r="D792" s="268"/>
      <x:c r="E792" s="268"/>
      <x:c r="F792" s="268"/>
      <x:c r="G792" s="268"/>
      <x:c r="H792" s="268"/>
      <x:c r="I792" s="268"/>
      <x:c r="J792" s="268"/>
      <x:c r="K792" s="268"/>
      <x:c r="L792" s="268"/>
      <x:c r="M792" s="268"/>
      <x:c r="N792" s="268"/>
      <x:c r="O792" s="268"/>
      <x:c r="P792" s="268"/>
      <x:c r="Q792" s="268"/>
      <x:c r="R792" s="268"/>
      <x:c r="S792" s="268"/>
      <x:c r="T792" s="268"/>
      <x:c r="U792" s="268"/>
      <x:c r="V792" s="268"/>
      <x:c r="W792" s="268"/>
      <x:c r="X792" s="268"/>
      <x:c r="Y792" s="268"/>
      <x:c r="Z792" s="268"/>
      <x:c r="AA792" s="268"/>
      <x:c r="AB792" s="268"/>
      <x:c r="AC792" s="268"/>
    </x:row>
    <x:row r="793">
      <x:c r="A793" s="268"/>
      <x:c r="B793" s="268"/>
      <x:c r="C793" s="268"/>
      <x:c r="D793" s="268"/>
      <x:c r="E793" s="268"/>
      <x:c r="F793" s="268"/>
      <x:c r="G793" s="268"/>
      <x:c r="H793" s="268"/>
      <x:c r="I793" s="268"/>
      <x:c r="J793" s="268"/>
      <x:c r="K793" s="268"/>
      <x:c r="L793" s="268"/>
      <x:c r="M793" s="268"/>
      <x:c r="N793" s="268"/>
      <x:c r="O793" s="268"/>
      <x:c r="P793" s="268"/>
      <x:c r="Q793" s="268"/>
      <x:c r="R793" s="268"/>
      <x:c r="S793" s="268"/>
      <x:c r="T793" s="268"/>
      <x:c r="U793" s="268"/>
      <x:c r="V793" s="268"/>
      <x:c r="W793" s="268"/>
      <x:c r="X793" s="268"/>
      <x:c r="Y793" s="268"/>
      <x:c r="Z793" s="268"/>
      <x:c r="AA793" s="268"/>
      <x:c r="AB793" s="268"/>
      <x:c r="AC793" s="268"/>
    </x:row>
    <x:row r="794">
      <x:c r="A794" s="268"/>
      <x:c r="B794" s="268"/>
      <x:c r="C794" s="268"/>
      <x:c r="D794" s="268"/>
      <x:c r="E794" s="268"/>
      <x:c r="F794" s="268"/>
      <x:c r="G794" s="268"/>
      <x:c r="H794" s="268"/>
      <x:c r="I794" s="268"/>
      <x:c r="J794" s="268"/>
      <x:c r="K794" s="268"/>
      <x:c r="L794" s="268"/>
      <x:c r="M794" s="268"/>
      <x:c r="N794" s="268"/>
      <x:c r="O794" s="268"/>
      <x:c r="P794" s="268"/>
      <x:c r="Q794" s="268"/>
      <x:c r="R794" s="268"/>
      <x:c r="S794" s="268"/>
      <x:c r="T794" s="268"/>
      <x:c r="U794" s="268"/>
      <x:c r="V794" s="268"/>
      <x:c r="W794" s="268"/>
      <x:c r="X794" s="268"/>
      <x:c r="Y794" s="268"/>
      <x:c r="Z794" s="268"/>
      <x:c r="AA794" s="268"/>
      <x:c r="AB794" s="268"/>
      <x:c r="AC794" s="268"/>
    </x:row>
    <x:row r="795">
      <x:c r="A795" s="268"/>
      <x:c r="B795" s="268"/>
      <x:c r="C795" s="268"/>
      <x:c r="D795" s="268"/>
      <x:c r="E795" s="268"/>
      <x:c r="F795" s="268"/>
      <x:c r="G795" s="268"/>
      <x:c r="H795" s="268"/>
      <x:c r="I795" s="268"/>
      <x:c r="J795" s="268"/>
      <x:c r="K795" s="268"/>
      <x:c r="L795" s="268"/>
      <x:c r="M795" s="268"/>
      <x:c r="N795" s="268"/>
      <x:c r="O795" s="268"/>
      <x:c r="P795" s="268"/>
      <x:c r="Q795" s="268"/>
      <x:c r="R795" s="268"/>
      <x:c r="S795" s="268"/>
      <x:c r="T795" s="268"/>
      <x:c r="U795" s="268"/>
      <x:c r="V795" s="268"/>
      <x:c r="W795" s="268"/>
      <x:c r="X795" s="268"/>
      <x:c r="Y795" s="268"/>
      <x:c r="Z795" s="268"/>
      <x:c r="AA795" s="268"/>
      <x:c r="AB795" s="268"/>
      <x:c r="AC795" s="268"/>
    </x:row>
    <x:row r="796">
      <x:c r="A796" s="268"/>
      <x:c r="B796" s="268"/>
      <x:c r="C796" s="268"/>
      <x:c r="D796" s="268"/>
      <x:c r="E796" s="268"/>
      <x:c r="F796" s="268"/>
      <x:c r="G796" s="268"/>
      <x:c r="H796" s="268"/>
      <x:c r="I796" s="268"/>
      <x:c r="J796" s="268"/>
      <x:c r="K796" s="268"/>
      <x:c r="L796" s="268"/>
      <x:c r="M796" s="268"/>
      <x:c r="N796" s="268"/>
      <x:c r="O796" s="268"/>
      <x:c r="P796" s="268"/>
      <x:c r="Q796" s="268"/>
      <x:c r="R796" s="268"/>
      <x:c r="S796" s="268"/>
      <x:c r="T796" s="268"/>
      <x:c r="U796" s="268"/>
      <x:c r="V796" s="268"/>
      <x:c r="W796" s="268"/>
      <x:c r="X796" s="268"/>
      <x:c r="Y796" s="268"/>
      <x:c r="Z796" s="268"/>
      <x:c r="AA796" s="268"/>
      <x:c r="AB796" s="268"/>
      <x:c r="AC796" s="268"/>
    </x:row>
    <x:row r="797">
      <x:c r="A797" s="268"/>
      <x:c r="B797" s="268"/>
      <x:c r="C797" s="268"/>
      <x:c r="D797" s="268"/>
      <x:c r="E797" s="268"/>
      <x:c r="F797" s="268"/>
      <x:c r="G797" s="268"/>
      <x:c r="H797" s="268"/>
      <x:c r="I797" s="268"/>
      <x:c r="J797" s="268"/>
      <x:c r="K797" s="268"/>
      <x:c r="L797" s="268"/>
      <x:c r="M797" s="268"/>
      <x:c r="N797" s="268"/>
      <x:c r="O797" s="268"/>
      <x:c r="P797" s="268"/>
      <x:c r="Q797" s="268"/>
      <x:c r="R797" s="268"/>
      <x:c r="S797" s="268"/>
      <x:c r="T797" s="268"/>
      <x:c r="U797" s="268"/>
      <x:c r="V797" s="268"/>
      <x:c r="W797" s="268"/>
      <x:c r="X797" s="268"/>
      <x:c r="Y797" s="268"/>
      <x:c r="Z797" s="268"/>
      <x:c r="AA797" s="268"/>
      <x:c r="AB797" s="268"/>
      <x:c r="AC797" s="268"/>
    </x:row>
    <x:row r="798">
      <x:c r="A798" s="268"/>
      <x:c r="B798" s="268"/>
      <x:c r="C798" s="268"/>
      <x:c r="D798" s="268"/>
      <x:c r="E798" s="268"/>
      <x:c r="F798" s="268"/>
      <x:c r="G798" s="268"/>
      <x:c r="H798" s="268"/>
      <x:c r="I798" s="268"/>
      <x:c r="J798" s="268"/>
      <x:c r="K798" s="268"/>
      <x:c r="L798" s="268"/>
      <x:c r="M798" s="268"/>
      <x:c r="N798" s="268"/>
      <x:c r="O798" s="268"/>
      <x:c r="P798" s="268"/>
      <x:c r="Q798" s="268"/>
      <x:c r="R798" s="268"/>
      <x:c r="S798" s="268"/>
      <x:c r="T798" s="268"/>
      <x:c r="U798" s="268"/>
      <x:c r="V798" s="268"/>
      <x:c r="W798" s="268"/>
      <x:c r="X798" s="268"/>
      <x:c r="Y798" s="268"/>
      <x:c r="Z798" s="268"/>
      <x:c r="AA798" s="268"/>
      <x:c r="AB798" s="268"/>
      <x:c r="AC798" s="268"/>
    </x:row>
    <x:row r="799">
      <x:c r="A799" s="268"/>
      <x:c r="B799" s="268"/>
      <x:c r="C799" s="268"/>
      <x:c r="D799" s="268"/>
      <x:c r="E799" s="268"/>
      <x:c r="F799" s="268"/>
      <x:c r="G799" s="268"/>
      <x:c r="H799" s="268"/>
      <x:c r="I799" s="268"/>
      <x:c r="J799" s="268"/>
      <x:c r="K799" s="268"/>
      <x:c r="L799" s="268"/>
      <x:c r="M799" s="268"/>
      <x:c r="N799" s="268"/>
      <x:c r="O799" s="268"/>
      <x:c r="P799" s="268"/>
      <x:c r="Q799" s="268"/>
      <x:c r="R799" s="268"/>
      <x:c r="S799" s="268"/>
      <x:c r="T799" s="268"/>
      <x:c r="U799" s="268"/>
      <x:c r="V799" s="268"/>
      <x:c r="W799" s="268"/>
      <x:c r="X799" s="268"/>
      <x:c r="Y799" s="268"/>
      <x:c r="Z799" s="268"/>
      <x:c r="AA799" s="268"/>
      <x:c r="AB799" s="268"/>
      <x:c r="AC799" s="268"/>
    </x:row>
    <x:row r="800">
      <x:c r="A800" s="268"/>
      <x:c r="B800" s="268"/>
      <x:c r="C800" s="268"/>
      <x:c r="D800" s="268"/>
      <x:c r="E800" s="268"/>
      <x:c r="F800" s="268"/>
      <x:c r="G800" s="268"/>
      <x:c r="H800" s="268"/>
      <x:c r="I800" s="268"/>
      <x:c r="J800" s="268"/>
      <x:c r="K800" s="268"/>
      <x:c r="L800" s="268"/>
      <x:c r="M800" s="268"/>
      <x:c r="N800" s="268"/>
      <x:c r="O800" s="268"/>
      <x:c r="P800" s="268"/>
      <x:c r="Q800" s="268"/>
      <x:c r="R800" s="268"/>
      <x:c r="S800" s="268"/>
      <x:c r="T800" s="268"/>
      <x:c r="U800" s="268"/>
      <x:c r="V800" s="268"/>
      <x:c r="W800" s="268"/>
      <x:c r="X800" s="268"/>
      <x:c r="Y800" s="268"/>
      <x:c r="Z800" s="268"/>
      <x:c r="AA800" s="268"/>
      <x:c r="AB800" s="268"/>
      <x:c r="AC800" s="268"/>
    </x:row>
    <x:row r="801">
      <x:c r="A801" s="268"/>
      <x:c r="B801" s="268"/>
      <x:c r="C801" s="268"/>
      <x:c r="D801" s="268"/>
      <x:c r="E801" s="268"/>
      <x:c r="F801" s="268"/>
      <x:c r="G801" s="268"/>
      <x:c r="H801" s="268"/>
      <x:c r="I801" s="268"/>
      <x:c r="J801" s="268"/>
      <x:c r="K801" s="268"/>
      <x:c r="L801" s="268"/>
      <x:c r="M801" s="268"/>
      <x:c r="N801" s="268"/>
      <x:c r="O801" s="268"/>
      <x:c r="P801" s="268"/>
      <x:c r="Q801" s="268"/>
      <x:c r="R801" s="268"/>
      <x:c r="S801" s="268"/>
      <x:c r="T801" s="268"/>
      <x:c r="U801" s="268"/>
      <x:c r="V801" s="268"/>
      <x:c r="W801" s="268"/>
      <x:c r="X801" s="268"/>
      <x:c r="Y801" s="268"/>
      <x:c r="Z801" s="268"/>
      <x:c r="AA801" s="268"/>
      <x:c r="AB801" s="268"/>
      <x:c r="AC801" s="268"/>
    </x:row>
    <x:row r="802">
      <x:c r="A802" s="268"/>
      <x:c r="B802" s="268"/>
      <x:c r="C802" s="268"/>
      <x:c r="D802" s="268"/>
      <x:c r="E802" s="268"/>
      <x:c r="F802" s="268"/>
      <x:c r="G802" s="268"/>
      <x:c r="H802" s="268"/>
      <x:c r="I802" s="268"/>
      <x:c r="J802" s="268"/>
      <x:c r="K802" s="268"/>
      <x:c r="L802" s="268"/>
      <x:c r="M802" s="268"/>
      <x:c r="N802" s="268"/>
      <x:c r="O802" s="268"/>
      <x:c r="P802" s="268"/>
      <x:c r="Q802" s="268"/>
      <x:c r="R802" s="268"/>
      <x:c r="S802" s="268"/>
      <x:c r="T802" s="268"/>
      <x:c r="U802" s="268"/>
      <x:c r="V802" s="268"/>
      <x:c r="W802" s="268"/>
      <x:c r="X802" s="268"/>
      <x:c r="Y802" s="268"/>
      <x:c r="Z802" s="268"/>
      <x:c r="AA802" s="268"/>
      <x:c r="AB802" s="268"/>
      <x:c r="AC802" s="268"/>
    </x:row>
    <x:row r="803">
      <x:c r="A803" s="268"/>
      <x:c r="B803" s="268"/>
      <x:c r="C803" s="268"/>
      <x:c r="D803" s="268"/>
      <x:c r="E803" s="268"/>
      <x:c r="F803" s="268"/>
      <x:c r="G803" s="268"/>
      <x:c r="H803" s="268"/>
      <x:c r="I803" s="268"/>
      <x:c r="J803" s="268"/>
      <x:c r="K803" s="268"/>
      <x:c r="L803" s="268"/>
      <x:c r="M803" s="268"/>
      <x:c r="N803" s="268"/>
      <x:c r="O803" s="268"/>
      <x:c r="P803" s="268"/>
      <x:c r="Q803" s="268"/>
      <x:c r="R803" s="268"/>
      <x:c r="S803" s="268"/>
      <x:c r="T803" s="268"/>
      <x:c r="U803" s="268"/>
      <x:c r="V803" s="268"/>
      <x:c r="W803" s="268"/>
      <x:c r="X803" s="268"/>
      <x:c r="Y803" s="268"/>
      <x:c r="Z803" s="268"/>
      <x:c r="AA803" s="268"/>
      <x:c r="AB803" s="268"/>
      <x:c r="AC803" s="268"/>
    </x:row>
    <x:row r="804">
      <x:c r="A804" s="268"/>
      <x:c r="B804" s="268"/>
      <x:c r="C804" s="268"/>
      <x:c r="D804" s="268"/>
      <x:c r="E804" s="268"/>
      <x:c r="F804" s="268"/>
      <x:c r="G804" s="268"/>
      <x:c r="H804" s="268"/>
      <x:c r="I804" s="268"/>
      <x:c r="J804" s="268"/>
      <x:c r="K804" s="268"/>
      <x:c r="L804" s="268"/>
      <x:c r="M804" s="268"/>
      <x:c r="N804" s="268"/>
      <x:c r="O804" s="268"/>
      <x:c r="P804" s="268"/>
      <x:c r="Q804" s="268"/>
      <x:c r="R804" s="268"/>
      <x:c r="S804" s="268"/>
      <x:c r="T804" s="268"/>
      <x:c r="U804" s="268"/>
      <x:c r="V804" s="268"/>
      <x:c r="W804" s="268"/>
      <x:c r="X804" s="268"/>
      <x:c r="Y804" s="268"/>
      <x:c r="Z804" s="268"/>
      <x:c r="AA804" s="268"/>
      <x:c r="AB804" s="268"/>
      <x:c r="AC804" s="268"/>
    </x:row>
    <x:row r="805">
      <x:c r="A805" s="268"/>
      <x:c r="B805" s="268"/>
      <x:c r="C805" s="268"/>
      <x:c r="D805" s="268"/>
      <x:c r="E805" s="268"/>
      <x:c r="F805" s="268"/>
      <x:c r="G805" s="268"/>
      <x:c r="H805" s="268"/>
      <x:c r="I805" s="268"/>
      <x:c r="J805" s="268"/>
      <x:c r="K805" s="268"/>
      <x:c r="L805" s="268"/>
      <x:c r="M805" s="268"/>
      <x:c r="N805" s="268"/>
      <x:c r="O805" s="268"/>
      <x:c r="P805" s="268"/>
      <x:c r="Q805" s="268"/>
      <x:c r="R805" s="268"/>
      <x:c r="S805" s="268"/>
      <x:c r="T805" s="268"/>
      <x:c r="U805" s="268"/>
      <x:c r="V805" s="268"/>
      <x:c r="W805" s="268"/>
      <x:c r="X805" s="268"/>
      <x:c r="Y805" s="268"/>
      <x:c r="Z805" s="268"/>
      <x:c r="AA805" s="268"/>
      <x:c r="AB805" s="268"/>
      <x:c r="AC805" s="268"/>
    </x:row>
    <x:row r="806">
      <x:c r="A806" s="268"/>
      <x:c r="B806" s="268"/>
      <x:c r="C806" s="268"/>
      <x:c r="D806" s="268"/>
      <x:c r="E806" s="268"/>
      <x:c r="F806" s="268"/>
      <x:c r="G806" s="268"/>
      <x:c r="H806" s="268"/>
      <x:c r="I806" s="268"/>
      <x:c r="J806" s="268"/>
      <x:c r="K806" s="268"/>
      <x:c r="L806" s="268"/>
      <x:c r="M806" s="268"/>
      <x:c r="N806" s="268"/>
      <x:c r="O806" s="268"/>
      <x:c r="P806" s="268"/>
      <x:c r="Q806" s="268"/>
      <x:c r="R806" s="268"/>
      <x:c r="S806" s="268"/>
      <x:c r="T806" s="268"/>
      <x:c r="U806" s="268"/>
      <x:c r="V806" s="268"/>
      <x:c r="W806" s="268"/>
      <x:c r="X806" s="268"/>
      <x:c r="Y806" s="268"/>
      <x:c r="Z806" s="268"/>
      <x:c r="AA806" s="268"/>
      <x:c r="AB806" s="268"/>
      <x:c r="AC806" s="268"/>
    </x:row>
    <x:row r="807">
      <x:c r="A807" s="268"/>
      <x:c r="B807" s="268"/>
      <x:c r="C807" s="268"/>
      <x:c r="D807" s="268"/>
      <x:c r="E807" s="268"/>
      <x:c r="F807" s="268"/>
      <x:c r="G807" s="268"/>
      <x:c r="H807" s="268"/>
      <x:c r="I807" s="268"/>
      <x:c r="J807" s="268"/>
      <x:c r="K807" s="268"/>
      <x:c r="L807" s="268"/>
      <x:c r="M807" s="268"/>
      <x:c r="N807" s="268"/>
      <x:c r="O807" s="268"/>
      <x:c r="P807" s="268"/>
      <x:c r="Q807" s="268"/>
      <x:c r="R807" s="268"/>
      <x:c r="S807" s="268"/>
      <x:c r="T807" s="268"/>
      <x:c r="U807" s="268"/>
      <x:c r="V807" s="268"/>
      <x:c r="W807" s="268"/>
      <x:c r="X807" s="268"/>
      <x:c r="Y807" s="268"/>
      <x:c r="Z807" s="268"/>
      <x:c r="AA807" s="268"/>
      <x:c r="AB807" s="268"/>
      <x:c r="AC807" s="268"/>
    </x:row>
    <x:row r="808">
      <x:c r="A808" s="268"/>
      <x:c r="B808" s="268"/>
      <x:c r="C808" s="268"/>
      <x:c r="D808" s="268"/>
      <x:c r="E808" s="268"/>
      <x:c r="F808" s="268"/>
      <x:c r="G808" s="268"/>
      <x:c r="H808" s="268"/>
      <x:c r="I808" s="268"/>
      <x:c r="J808" s="268"/>
      <x:c r="K808" s="268"/>
      <x:c r="L808" s="268"/>
      <x:c r="M808" s="268"/>
      <x:c r="N808" s="268"/>
      <x:c r="O808" s="268"/>
      <x:c r="P808" s="268"/>
      <x:c r="Q808" s="268"/>
      <x:c r="R808" s="268"/>
      <x:c r="S808" s="268"/>
      <x:c r="T808" s="268"/>
      <x:c r="U808" s="268"/>
      <x:c r="V808" s="268"/>
      <x:c r="W808" s="268"/>
      <x:c r="X808" s="268"/>
      <x:c r="Y808" s="268"/>
      <x:c r="Z808" s="268"/>
      <x:c r="AA808" s="268"/>
      <x:c r="AB808" s="268"/>
      <x:c r="AC808" s="268"/>
    </x:row>
    <x:row r="809">
      <x:c r="A809" s="268"/>
      <x:c r="B809" s="268"/>
      <x:c r="C809" s="268"/>
      <x:c r="D809" s="268"/>
      <x:c r="E809" s="268"/>
      <x:c r="F809" s="268"/>
      <x:c r="G809" s="268"/>
      <x:c r="H809" s="268"/>
      <x:c r="I809" s="268"/>
      <x:c r="J809" s="268"/>
      <x:c r="K809" s="268"/>
      <x:c r="L809" s="268"/>
      <x:c r="M809" s="268"/>
      <x:c r="N809" s="268"/>
      <x:c r="O809" s="268"/>
      <x:c r="P809" s="268"/>
      <x:c r="Q809" s="268"/>
      <x:c r="R809" s="268"/>
      <x:c r="S809" s="268"/>
      <x:c r="T809" s="268"/>
      <x:c r="U809" s="268"/>
      <x:c r="V809" s="268"/>
      <x:c r="W809" s="268"/>
      <x:c r="X809" s="268"/>
      <x:c r="Y809" s="268"/>
      <x:c r="Z809" s="268"/>
      <x:c r="AA809" s="268"/>
      <x:c r="AB809" s="268"/>
      <x:c r="AC809" s="268"/>
    </x:row>
    <x:row r="810">
      <x:c r="A810" s="268"/>
      <x:c r="B810" s="268"/>
      <x:c r="C810" s="268"/>
      <x:c r="D810" s="268"/>
      <x:c r="E810" s="268"/>
      <x:c r="F810" s="268"/>
      <x:c r="G810" s="268"/>
      <x:c r="H810" s="268"/>
      <x:c r="I810" s="268"/>
      <x:c r="J810" s="268"/>
      <x:c r="K810" s="268"/>
      <x:c r="L810" s="268"/>
      <x:c r="M810" s="268"/>
      <x:c r="N810" s="268"/>
      <x:c r="O810" s="268"/>
      <x:c r="P810" s="268"/>
      <x:c r="Q810" s="268"/>
      <x:c r="R810" s="268"/>
      <x:c r="S810" s="268"/>
      <x:c r="T810" s="268"/>
      <x:c r="U810" s="268"/>
      <x:c r="V810" s="268"/>
      <x:c r="W810" s="268"/>
      <x:c r="X810" s="268"/>
      <x:c r="Y810" s="268"/>
      <x:c r="Z810" s="268"/>
      <x:c r="AA810" s="268"/>
      <x:c r="AB810" s="268"/>
      <x:c r="AC810" s="268"/>
    </x:row>
    <x:row r="811">
      <x:c r="A811" s="268"/>
      <x:c r="B811" s="268"/>
      <x:c r="C811" s="268"/>
      <x:c r="D811" s="268"/>
      <x:c r="E811" s="268"/>
      <x:c r="F811" s="268"/>
      <x:c r="G811" s="268"/>
      <x:c r="H811" s="268"/>
      <x:c r="I811" s="268"/>
      <x:c r="J811" s="268"/>
      <x:c r="K811" s="268"/>
      <x:c r="L811" s="268"/>
      <x:c r="M811" s="268"/>
      <x:c r="N811" s="268"/>
      <x:c r="O811" s="268"/>
      <x:c r="P811" s="268"/>
      <x:c r="Q811" s="268"/>
      <x:c r="R811" s="268"/>
      <x:c r="S811" s="268"/>
      <x:c r="T811" s="268"/>
      <x:c r="U811" s="268"/>
      <x:c r="V811" s="268"/>
      <x:c r="W811" s="268"/>
      <x:c r="X811" s="268"/>
      <x:c r="Y811" s="268"/>
      <x:c r="Z811" s="268"/>
      <x:c r="AA811" s="268"/>
      <x:c r="AB811" s="268"/>
      <x:c r="AC811" s="268"/>
    </x:row>
    <x:row r="812">
      <x:c r="A812" s="268"/>
      <x:c r="B812" s="268"/>
      <x:c r="C812" s="268"/>
      <x:c r="D812" s="268"/>
      <x:c r="E812" s="268"/>
      <x:c r="F812" s="268"/>
      <x:c r="G812" s="268"/>
      <x:c r="H812" s="268"/>
      <x:c r="I812" s="268"/>
      <x:c r="J812" s="268"/>
      <x:c r="K812" s="268"/>
      <x:c r="L812" s="268"/>
      <x:c r="M812" s="268"/>
      <x:c r="N812" s="268"/>
      <x:c r="O812" s="268"/>
      <x:c r="P812" s="268"/>
      <x:c r="Q812" s="268"/>
      <x:c r="R812" s="268"/>
      <x:c r="S812" s="268"/>
      <x:c r="T812" s="268"/>
      <x:c r="U812" s="268"/>
      <x:c r="V812" s="268"/>
      <x:c r="W812" s="268"/>
      <x:c r="X812" s="268"/>
      <x:c r="Y812" s="268"/>
      <x:c r="Z812" s="268"/>
      <x:c r="AA812" s="268"/>
      <x:c r="AB812" s="268"/>
      <x:c r="AC812" s="268"/>
    </x:row>
    <x:row r="813">
      <x:c r="A813" s="268"/>
      <x:c r="B813" s="268"/>
      <x:c r="C813" s="268"/>
      <x:c r="D813" s="268"/>
      <x:c r="E813" s="268"/>
      <x:c r="F813" s="268"/>
      <x:c r="G813" s="268"/>
      <x:c r="H813" s="268"/>
      <x:c r="I813" s="268"/>
      <x:c r="J813" s="268"/>
      <x:c r="K813" s="268"/>
      <x:c r="L813" s="268"/>
      <x:c r="M813" s="268"/>
      <x:c r="N813" s="268"/>
      <x:c r="O813" s="268"/>
      <x:c r="P813" s="268"/>
      <x:c r="Q813" s="268"/>
      <x:c r="R813" s="268"/>
      <x:c r="S813" s="268"/>
      <x:c r="T813" s="268"/>
      <x:c r="U813" s="268"/>
      <x:c r="V813" s="268"/>
      <x:c r="W813" s="268"/>
      <x:c r="X813" s="268"/>
      <x:c r="Y813" s="268"/>
      <x:c r="Z813" s="268"/>
      <x:c r="AA813" s="268"/>
      <x:c r="AB813" s="268"/>
      <x:c r="AC813" s="268"/>
    </x:row>
    <x:row r="814">
      <x:c r="A814" s="268"/>
      <x:c r="B814" s="268"/>
      <x:c r="C814" s="268"/>
      <x:c r="D814" s="268"/>
      <x:c r="E814" s="268"/>
      <x:c r="F814" s="268"/>
      <x:c r="G814" s="268"/>
      <x:c r="H814" s="268"/>
      <x:c r="I814" s="268"/>
      <x:c r="J814" s="268"/>
      <x:c r="K814" s="268"/>
      <x:c r="L814" s="268"/>
      <x:c r="M814" s="268"/>
      <x:c r="N814" s="268"/>
      <x:c r="O814" s="268"/>
      <x:c r="P814" s="268"/>
      <x:c r="Q814" s="268"/>
      <x:c r="R814" s="268"/>
      <x:c r="S814" s="268"/>
      <x:c r="T814" s="268"/>
      <x:c r="U814" s="268"/>
      <x:c r="V814" s="268"/>
      <x:c r="W814" s="268"/>
      <x:c r="X814" s="268"/>
      <x:c r="Y814" s="268"/>
      <x:c r="Z814" s="268"/>
      <x:c r="AA814" s="268"/>
      <x:c r="AB814" s="268"/>
      <x:c r="AC814" s="268"/>
    </x:row>
    <x:row r="815">
      <x:c r="A815" s="268"/>
      <x:c r="B815" s="268"/>
      <x:c r="C815" s="268"/>
      <x:c r="D815" s="268"/>
      <x:c r="E815" s="268"/>
      <x:c r="F815" s="268"/>
      <x:c r="G815" s="268"/>
      <x:c r="H815" s="268"/>
      <x:c r="I815" s="268"/>
      <x:c r="J815" s="268"/>
      <x:c r="K815" s="268"/>
      <x:c r="L815" s="268"/>
      <x:c r="M815" s="268"/>
      <x:c r="N815" s="268"/>
      <x:c r="O815" s="268"/>
      <x:c r="P815" s="268"/>
      <x:c r="Q815" s="268"/>
      <x:c r="R815" s="268"/>
      <x:c r="S815" s="268"/>
      <x:c r="T815" s="268"/>
      <x:c r="U815" s="268"/>
      <x:c r="V815" s="268"/>
      <x:c r="W815" s="268"/>
      <x:c r="X815" s="268"/>
      <x:c r="Y815" s="268"/>
      <x:c r="Z815" s="268"/>
      <x:c r="AA815" s="268"/>
      <x:c r="AB815" s="268"/>
      <x:c r="AC815" s="268"/>
    </x:row>
    <x:row r="816">
      <x:c r="A816" s="268"/>
      <x:c r="B816" s="268"/>
      <x:c r="C816" s="268"/>
      <x:c r="D816" s="268"/>
      <x:c r="E816" s="268"/>
      <x:c r="F816" s="268"/>
      <x:c r="G816" s="268"/>
      <x:c r="H816" s="268"/>
      <x:c r="I816" s="268"/>
      <x:c r="J816" s="268"/>
      <x:c r="K816" s="268"/>
      <x:c r="L816" s="268"/>
      <x:c r="M816" s="268"/>
      <x:c r="N816" s="268"/>
      <x:c r="O816" s="268"/>
      <x:c r="P816" s="268"/>
      <x:c r="Q816" s="268"/>
      <x:c r="R816" s="268"/>
      <x:c r="S816" s="268"/>
      <x:c r="T816" s="268"/>
      <x:c r="U816" s="268"/>
      <x:c r="V816" s="268"/>
      <x:c r="W816" s="268"/>
      <x:c r="X816" s="268"/>
      <x:c r="Y816" s="268"/>
      <x:c r="Z816" s="268"/>
      <x:c r="AA816" s="268"/>
      <x:c r="AB816" s="268"/>
      <x:c r="AC816" s="268"/>
    </x:row>
    <x:row r="817">
      <x:c r="A817" s="268"/>
      <x:c r="B817" s="268"/>
      <x:c r="C817" s="268"/>
      <x:c r="D817" s="268"/>
      <x:c r="E817" s="268"/>
      <x:c r="F817" s="268"/>
      <x:c r="G817" s="268"/>
      <x:c r="H817" s="268"/>
      <x:c r="I817" s="268"/>
      <x:c r="J817" s="268"/>
      <x:c r="K817" s="268"/>
      <x:c r="L817" s="268"/>
      <x:c r="M817" s="268"/>
      <x:c r="N817" s="268"/>
      <x:c r="O817" s="268"/>
      <x:c r="P817" s="268"/>
      <x:c r="Q817" s="268"/>
      <x:c r="R817" s="268"/>
      <x:c r="S817" s="268"/>
      <x:c r="T817" s="268"/>
      <x:c r="U817" s="268"/>
      <x:c r="V817" s="268"/>
      <x:c r="W817" s="268"/>
      <x:c r="X817" s="268"/>
      <x:c r="Y817" s="268"/>
      <x:c r="Z817" s="268"/>
      <x:c r="AA817" s="268"/>
      <x:c r="AB817" s="268"/>
      <x:c r="AC817" s="268"/>
    </x:row>
    <x:row r="818">
      <x:c r="A818" s="268"/>
      <x:c r="B818" s="268"/>
      <x:c r="C818" s="268"/>
      <x:c r="D818" s="268"/>
      <x:c r="E818" s="268"/>
      <x:c r="F818" s="268"/>
      <x:c r="G818" s="268"/>
      <x:c r="H818" s="268"/>
      <x:c r="I818" s="268"/>
      <x:c r="J818" s="268"/>
      <x:c r="K818" s="268"/>
      <x:c r="L818" s="268"/>
      <x:c r="M818" s="268"/>
      <x:c r="N818" s="268"/>
      <x:c r="O818" s="268"/>
      <x:c r="P818" s="268"/>
      <x:c r="Q818" s="268"/>
      <x:c r="R818" s="268"/>
      <x:c r="S818" s="268"/>
      <x:c r="T818" s="268"/>
      <x:c r="U818" s="268"/>
      <x:c r="V818" s="268"/>
      <x:c r="W818" s="268"/>
      <x:c r="X818" s="268"/>
      <x:c r="Y818" s="268"/>
      <x:c r="Z818" s="268"/>
      <x:c r="AA818" s="268"/>
      <x:c r="AB818" s="268"/>
      <x:c r="AC818" s="268"/>
    </x:row>
    <x:row r="819">
      <x:c r="A819" s="268"/>
      <x:c r="B819" s="268"/>
      <x:c r="C819" s="268"/>
      <x:c r="D819" s="268"/>
      <x:c r="E819" s="268"/>
      <x:c r="F819" s="268"/>
      <x:c r="G819" s="268"/>
      <x:c r="H819" s="268"/>
      <x:c r="I819" s="268"/>
      <x:c r="J819" s="268"/>
      <x:c r="K819" s="268"/>
      <x:c r="L819" s="268"/>
      <x:c r="M819" s="268"/>
      <x:c r="N819" s="268"/>
      <x:c r="O819" s="268"/>
      <x:c r="P819" s="268"/>
      <x:c r="Q819" s="268"/>
      <x:c r="R819" s="268"/>
      <x:c r="S819" s="268"/>
      <x:c r="T819" s="268"/>
      <x:c r="U819" s="268"/>
      <x:c r="V819" s="268"/>
      <x:c r="W819" s="268"/>
      <x:c r="X819" s="268"/>
      <x:c r="Y819" s="268"/>
      <x:c r="Z819" s="268"/>
      <x:c r="AA819" s="268"/>
      <x:c r="AB819" s="268"/>
      <x:c r="AC819" s="268"/>
    </x:row>
    <x:row r="820">
      <x:c r="A820" s="268"/>
      <x:c r="B820" s="268"/>
      <x:c r="C820" s="268"/>
      <x:c r="D820" s="268"/>
      <x:c r="E820" s="268"/>
      <x:c r="F820" s="268"/>
      <x:c r="G820" s="268"/>
      <x:c r="H820" s="268"/>
      <x:c r="I820" s="268"/>
      <x:c r="J820" s="268"/>
      <x:c r="K820" s="268"/>
      <x:c r="L820" s="268"/>
      <x:c r="M820" s="268"/>
      <x:c r="N820" s="268"/>
      <x:c r="O820" s="268"/>
      <x:c r="P820" s="268"/>
      <x:c r="Q820" s="268"/>
      <x:c r="R820" s="268"/>
      <x:c r="S820" s="268"/>
      <x:c r="T820" s="268"/>
      <x:c r="U820" s="268"/>
      <x:c r="V820" s="268"/>
      <x:c r="W820" s="268"/>
      <x:c r="X820" s="268"/>
      <x:c r="Y820" s="268"/>
      <x:c r="Z820" s="268"/>
      <x:c r="AA820" s="268"/>
      <x:c r="AB820" s="268"/>
      <x:c r="AC820" s="268"/>
    </x:row>
    <x:row r="821">
      <x:c r="A821" s="268"/>
      <x:c r="B821" s="268"/>
      <x:c r="C821" s="268"/>
      <x:c r="D821" s="268"/>
      <x:c r="E821" s="268"/>
      <x:c r="F821" s="268"/>
      <x:c r="G821" s="268"/>
      <x:c r="H821" s="268"/>
      <x:c r="I821" s="268"/>
      <x:c r="J821" s="268"/>
      <x:c r="K821" s="268"/>
      <x:c r="L821" s="268"/>
      <x:c r="M821" s="268"/>
      <x:c r="N821" s="268"/>
      <x:c r="O821" s="268"/>
      <x:c r="P821" s="268"/>
      <x:c r="Q821" s="268"/>
      <x:c r="R821" s="268"/>
      <x:c r="S821" s="268"/>
      <x:c r="T821" s="268"/>
      <x:c r="U821" s="268"/>
      <x:c r="V821" s="268"/>
      <x:c r="W821" s="268"/>
      <x:c r="X821" s="268"/>
      <x:c r="Y821" s="268"/>
      <x:c r="Z821" s="268"/>
      <x:c r="AA821" s="268"/>
      <x:c r="AB821" s="268"/>
      <x:c r="AC821" s="268"/>
    </x:row>
    <x:row r="822">
      <x:c r="A822" s="268"/>
      <x:c r="B822" s="268"/>
      <x:c r="C822" s="268"/>
      <x:c r="D822" s="268"/>
      <x:c r="E822" s="268"/>
      <x:c r="F822" s="268"/>
      <x:c r="G822" s="268"/>
      <x:c r="H822" s="268"/>
      <x:c r="I822" s="268"/>
      <x:c r="J822" s="268"/>
      <x:c r="K822" s="268"/>
      <x:c r="L822" s="268"/>
      <x:c r="M822" s="268"/>
      <x:c r="N822" s="268"/>
      <x:c r="O822" s="268"/>
      <x:c r="P822" s="268"/>
      <x:c r="Q822" s="268"/>
      <x:c r="R822" s="268"/>
      <x:c r="S822" s="268"/>
      <x:c r="T822" s="268"/>
      <x:c r="U822" s="268"/>
      <x:c r="V822" s="268"/>
      <x:c r="W822" s="268"/>
      <x:c r="X822" s="268"/>
      <x:c r="Y822" s="268"/>
      <x:c r="Z822" s="268"/>
      <x:c r="AA822" s="268"/>
      <x:c r="AB822" s="268"/>
      <x:c r="AC822" s="268"/>
    </x:row>
    <x:row r="823">
      <x:c r="A823" s="268"/>
      <x:c r="B823" s="268"/>
      <x:c r="C823" s="268"/>
      <x:c r="D823" s="268"/>
      <x:c r="E823" s="268"/>
      <x:c r="F823" s="268"/>
      <x:c r="G823" s="268"/>
      <x:c r="H823" s="268"/>
      <x:c r="I823" s="268"/>
      <x:c r="J823" s="268"/>
      <x:c r="K823" s="268"/>
      <x:c r="L823" s="268"/>
      <x:c r="M823" s="268"/>
      <x:c r="N823" s="268"/>
      <x:c r="O823" s="268"/>
      <x:c r="P823" s="268"/>
      <x:c r="Q823" s="268"/>
      <x:c r="R823" s="268"/>
      <x:c r="S823" s="268"/>
      <x:c r="T823" s="268"/>
      <x:c r="U823" s="268"/>
      <x:c r="V823" s="268"/>
      <x:c r="W823" s="268"/>
      <x:c r="X823" s="268"/>
      <x:c r="Y823" s="268"/>
      <x:c r="Z823" s="268"/>
      <x:c r="AA823" s="268"/>
      <x:c r="AB823" s="268"/>
      <x:c r="AC823" s="268"/>
    </x:row>
    <x:row r="824">
      <x:c r="A824" s="268"/>
      <x:c r="B824" s="268"/>
      <x:c r="C824" s="268"/>
      <x:c r="D824" s="268"/>
      <x:c r="E824" s="268"/>
      <x:c r="F824" s="268"/>
      <x:c r="G824" s="268"/>
      <x:c r="H824" s="268"/>
      <x:c r="I824" s="268"/>
      <x:c r="J824" s="268"/>
      <x:c r="K824" s="268"/>
      <x:c r="L824" s="268"/>
      <x:c r="M824" s="268"/>
      <x:c r="N824" s="268"/>
      <x:c r="O824" s="268"/>
      <x:c r="P824" s="268"/>
      <x:c r="Q824" s="268"/>
      <x:c r="R824" s="268"/>
      <x:c r="S824" s="268"/>
      <x:c r="T824" s="268"/>
      <x:c r="U824" s="268"/>
      <x:c r="V824" s="268"/>
      <x:c r="W824" s="268"/>
      <x:c r="X824" s="268"/>
      <x:c r="Y824" s="268"/>
      <x:c r="Z824" s="268"/>
      <x:c r="AA824" s="268"/>
      <x:c r="AB824" s="268"/>
      <x:c r="AC824" s="268"/>
    </x:row>
    <x:row r="825">
      <x:c r="A825" s="268"/>
      <x:c r="B825" s="268"/>
      <x:c r="C825" s="268"/>
      <x:c r="D825" s="268"/>
      <x:c r="E825" s="268"/>
      <x:c r="F825" s="268"/>
      <x:c r="G825" s="268"/>
      <x:c r="H825" s="268"/>
      <x:c r="I825" s="268"/>
      <x:c r="J825" s="268"/>
      <x:c r="K825" s="268"/>
      <x:c r="L825" s="268"/>
      <x:c r="M825" s="268"/>
      <x:c r="N825" s="268"/>
      <x:c r="O825" s="268"/>
      <x:c r="P825" s="268"/>
      <x:c r="Q825" s="268"/>
      <x:c r="R825" s="268"/>
      <x:c r="S825" s="268"/>
      <x:c r="T825" s="268"/>
      <x:c r="U825" s="268"/>
      <x:c r="V825" s="268"/>
      <x:c r="W825" s="268"/>
      <x:c r="X825" s="268"/>
      <x:c r="Y825" s="268"/>
      <x:c r="Z825" s="268"/>
      <x:c r="AA825" s="268"/>
      <x:c r="AB825" s="268"/>
      <x:c r="AC825" s="268"/>
    </x:row>
    <x:row r="826">
      <x:c r="A826" s="268"/>
      <x:c r="B826" s="268"/>
      <x:c r="C826" s="268"/>
      <x:c r="D826" s="268"/>
      <x:c r="E826" s="268"/>
      <x:c r="F826" s="268"/>
      <x:c r="G826" s="268"/>
      <x:c r="H826" s="268"/>
      <x:c r="I826" s="268"/>
      <x:c r="J826" s="268"/>
      <x:c r="K826" s="268"/>
      <x:c r="L826" s="268"/>
      <x:c r="M826" s="268"/>
      <x:c r="N826" s="268"/>
      <x:c r="O826" s="268"/>
      <x:c r="P826" s="268"/>
      <x:c r="Q826" s="268"/>
      <x:c r="R826" s="268"/>
      <x:c r="S826" s="268"/>
      <x:c r="T826" s="268"/>
      <x:c r="U826" s="268"/>
      <x:c r="V826" s="268"/>
      <x:c r="W826" s="268"/>
      <x:c r="X826" s="268"/>
      <x:c r="Y826" s="268"/>
      <x:c r="Z826" s="268"/>
      <x:c r="AA826" s="268"/>
      <x:c r="AB826" s="268"/>
      <x:c r="AC826" s="268"/>
    </x:row>
    <x:row r="827">
      <x:c r="A827" s="268"/>
      <x:c r="B827" s="268"/>
      <x:c r="C827" s="268"/>
      <x:c r="D827" s="268"/>
      <x:c r="E827" s="268"/>
      <x:c r="F827" s="268"/>
      <x:c r="G827" s="268"/>
      <x:c r="H827" s="268"/>
      <x:c r="I827" s="268"/>
      <x:c r="J827" s="268"/>
      <x:c r="K827" s="268"/>
      <x:c r="L827" s="268"/>
      <x:c r="M827" s="268"/>
      <x:c r="N827" s="268"/>
      <x:c r="O827" s="268"/>
      <x:c r="P827" s="268"/>
      <x:c r="Q827" s="268"/>
      <x:c r="R827" s="268"/>
      <x:c r="S827" s="268"/>
      <x:c r="T827" s="268"/>
      <x:c r="U827" s="268"/>
      <x:c r="V827" s="268"/>
      <x:c r="W827" s="268"/>
      <x:c r="X827" s="268"/>
      <x:c r="Y827" s="268"/>
      <x:c r="Z827" s="268"/>
      <x:c r="AA827" s="268"/>
      <x:c r="AB827" s="268"/>
      <x:c r="AC827" s="268"/>
    </x:row>
    <x:row r="828">
      <x:c r="A828" s="268"/>
      <x:c r="B828" s="268"/>
      <x:c r="C828" s="268"/>
      <x:c r="D828" s="268"/>
      <x:c r="E828" s="268"/>
      <x:c r="F828" s="268"/>
      <x:c r="G828" s="268"/>
      <x:c r="H828" s="268"/>
      <x:c r="I828" s="268"/>
      <x:c r="J828" s="268"/>
      <x:c r="K828" s="268"/>
      <x:c r="L828" s="268"/>
      <x:c r="M828" s="268"/>
      <x:c r="N828" s="268"/>
      <x:c r="O828" s="268"/>
      <x:c r="P828" s="268"/>
      <x:c r="Q828" s="268"/>
      <x:c r="R828" s="268"/>
      <x:c r="S828" s="268"/>
      <x:c r="T828" s="268"/>
      <x:c r="U828" s="268"/>
      <x:c r="V828" s="268"/>
      <x:c r="W828" s="268"/>
      <x:c r="X828" s="268"/>
      <x:c r="Y828" s="268"/>
      <x:c r="Z828" s="268"/>
      <x:c r="AA828" s="268"/>
      <x:c r="AB828" s="268"/>
      <x:c r="AC828" s="268"/>
    </x:row>
    <x:row r="829">
      <x:c r="A829" s="268"/>
      <x:c r="B829" s="268"/>
      <x:c r="C829" s="268"/>
      <x:c r="D829" s="268"/>
      <x:c r="E829" s="268"/>
      <x:c r="F829" s="268"/>
      <x:c r="G829" s="268"/>
      <x:c r="H829" s="268"/>
      <x:c r="I829" s="268"/>
      <x:c r="J829" s="268"/>
      <x:c r="K829" s="268"/>
      <x:c r="L829" s="268"/>
      <x:c r="M829" s="268"/>
      <x:c r="N829" s="268"/>
      <x:c r="O829" s="268"/>
      <x:c r="P829" s="268"/>
      <x:c r="Q829" s="268"/>
      <x:c r="R829" s="268"/>
      <x:c r="S829" s="268"/>
      <x:c r="T829" s="268"/>
      <x:c r="U829" s="268"/>
      <x:c r="V829" s="268"/>
      <x:c r="W829" s="268"/>
      <x:c r="X829" s="268"/>
      <x:c r="Y829" s="268"/>
      <x:c r="Z829" s="268"/>
      <x:c r="AA829" s="268"/>
      <x:c r="AB829" s="268"/>
      <x:c r="AC829" s="268"/>
    </x:row>
    <x:row r="830">
      <x:c r="A830" s="268"/>
      <x:c r="B830" s="268"/>
      <x:c r="C830" s="268"/>
      <x:c r="D830" s="268"/>
      <x:c r="E830" s="268"/>
      <x:c r="F830" s="268"/>
      <x:c r="G830" s="268"/>
      <x:c r="H830" s="268"/>
      <x:c r="I830" s="268"/>
      <x:c r="J830" s="268"/>
      <x:c r="K830" s="268"/>
      <x:c r="L830" s="268"/>
      <x:c r="M830" s="268"/>
      <x:c r="N830" s="268"/>
      <x:c r="O830" s="268"/>
      <x:c r="P830" s="268"/>
      <x:c r="Q830" s="268"/>
      <x:c r="R830" s="268"/>
      <x:c r="S830" s="268"/>
      <x:c r="T830" s="268"/>
      <x:c r="U830" s="268"/>
      <x:c r="V830" s="268"/>
      <x:c r="W830" s="268"/>
      <x:c r="X830" s="268"/>
      <x:c r="Y830" s="268"/>
      <x:c r="Z830" s="268"/>
      <x:c r="AA830" s="268"/>
      <x:c r="AB830" s="268"/>
      <x:c r="AC830" s="268"/>
    </x:row>
    <x:row r="831">
      <x:c r="A831" s="268"/>
      <x:c r="B831" s="268"/>
      <x:c r="C831" s="268"/>
      <x:c r="D831" s="268"/>
      <x:c r="E831" s="268"/>
      <x:c r="F831" s="268"/>
      <x:c r="G831" s="268"/>
      <x:c r="H831" s="268"/>
      <x:c r="I831" s="268"/>
      <x:c r="J831" s="268"/>
      <x:c r="K831" s="268"/>
      <x:c r="L831" s="268"/>
      <x:c r="M831" s="268"/>
      <x:c r="N831" s="268"/>
      <x:c r="O831" s="268"/>
      <x:c r="P831" s="268"/>
      <x:c r="Q831" s="268"/>
      <x:c r="R831" s="268"/>
      <x:c r="S831" s="268"/>
      <x:c r="T831" s="268"/>
      <x:c r="U831" s="268"/>
      <x:c r="V831" s="268"/>
      <x:c r="W831" s="268"/>
      <x:c r="X831" s="268"/>
      <x:c r="Y831" s="268"/>
      <x:c r="Z831" s="268"/>
      <x:c r="AA831" s="268"/>
      <x:c r="AB831" s="268"/>
      <x:c r="AC831" s="268"/>
    </x:row>
    <x:row r="832">
      <x:c r="A832" s="268"/>
      <x:c r="B832" s="268"/>
      <x:c r="C832" s="268"/>
      <x:c r="D832" s="268"/>
      <x:c r="E832" s="268"/>
      <x:c r="F832" s="268"/>
      <x:c r="G832" s="268"/>
      <x:c r="H832" s="268"/>
      <x:c r="I832" s="268"/>
      <x:c r="J832" s="268"/>
      <x:c r="K832" s="268"/>
      <x:c r="L832" s="268"/>
      <x:c r="M832" s="268"/>
      <x:c r="N832" s="268"/>
      <x:c r="O832" s="268"/>
      <x:c r="P832" s="268"/>
      <x:c r="Q832" s="268"/>
      <x:c r="R832" s="268"/>
      <x:c r="S832" s="268"/>
      <x:c r="T832" s="268"/>
      <x:c r="U832" s="268"/>
      <x:c r="V832" s="268"/>
      <x:c r="W832" s="268"/>
      <x:c r="X832" s="268"/>
      <x:c r="Y832" s="268"/>
      <x:c r="Z832" s="268"/>
      <x:c r="AA832" s="268"/>
      <x:c r="AB832" s="268"/>
      <x:c r="AC832" s="268"/>
    </x:row>
    <x:row r="833">
      <x:c r="A833" s="268"/>
      <x:c r="B833" s="268"/>
      <x:c r="C833" s="268"/>
      <x:c r="D833" s="268"/>
      <x:c r="E833" s="268"/>
      <x:c r="F833" s="268"/>
      <x:c r="G833" s="268"/>
      <x:c r="H833" s="268"/>
      <x:c r="I833" s="268"/>
      <x:c r="J833" s="268"/>
      <x:c r="K833" s="268"/>
      <x:c r="L833" s="268"/>
      <x:c r="M833" s="268"/>
      <x:c r="N833" s="268"/>
      <x:c r="O833" s="268"/>
      <x:c r="P833" s="268"/>
      <x:c r="Q833" s="268"/>
      <x:c r="R833" s="268"/>
      <x:c r="S833" s="268"/>
      <x:c r="T833" s="268"/>
      <x:c r="U833" s="268"/>
      <x:c r="V833" s="268"/>
      <x:c r="W833" s="268"/>
      <x:c r="X833" s="268"/>
      <x:c r="Y833" s="268"/>
      <x:c r="Z833" s="268"/>
      <x:c r="AA833" s="268"/>
      <x:c r="AB833" s="268"/>
      <x:c r="AC833" s="268"/>
    </x:row>
    <x:row r="834">
      <x:c r="A834" s="268"/>
      <x:c r="B834" s="268"/>
      <x:c r="C834" s="268"/>
      <x:c r="D834" s="268"/>
      <x:c r="E834" s="268"/>
      <x:c r="F834" s="268"/>
      <x:c r="G834" s="268"/>
      <x:c r="H834" s="268"/>
      <x:c r="I834" s="268"/>
      <x:c r="J834" s="268"/>
      <x:c r="K834" s="268"/>
      <x:c r="L834" s="268"/>
      <x:c r="M834" s="268"/>
      <x:c r="N834" s="268"/>
      <x:c r="O834" s="268"/>
      <x:c r="P834" s="268"/>
      <x:c r="Q834" s="268"/>
      <x:c r="R834" s="268"/>
      <x:c r="S834" s="268"/>
      <x:c r="T834" s="268"/>
      <x:c r="U834" s="268"/>
      <x:c r="V834" s="268"/>
      <x:c r="W834" s="268"/>
      <x:c r="X834" s="268"/>
      <x:c r="Y834" s="268"/>
      <x:c r="Z834" s="268"/>
      <x:c r="AA834" s="268"/>
      <x:c r="AB834" s="268"/>
      <x:c r="AC834" s="268"/>
    </x:row>
    <x:row r="835">
      <x:c r="A835" s="268"/>
      <x:c r="B835" s="268"/>
      <x:c r="C835" s="268"/>
      <x:c r="D835" s="268"/>
      <x:c r="E835" s="268"/>
      <x:c r="F835" s="268"/>
      <x:c r="G835" s="268"/>
      <x:c r="H835" s="268"/>
      <x:c r="I835" s="268"/>
      <x:c r="J835" s="268"/>
      <x:c r="K835" s="268"/>
      <x:c r="L835" s="268"/>
      <x:c r="M835" s="268"/>
      <x:c r="N835" s="268"/>
      <x:c r="O835" s="268"/>
      <x:c r="P835" s="268"/>
      <x:c r="Q835" s="268"/>
      <x:c r="R835" s="268"/>
      <x:c r="S835" s="268"/>
      <x:c r="T835" s="268"/>
      <x:c r="U835" s="268"/>
      <x:c r="V835" s="268"/>
      <x:c r="W835" s="268"/>
      <x:c r="X835" s="268"/>
      <x:c r="Y835" s="268"/>
      <x:c r="Z835" s="268"/>
      <x:c r="AA835" s="268"/>
      <x:c r="AB835" s="268"/>
      <x:c r="AC835" s="268"/>
    </x:row>
    <x:row r="836">
      <x:c r="A836" s="268"/>
      <x:c r="B836" s="268"/>
      <x:c r="C836" s="268"/>
      <x:c r="D836" s="268"/>
      <x:c r="E836" s="268"/>
      <x:c r="F836" s="268"/>
      <x:c r="G836" s="268"/>
      <x:c r="H836" s="268"/>
      <x:c r="I836" s="268"/>
      <x:c r="J836" s="268"/>
      <x:c r="K836" s="268"/>
      <x:c r="L836" s="268"/>
      <x:c r="M836" s="268"/>
      <x:c r="N836" s="268"/>
      <x:c r="O836" s="268"/>
      <x:c r="P836" s="268"/>
      <x:c r="Q836" s="268"/>
      <x:c r="R836" s="268"/>
      <x:c r="S836" s="268"/>
      <x:c r="T836" s="268"/>
      <x:c r="U836" s="268"/>
      <x:c r="V836" s="268"/>
      <x:c r="W836" s="268"/>
      <x:c r="X836" s="268"/>
      <x:c r="Y836" s="268"/>
      <x:c r="Z836" s="268"/>
      <x:c r="AA836" s="268"/>
      <x:c r="AB836" s="268"/>
      <x:c r="AC836" s="268"/>
    </x:row>
    <x:row r="837">
      <x:c r="A837" s="268"/>
      <x:c r="B837" s="268"/>
      <x:c r="C837" s="268"/>
      <x:c r="D837" s="268"/>
      <x:c r="E837" s="268"/>
      <x:c r="F837" s="268"/>
      <x:c r="G837" s="268"/>
      <x:c r="H837" s="268"/>
      <x:c r="I837" s="268"/>
      <x:c r="J837" s="268"/>
      <x:c r="K837" s="268"/>
      <x:c r="L837" s="268"/>
      <x:c r="M837" s="268"/>
      <x:c r="N837" s="268"/>
      <x:c r="O837" s="268"/>
      <x:c r="P837" s="268"/>
      <x:c r="Q837" s="268"/>
      <x:c r="R837" s="268"/>
      <x:c r="S837" s="268"/>
      <x:c r="T837" s="268"/>
      <x:c r="U837" s="268"/>
      <x:c r="V837" s="268"/>
      <x:c r="W837" s="268"/>
      <x:c r="X837" s="268"/>
      <x:c r="Y837" s="268"/>
      <x:c r="Z837" s="268"/>
      <x:c r="AA837" s="268"/>
      <x:c r="AB837" s="268"/>
      <x:c r="AC837" s="268"/>
    </x:row>
    <x:row r="838">
      <x:c r="A838" s="268"/>
      <x:c r="B838" s="268"/>
      <x:c r="C838" s="268"/>
      <x:c r="D838" s="268"/>
      <x:c r="E838" s="268"/>
      <x:c r="F838" s="268"/>
      <x:c r="G838" s="268"/>
      <x:c r="H838" s="268"/>
      <x:c r="I838" s="268"/>
      <x:c r="J838" s="268"/>
      <x:c r="K838" s="268"/>
      <x:c r="L838" s="268"/>
      <x:c r="M838" s="268"/>
      <x:c r="N838" s="268"/>
      <x:c r="O838" s="268"/>
      <x:c r="P838" s="268"/>
      <x:c r="Q838" s="268"/>
      <x:c r="R838" s="268"/>
      <x:c r="S838" s="268"/>
      <x:c r="T838" s="268"/>
      <x:c r="U838" s="268"/>
      <x:c r="V838" s="268"/>
      <x:c r="W838" s="268"/>
      <x:c r="X838" s="268"/>
      <x:c r="Y838" s="268"/>
      <x:c r="Z838" s="268"/>
      <x:c r="AA838" s="268"/>
      <x:c r="AB838" s="268"/>
      <x:c r="AC838" s="268"/>
    </x:row>
    <x:row r="839">
      <x:c r="A839" s="268"/>
      <x:c r="B839" s="268"/>
      <x:c r="C839" s="268"/>
      <x:c r="D839" s="268"/>
      <x:c r="E839" s="268"/>
      <x:c r="F839" s="268"/>
      <x:c r="G839" s="268"/>
      <x:c r="H839" s="268"/>
      <x:c r="I839" s="268"/>
      <x:c r="J839" s="268"/>
      <x:c r="K839" s="268"/>
      <x:c r="L839" s="268"/>
      <x:c r="M839" s="268"/>
      <x:c r="N839" s="268"/>
      <x:c r="O839" s="268"/>
      <x:c r="P839" s="268"/>
      <x:c r="Q839" s="268"/>
      <x:c r="R839" s="268"/>
      <x:c r="S839" s="268"/>
      <x:c r="T839" s="268"/>
      <x:c r="U839" s="268"/>
      <x:c r="V839" s="268"/>
      <x:c r="W839" s="268"/>
      <x:c r="X839" s="268"/>
      <x:c r="Y839" s="268"/>
      <x:c r="Z839" s="268"/>
      <x:c r="AA839" s="268"/>
      <x:c r="AB839" s="268"/>
      <x:c r="AC839" s="268"/>
    </x:row>
    <x:row r="840">
      <x:c r="A840" s="268"/>
      <x:c r="B840" s="268"/>
      <x:c r="C840" s="268"/>
      <x:c r="D840" s="268"/>
      <x:c r="E840" s="268"/>
      <x:c r="F840" s="268"/>
      <x:c r="G840" s="268"/>
      <x:c r="H840" s="268"/>
      <x:c r="I840" s="268"/>
      <x:c r="J840" s="268"/>
      <x:c r="K840" s="268"/>
      <x:c r="L840" s="268"/>
      <x:c r="M840" s="268"/>
      <x:c r="N840" s="268"/>
      <x:c r="O840" s="268"/>
      <x:c r="P840" s="268"/>
      <x:c r="Q840" s="268"/>
      <x:c r="R840" s="268"/>
      <x:c r="S840" s="268"/>
      <x:c r="T840" s="268"/>
      <x:c r="U840" s="268"/>
      <x:c r="V840" s="268"/>
      <x:c r="W840" s="268"/>
      <x:c r="X840" s="268"/>
      <x:c r="Y840" s="268"/>
      <x:c r="Z840" s="268"/>
      <x:c r="AA840" s="268"/>
      <x:c r="AB840" s="268"/>
      <x:c r="AC840" s="268"/>
    </x:row>
    <x:row r="841">
      <x:c r="A841" s="268"/>
      <x:c r="B841" s="268"/>
      <x:c r="C841" s="268"/>
      <x:c r="D841" s="268"/>
      <x:c r="E841" s="268"/>
      <x:c r="F841" s="268"/>
      <x:c r="G841" s="268"/>
      <x:c r="H841" s="268"/>
      <x:c r="I841" s="268"/>
      <x:c r="J841" s="268"/>
      <x:c r="K841" s="268"/>
      <x:c r="L841" s="268"/>
      <x:c r="M841" s="268"/>
      <x:c r="N841" s="268"/>
      <x:c r="O841" s="268"/>
      <x:c r="P841" s="268"/>
      <x:c r="Q841" s="268"/>
      <x:c r="R841" s="268"/>
      <x:c r="S841" s="268"/>
      <x:c r="T841" s="268"/>
      <x:c r="U841" s="268"/>
      <x:c r="V841" s="268"/>
      <x:c r="W841" s="268"/>
      <x:c r="X841" s="268"/>
      <x:c r="Y841" s="268"/>
      <x:c r="Z841" s="268"/>
      <x:c r="AA841" s="268"/>
      <x:c r="AB841" s="268"/>
      <x:c r="AC841" s="268"/>
    </x:row>
    <x:row r="842">
      <x:c r="A842" s="268"/>
      <x:c r="B842" s="268"/>
      <x:c r="C842" s="268"/>
      <x:c r="D842" s="268"/>
      <x:c r="E842" s="268"/>
      <x:c r="F842" s="268"/>
      <x:c r="G842" s="268"/>
      <x:c r="H842" s="268"/>
      <x:c r="I842" s="268"/>
      <x:c r="J842" s="268"/>
      <x:c r="K842" s="268"/>
      <x:c r="L842" s="268"/>
      <x:c r="M842" s="268"/>
      <x:c r="N842" s="268"/>
      <x:c r="O842" s="268"/>
      <x:c r="P842" s="268"/>
      <x:c r="Q842" s="268"/>
      <x:c r="R842" s="268"/>
      <x:c r="S842" s="268"/>
      <x:c r="T842" s="268"/>
      <x:c r="U842" s="268"/>
      <x:c r="V842" s="268"/>
      <x:c r="W842" s="268"/>
      <x:c r="X842" s="268"/>
      <x:c r="Y842" s="268"/>
      <x:c r="Z842" s="268"/>
      <x:c r="AA842" s="268"/>
      <x:c r="AB842" s="268"/>
      <x:c r="AC842" s="268"/>
    </x:row>
    <x:row r="843">
      <x:c r="A843" s="268"/>
      <x:c r="B843" s="268"/>
      <x:c r="C843" s="268"/>
      <x:c r="D843" s="268"/>
      <x:c r="E843" s="268"/>
      <x:c r="F843" s="268"/>
      <x:c r="G843" s="268"/>
      <x:c r="H843" s="268"/>
      <x:c r="I843" s="268"/>
      <x:c r="J843" s="268"/>
      <x:c r="K843" s="268"/>
      <x:c r="L843" s="268"/>
      <x:c r="M843" s="268"/>
      <x:c r="N843" s="268"/>
      <x:c r="O843" s="268"/>
      <x:c r="P843" s="268"/>
      <x:c r="Q843" s="268"/>
      <x:c r="R843" s="268"/>
      <x:c r="S843" s="268"/>
      <x:c r="T843" s="268"/>
      <x:c r="U843" s="268"/>
      <x:c r="V843" s="268"/>
      <x:c r="W843" s="268"/>
      <x:c r="X843" s="268"/>
      <x:c r="Y843" s="268"/>
      <x:c r="Z843" s="268"/>
      <x:c r="AA843" s="268"/>
      <x:c r="AB843" s="268"/>
      <x:c r="AC843" s="268"/>
    </x:row>
    <x:row r="844">
      <x:c r="A844" s="268"/>
      <x:c r="B844" s="268"/>
      <x:c r="C844" s="268"/>
      <x:c r="D844" s="268"/>
      <x:c r="E844" s="268"/>
      <x:c r="F844" s="268"/>
      <x:c r="G844" s="268"/>
      <x:c r="H844" s="268"/>
      <x:c r="I844" s="268"/>
      <x:c r="J844" s="268"/>
      <x:c r="K844" s="268"/>
      <x:c r="L844" s="268"/>
      <x:c r="M844" s="268"/>
      <x:c r="N844" s="268"/>
      <x:c r="O844" s="268"/>
      <x:c r="P844" s="268"/>
      <x:c r="Q844" s="268"/>
      <x:c r="R844" s="268"/>
      <x:c r="S844" s="268"/>
      <x:c r="T844" s="268"/>
      <x:c r="U844" s="268"/>
      <x:c r="V844" s="268"/>
      <x:c r="W844" s="268"/>
      <x:c r="X844" s="268"/>
      <x:c r="Y844" s="268"/>
      <x:c r="Z844" s="268"/>
      <x:c r="AA844" s="268"/>
      <x:c r="AB844" s="268"/>
      <x:c r="AC844" s="268"/>
    </x:row>
    <x:row r="845">
      <x:c r="A845" s="268"/>
      <x:c r="B845" s="268"/>
      <x:c r="C845" s="268"/>
      <x:c r="D845" s="268"/>
      <x:c r="E845" s="268"/>
      <x:c r="F845" s="268"/>
      <x:c r="G845" s="268"/>
      <x:c r="H845" s="268"/>
      <x:c r="I845" s="268"/>
      <x:c r="J845" s="268"/>
      <x:c r="K845" s="268"/>
      <x:c r="L845" s="268"/>
      <x:c r="M845" s="268"/>
      <x:c r="N845" s="268"/>
      <x:c r="O845" s="268"/>
      <x:c r="P845" s="268"/>
      <x:c r="Q845" s="268"/>
      <x:c r="R845" s="268"/>
      <x:c r="S845" s="268"/>
      <x:c r="T845" s="268"/>
      <x:c r="U845" s="268"/>
      <x:c r="V845" s="268"/>
      <x:c r="W845" s="268"/>
      <x:c r="X845" s="268"/>
      <x:c r="Y845" s="268"/>
      <x:c r="Z845" s="268"/>
      <x:c r="AA845" s="268"/>
      <x:c r="AB845" s="268"/>
      <x:c r="AC845" s="268"/>
    </x:row>
    <x:row r="846">
      <x:c r="A846" s="268"/>
      <x:c r="B846" s="268"/>
      <x:c r="C846" s="268"/>
      <x:c r="D846" s="268"/>
      <x:c r="E846" s="268"/>
      <x:c r="F846" s="268"/>
      <x:c r="G846" s="268"/>
      <x:c r="H846" s="268"/>
      <x:c r="I846" s="268"/>
      <x:c r="J846" s="268"/>
      <x:c r="K846" s="268"/>
      <x:c r="L846" s="268"/>
      <x:c r="M846" s="268"/>
      <x:c r="N846" s="268"/>
      <x:c r="O846" s="268"/>
      <x:c r="P846" s="268"/>
      <x:c r="Q846" s="268"/>
      <x:c r="R846" s="268"/>
      <x:c r="S846" s="268"/>
      <x:c r="T846" s="268"/>
      <x:c r="U846" s="268"/>
      <x:c r="V846" s="268"/>
      <x:c r="W846" s="268"/>
      <x:c r="X846" s="268"/>
      <x:c r="Y846" s="268"/>
      <x:c r="Z846" s="268"/>
      <x:c r="AA846" s="268"/>
      <x:c r="AB846" s="268"/>
      <x:c r="AC846" s="268"/>
    </x:row>
    <x:row r="847">
      <x:c r="A847" s="268"/>
      <x:c r="B847" s="268"/>
      <x:c r="C847" s="268"/>
      <x:c r="D847" s="268"/>
      <x:c r="E847" s="268"/>
      <x:c r="F847" s="268"/>
      <x:c r="G847" s="268"/>
      <x:c r="H847" s="268"/>
      <x:c r="I847" s="268"/>
      <x:c r="J847" s="268"/>
      <x:c r="K847" s="268"/>
      <x:c r="L847" s="268"/>
      <x:c r="M847" s="268"/>
      <x:c r="N847" s="268"/>
      <x:c r="O847" s="268"/>
      <x:c r="P847" s="268"/>
      <x:c r="Q847" s="268"/>
      <x:c r="R847" s="268"/>
      <x:c r="S847" s="268"/>
      <x:c r="T847" s="268"/>
      <x:c r="U847" s="268"/>
      <x:c r="V847" s="268"/>
      <x:c r="W847" s="268"/>
      <x:c r="X847" s="268"/>
      <x:c r="Y847" s="268"/>
      <x:c r="Z847" s="268"/>
      <x:c r="AA847" s="268"/>
      <x:c r="AB847" s="268"/>
      <x:c r="AC847" s="268"/>
    </x:row>
    <x:row r="848">
      <x:c r="A848" s="268"/>
      <x:c r="B848" s="268"/>
      <x:c r="C848" s="268"/>
      <x:c r="D848" s="268"/>
      <x:c r="E848" s="268"/>
      <x:c r="F848" s="268"/>
      <x:c r="G848" s="268"/>
      <x:c r="H848" s="268"/>
      <x:c r="I848" s="268"/>
      <x:c r="J848" s="268"/>
      <x:c r="K848" s="268"/>
      <x:c r="L848" s="268"/>
      <x:c r="M848" s="268"/>
      <x:c r="N848" s="268"/>
      <x:c r="O848" s="268"/>
      <x:c r="P848" s="268"/>
      <x:c r="Q848" s="268"/>
      <x:c r="R848" s="268"/>
      <x:c r="S848" s="268"/>
      <x:c r="T848" s="268"/>
      <x:c r="U848" s="268"/>
      <x:c r="V848" s="268"/>
      <x:c r="W848" s="268"/>
      <x:c r="X848" s="268"/>
      <x:c r="Y848" s="268"/>
      <x:c r="Z848" s="268"/>
      <x:c r="AA848" s="268"/>
      <x:c r="AB848" s="268"/>
      <x:c r="AC848" s="268"/>
    </x:row>
    <x:row r="849">
      <x:c r="A849" s="268"/>
      <x:c r="B849" s="268"/>
      <x:c r="C849" s="268"/>
      <x:c r="D849" s="268"/>
      <x:c r="E849" s="268"/>
      <x:c r="F849" s="268"/>
      <x:c r="G849" s="268"/>
      <x:c r="H849" s="268"/>
      <x:c r="I849" s="268"/>
      <x:c r="J849" s="268"/>
      <x:c r="K849" s="268"/>
      <x:c r="L849" s="268"/>
      <x:c r="M849" s="268"/>
      <x:c r="N849" s="268"/>
      <x:c r="O849" s="268"/>
      <x:c r="P849" s="268"/>
      <x:c r="Q849" s="268"/>
      <x:c r="R849" s="268"/>
      <x:c r="S849" s="268"/>
      <x:c r="T849" s="268"/>
      <x:c r="U849" s="268"/>
      <x:c r="V849" s="268"/>
      <x:c r="W849" s="268"/>
      <x:c r="X849" s="268"/>
      <x:c r="Y849" s="268"/>
      <x:c r="Z849" s="268"/>
      <x:c r="AA849" s="268"/>
      <x:c r="AB849" s="268"/>
      <x:c r="AC849" s="268"/>
    </x:row>
    <x:row r="850">
      <x:c r="A850" s="268"/>
      <x:c r="B850" s="268"/>
      <x:c r="C850" s="268"/>
      <x:c r="D850" s="268"/>
      <x:c r="E850" s="268"/>
      <x:c r="F850" s="268"/>
      <x:c r="G850" s="268"/>
      <x:c r="H850" s="268"/>
      <x:c r="I850" s="268"/>
      <x:c r="J850" s="268"/>
      <x:c r="K850" s="268"/>
      <x:c r="L850" s="268"/>
      <x:c r="M850" s="268"/>
      <x:c r="N850" s="268"/>
      <x:c r="O850" s="268"/>
      <x:c r="P850" s="268"/>
      <x:c r="Q850" s="268"/>
      <x:c r="R850" s="268"/>
      <x:c r="S850" s="268"/>
      <x:c r="T850" s="268"/>
      <x:c r="U850" s="268"/>
      <x:c r="V850" s="268"/>
      <x:c r="W850" s="268"/>
      <x:c r="X850" s="268"/>
      <x:c r="Y850" s="268"/>
      <x:c r="Z850" s="268"/>
      <x:c r="AA850" s="268"/>
      <x:c r="AB850" s="268"/>
      <x:c r="AC850" s="268"/>
    </x:row>
    <x:row r="851">
      <x:c r="A851" s="268"/>
      <x:c r="B851" s="268"/>
      <x:c r="C851" s="268"/>
      <x:c r="D851" s="268"/>
      <x:c r="E851" s="268"/>
      <x:c r="F851" s="268"/>
      <x:c r="G851" s="268"/>
      <x:c r="H851" s="268"/>
      <x:c r="I851" s="268"/>
      <x:c r="J851" s="268"/>
      <x:c r="K851" s="268"/>
      <x:c r="L851" s="268"/>
      <x:c r="M851" s="268"/>
      <x:c r="N851" s="268"/>
      <x:c r="O851" s="268"/>
      <x:c r="P851" s="268"/>
      <x:c r="Q851" s="268"/>
      <x:c r="R851" s="268"/>
      <x:c r="S851" s="268"/>
      <x:c r="T851" s="268"/>
      <x:c r="U851" s="268"/>
      <x:c r="V851" s="268"/>
      <x:c r="W851" s="268"/>
      <x:c r="X851" s="268"/>
      <x:c r="Y851" s="268"/>
      <x:c r="Z851" s="268"/>
      <x:c r="AA851" s="268"/>
      <x:c r="AB851" s="268"/>
      <x:c r="AC851" s="268"/>
    </x:row>
    <x:row r="852">
      <x:c r="A852" s="268"/>
      <x:c r="B852" s="268"/>
      <x:c r="C852" s="268"/>
      <x:c r="D852" s="268"/>
      <x:c r="E852" s="268"/>
      <x:c r="F852" s="268"/>
      <x:c r="G852" s="268"/>
      <x:c r="H852" s="268"/>
      <x:c r="I852" s="268"/>
      <x:c r="J852" s="268"/>
      <x:c r="K852" s="268"/>
      <x:c r="L852" s="268"/>
      <x:c r="M852" s="268"/>
      <x:c r="N852" s="268"/>
      <x:c r="O852" s="268"/>
      <x:c r="P852" s="268"/>
      <x:c r="Q852" s="268"/>
      <x:c r="R852" s="268"/>
      <x:c r="S852" s="268"/>
      <x:c r="T852" s="268"/>
      <x:c r="U852" s="268"/>
      <x:c r="V852" s="268"/>
      <x:c r="W852" s="268"/>
      <x:c r="X852" s="268"/>
      <x:c r="Y852" s="268"/>
      <x:c r="Z852" s="268"/>
      <x:c r="AA852" s="268"/>
      <x:c r="AB852" s="268"/>
      <x:c r="AC852" s="268"/>
    </x:row>
    <x:row r="853">
      <x:c r="A853" s="268"/>
      <x:c r="B853" s="268"/>
      <x:c r="C853" s="268"/>
      <x:c r="D853" s="268"/>
      <x:c r="E853" s="268"/>
      <x:c r="F853" s="268"/>
      <x:c r="G853" s="268"/>
      <x:c r="H853" s="268"/>
      <x:c r="I853" s="268"/>
      <x:c r="J853" s="268"/>
      <x:c r="K853" s="268"/>
      <x:c r="L853" s="268"/>
      <x:c r="M853" s="268"/>
      <x:c r="N853" s="268"/>
      <x:c r="O853" s="268"/>
      <x:c r="P853" s="268"/>
      <x:c r="Q853" s="268"/>
      <x:c r="R853" s="268"/>
      <x:c r="S853" s="268"/>
      <x:c r="T853" s="268"/>
      <x:c r="U853" s="268"/>
      <x:c r="V853" s="268"/>
      <x:c r="W853" s="268"/>
      <x:c r="X853" s="268"/>
      <x:c r="Y853" s="268"/>
      <x:c r="Z853" s="268"/>
      <x:c r="AA853" s="268"/>
      <x:c r="AB853" s="268"/>
      <x:c r="AC853" s="268"/>
    </x:row>
    <x:row r="854">
      <x:c r="A854" s="268"/>
      <x:c r="B854" s="268"/>
      <x:c r="C854" s="268"/>
      <x:c r="D854" s="268"/>
      <x:c r="E854" s="268"/>
      <x:c r="F854" s="268"/>
      <x:c r="G854" s="268"/>
      <x:c r="H854" s="268"/>
      <x:c r="I854" s="268"/>
      <x:c r="J854" s="268"/>
      <x:c r="K854" s="268"/>
      <x:c r="L854" s="268"/>
      <x:c r="M854" s="268"/>
      <x:c r="N854" s="268"/>
      <x:c r="O854" s="268"/>
      <x:c r="P854" s="268"/>
      <x:c r="Q854" s="268"/>
      <x:c r="R854" s="268"/>
      <x:c r="S854" s="268"/>
      <x:c r="T854" s="268"/>
      <x:c r="U854" s="268"/>
      <x:c r="V854" s="268"/>
      <x:c r="W854" s="268"/>
      <x:c r="X854" s="268"/>
      <x:c r="Y854" s="268"/>
      <x:c r="Z854" s="268"/>
      <x:c r="AA854" s="268"/>
      <x:c r="AB854" s="268"/>
      <x:c r="AC854" s="268"/>
    </x:row>
    <x:row r="855">
      <x:c r="A855" s="268"/>
      <x:c r="B855" s="268"/>
      <x:c r="C855" s="268"/>
      <x:c r="D855" s="268"/>
      <x:c r="E855" s="268"/>
      <x:c r="F855" s="268"/>
      <x:c r="G855" s="268"/>
      <x:c r="H855" s="268"/>
      <x:c r="I855" s="268"/>
      <x:c r="J855" s="268"/>
      <x:c r="K855" s="268"/>
      <x:c r="L855" s="268"/>
      <x:c r="M855" s="268"/>
      <x:c r="N855" s="268"/>
      <x:c r="O855" s="268"/>
      <x:c r="P855" s="268"/>
      <x:c r="Q855" s="268"/>
      <x:c r="R855" s="268"/>
      <x:c r="S855" s="268"/>
      <x:c r="T855" s="268"/>
      <x:c r="U855" s="268"/>
      <x:c r="V855" s="268"/>
      <x:c r="W855" s="268"/>
      <x:c r="X855" s="268"/>
      <x:c r="Y855" s="268"/>
      <x:c r="Z855" s="268"/>
      <x:c r="AA855" s="268"/>
      <x:c r="AB855" s="268"/>
      <x:c r="AC855" s="268"/>
    </x:row>
    <x:row r="856">
      <x:c r="A856" s="268"/>
      <x:c r="B856" s="268"/>
      <x:c r="C856" s="268"/>
      <x:c r="D856" s="268"/>
      <x:c r="E856" s="268"/>
      <x:c r="F856" s="268"/>
      <x:c r="G856" s="268"/>
      <x:c r="H856" s="268"/>
      <x:c r="I856" s="268"/>
      <x:c r="J856" s="268"/>
      <x:c r="K856" s="268"/>
      <x:c r="L856" s="268"/>
      <x:c r="M856" s="268"/>
      <x:c r="N856" s="268"/>
      <x:c r="O856" s="268"/>
      <x:c r="P856" s="268"/>
      <x:c r="Q856" s="268"/>
      <x:c r="R856" s="268"/>
      <x:c r="S856" s="268"/>
      <x:c r="T856" s="268"/>
      <x:c r="U856" s="268"/>
      <x:c r="V856" s="268"/>
      <x:c r="W856" s="268"/>
      <x:c r="X856" s="268"/>
      <x:c r="Y856" s="268"/>
      <x:c r="Z856" s="268"/>
      <x:c r="AA856" s="268"/>
      <x:c r="AB856" s="268"/>
      <x:c r="AC856" s="268"/>
    </x:row>
    <x:row r="857">
      <x:c r="A857" s="268"/>
      <x:c r="B857" s="268"/>
      <x:c r="C857" s="268"/>
      <x:c r="D857" s="268"/>
      <x:c r="E857" s="268"/>
      <x:c r="F857" s="268"/>
      <x:c r="G857" s="268"/>
      <x:c r="H857" s="268"/>
      <x:c r="I857" s="268"/>
      <x:c r="J857" s="268"/>
      <x:c r="K857" s="268"/>
      <x:c r="L857" s="268"/>
      <x:c r="M857" s="268"/>
      <x:c r="N857" s="268"/>
      <x:c r="O857" s="268"/>
      <x:c r="P857" s="268"/>
      <x:c r="Q857" s="268"/>
      <x:c r="R857" s="268"/>
      <x:c r="S857" s="268"/>
      <x:c r="T857" s="268"/>
      <x:c r="U857" s="268"/>
      <x:c r="V857" s="268"/>
      <x:c r="W857" s="268"/>
      <x:c r="X857" s="268"/>
      <x:c r="Y857" s="268"/>
      <x:c r="Z857" s="268"/>
      <x:c r="AA857" s="268"/>
      <x:c r="AB857" s="268"/>
      <x:c r="AC857" s="268"/>
    </x:row>
    <x:row r="858">
      <x:c r="A858" s="268"/>
      <x:c r="B858" s="268"/>
      <x:c r="C858" s="268"/>
      <x:c r="D858" s="268"/>
      <x:c r="E858" s="268"/>
      <x:c r="F858" s="268"/>
      <x:c r="G858" s="268"/>
      <x:c r="H858" s="268"/>
      <x:c r="I858" s="268"/>
      <x:c r="J858" s="268"/>
      <x:c r="K858" s="268"/>
      <x:c r="L858" s="268"/>
      <x:c r="M858" s="268"/>
      <x:c r="N858" s="268"/>
      <x:c r="O858" s="268"/>
      <x:c r="P858" s="268"/>
      <x:c r="Q858" s="268"/>
      <x:c r="R858" s="268"/>
      <x:c r="S858" s="268"/>
      <x:c r="T858" s="268"/>
      <x:c r="U858" s="268"/>
      <x:c r="V858" s="268"/>
      <x:c r="W858" s="268"/>
      <x:c r="X858" s="268"/>
      <x:c r="Y858" s="268"/>
      <x:c r="Z858" s="268"/>
      <x:c r="AA858" s="268"/>
      <x:c r="AB858" s="268"/>
      <x:c r="AC858" s="268"/>
    </x:row>
    <x:row r="859">
      <x:c r="A859" s="268"/>
      <x:c r="B859" s="268"/>
      <x:c r="C859" s="268"/>
      <x:c r="D859" s="268"/>
      <x:c r="E859" s="268"/>
      <x:c r="F859" s="268"/>
      <x:c r="G859" s="268"/>
      <x:c r="H859" s="268"/>
      <x:c r="I859" s="268"/>
      <x:c r="J859" s="268"/>
      <x:c r="K859" s="268"/>
      <x:c r="L859" s="268"/>
      <x:c r="M859" s="268"/>
      <x:c r="N859" s="268"/>
      <x:c r="O859" s="268"/>
      <x:c r="P859" s="268"/>
      <x:c r="Q859" s="268"/>
      <x:c r="R859" s="268"/>
      <x:c r="S859" s="268"/>
      <x:c r="T859" s="268"/>
      <x:c r="U859" s="268"/>
      <x:c r="V859" s="268"/>
      <x:c r="W859" s="268"/>
      <x:c r="X859" s="268"/>
      <x:c r="Y859" s="268"/>
      <x:c r="Z859" s="268"/>
      <x:c r="AA859" s="268"/>
      <x:c r="AB859" s="268"/>
      <x:c r="AC859" s="268"/>
    </x:row>
    <x:row r="860">
      <x:c r="A860" s="268"/>
      <x:c r="B860" s="268"/>
      <x:c r="C860" s="268"/>
      <x:c r="D860" s="268"/>
      <x:c r="E860" s="268"/>
      <x:c r="F860" s="268"/>
      <x:c r="G860" s="268"/>
      <x:c r="H860" s="268"/>
      <x:c r="I860" s="268"/>
      <x:c r="J860" s="268"/>
      <x:c r="K860" s="268"/>
      <x:c r="L860" s="268"/>
      <x:c r="M860" s="268"/>
      <x:c r="N860" s="268"/>
      <x:c r="O860" s="268"/>
      <x:c r="P860" s="268"/>
      <x:c r="Q860" s="268"/>
      <x:c r="R860" s="268"/>
      <x:c r="S860" s="268"/>
      <x:c r="T860" s="268"/>
      <x:c r="U860" s="268"/>
      <x:c r="V860" s="268"/>
      <x:c r="W860" s="268"/>
      <x:c r="X860" s="268"/>
      <x:c r="Y860" s="268"/>
      <x:c r="Z860" s="268"/>
      <x:c r="AA860" s="268"/>
      <x:c r="AB860" s="268"/>
      <x:c r="AC860" s="268"/>
    </x:row>
    <x:row r="861">
      <x:c r="A861" s="268"/>
      <x:c r="B861" s="268"/>
      <x:c r="C861" s="268"/>
      <x:c r="D861" s="268"/>
      <x:c r="E861" s="268"/>
      <x:c r="F861" s="268"/>
      <x:c r="G861" s="268"/>
      <x:c r="H861" s="268"/>
      <x:c r="I861" s="268"/>
      <x:c r="J861" s="268"/>
      <x:c r="K861" s="268"/>
      <x:c r="L861" s="268"/>
      <x:c r="M861" s="268"/>
      <x:c r="N861" s="268"/>
      <x:c r="O861" s="268"/>
      <x:c r="P861" s="268"/>
      <x:c r="Q861" s="268"/>
      <x:c r="R861" s="268"/>
      <x:c r="S861" s="268"/>
      <x:c r="T861" s="268"/>
      <x:c r="U861" s="268"/>
      <x:c r="V861" s="268"/>
      <x:c r="W861" s="268"/>
      <x:c r="X861" s="268"/>
      <x:c r="Y861" s="268"/>
      <x:c r="Z861" s="268"/>
      <x:c r="AA861" s="268"/>
      <x:c r="AB861" s="268"/>
      <x:c r="AC861" s="268"/>
    </x:row>
    <x:row r="862">
      <x:c r="A862" s="268"/>
      <x:c r="B862" s="268"/>
      <x:c r="C862" s="268"/>
      <x:c r="D862" s="268"/>
      <x:c r="E862" s="268"/>
      <x:c r="F862" s="268"/>
      <x:c r="G862" s="268"/>
      <x:c r="H862" s="268"/>
      <x:c r="I862" s="268"/>
      <x:c r="J862" s="268"/>
      <x:c r="K862" s="268"/>
      <x:c r="L862" s="268"/>
      <x:c r="M862" s="268"/>
      <x:c r="N862" s="268"/>
      <x:c r="O862" s="268"/>
      <x:c r="P862" s="268"/>
      <x:c r="Q862" s="268"/>
      <x:c r="R862" s="268"/>
      <x:c r="S862" s="268"/>
      <x:c r="T862" s="268"/>
      <x:c r="U862" s="268"/>
      <x:c r="V862" s="268"/>
      <x:c r="W862" s="268"/>
      <x:c r="X862" s="268"/>
      <x:c r="Y862" s="268"/>
      <x:c r="Z862" s="268"/>
      <x:c r="AA862" s="268"/>
      <x:c r="AB862" s="268"/>
      <x:c r="AC862" s="268"/>
    </x:row>
    <x:row r="863">
      <x:c r="A863" s="268"/>
      <x:c r="B863" s="268"/>
      <x:c r="C863" s="268"/>
      <x:c r="D863" s="268"/>
      <x:c r="E863" s="268"/>
      <x:c r="F863" s="268"/>
      <x:c r="G863" s="268"/>
      <x:c r="H863" s="268"/>
      <x:c r="I863" s="268"/>
      <x:c r="J863" s="268"/>
      <x:c r="K863" s="268"/>
      <x:c r="L863" s="268"/>
      <x:c r="M863" s="268"/>
      <x:c r="N863" s="268"/>
      <x:c r="O863" s="268"/>
      <x:c r="P863" s="268"/>
      <x:c r="Q863" s="268"/>
      <x:c r="R863" s="268"/>
      <x:c r="S863" s="268"/>
      <x:c r="T863" s="268"/>
      <x:c r="U863" s="268"/>
      <x:c r="V863" s="268"/>
      <x:c r="W863" s="268"/>
      <x:c r="X863" s="268"/>
      <x:c r="Y863" s="268"/>
      <x:c r="Z863" s="268"/>
      <x:c r="AA863" s="268"/>
      <x:c r="AB863" s="268"/>
      <x:c r="AC863" s="268"/>
    </x:row>
    <x:row r="864">
      <x:c r="A864" s="268"/>
      <x:c r="B864" s="268"/>
      <x:c r="C864" s="268"/>
      <x:c r="D864" s="268"/>
      <x:c r="E864" s="268"/>
      <x:c r="F864" s="268"/>
      <x:c r="G864" s="268"/>
      <x:c r="H864" s="268"/>
      <x:c r="I864" s="268"/>
      <x:c r="J864" s="268"/>
      <x:c r="K864" s="268"/>
      <x:c r="L864" s="268"/>
      <x:c r="M864" s="268"/>
      <x:c r="N864" s="268"/>
      <x:c r="O864" s="268"/>
      <x:c r="P864" s="268"/>
      <x:c r="Q864" s="268"/>
      <x:c r="R864" s="268"/>
      <x:c r="S864" s="268"/>
      <x:c r="T864" s="268"/>
      <x:c r="U864" s="268"/>
      <x:c r="V864" s="268"/>
      <x:c r="W864" s="268"/>
      <x:c r="X864" s="268"/>
      <x:c r="Y864" s="268"/>
      <x:c r="Z864" s="268"/>
      <x:c r="AA864" s="268"/>
      <x:c r="AB864" s="268"/>
      <x:c r="AC864" s="268"/>
    </x:row>
    <x:row r="865">
      <x:c r="A865" s="268"/>
      <x:c r="B865" s="268"/>
      <x:c r="C865" s="268"/>
      <x:c r="D865" s="268"/>
      <x:c r="E865" s="268"/>
      <x:c r="F865" s="268"/>
      <x:c r="G865" s="268"/>
      <x:c r="H865" s="268"/>
      <x:c r="I865" s="268"/>
      <x:c r="J865" s="268"/>
      <x:c r="K865" s="268"/>
      <x:c r="L865" s="268"/>
      <x:c r="M865" s="268"/>
      <x:c r="N865" s="268"/>
      <x:c r="O865" s="268"/>
      <x:c r="P865" s="268"/>
      <x:c r="Q865" s="268"/>
      <x:c r="R865" s="268"/>
      <x:c r="S865" s="268"/>
      <x:c r="T865" s="268"/>
      <x:c r="U865" s="268"/>
      <x:c r="V865" s="268"/>
      <x:c r="W865" s="268"/>
      <x:c r="X865" s="268"/>
      <x:c r="Y865" s="268"/>
      <x:c r="Z865" s="268"/>
      <x:c r="AA865" s="268"/>
      <x:c r="AB865" s="268"/>
      <x:c r="AC865" s="268"/>
    </x:row>
    <x:row r="866">
      <x:c r="A866" s="268"/>
      <x:c r="B866" s="268"/>
      <x:c r="C866" s="268"/>
      <x:c r="D866" s="268"/>
      <x:c r="E866" s="268"/>
      <x:c r="F866" s="268"/>
      <x:c r="G866" s="268"/>
      <x:c r="H866" s="268"/>
      <x:c r="I866" s="268"/>
      <x:c r="J866" s="268"/>
      <x:c r="K866" s="268"/>
      <x:c r="L866" s="268"/>
      <x:c r="M866" s="268"/>
      <x:c r="N866" s="268"/>
      <x:c r="O866" s="268"/>
      <x:c r="P866" s="268"/>
      <x:c r="Q866" s="268"/>
      <x:c r="R866" s="268"/>
      <x:c r="S866" s="268"/>
      <x:c r="T866" s="268"/>
      <x:c r="U866" s="268"/>
      <x:c r="V866" s="268"/>
      <x:c r="W866" s="268"/>
      <x:c r="X866" s="268"/>
      <x:c r="Y866" s="268"/>
      <x:c r="Z866" s="268"/>
      <x:c r="AA866" s="268"/>
      <x:c r="AB866" s="268"/>
      <x:c r="AC866" s="268"/>
    </x:row>
    <x:row r="867">
      <x:c r="A867" s="268"/>
      <x:c r="B867" s="268"/>
      <x:c r="C867" s="268"/>
      <x:c r="D867" s="268"/>
      <x:c r="E867" s="268"/>
      <x:c r="F867" s="268"/>
      <x:c r="G867" s="268"/>
      <x:c r="H867" s="268"/>
      <x:c r="I867" s="268"/>
      <x:c r="J867" s="268"/>
      <x:c r="K867" s="268"/>
      <x:c r="L867" s="268"/>
      <x:c r="M867" s="268"/>
      <x:c r="N867" s="268"/>
      <x:c r="O867" s="268"/>
      <x:c r="P867" s="268"/>
      <x:c r="Q867" s="268"/>
      <x:c r="R867" s="268"/>
      <x:c r="S867" s="268"/>
      <x:c r="T867" s="268"/>
      <x:c r="U867" s="268"/>
      <x:c r="V867" s="268"/>
      <x:c r="W867" s="268"/>
      <x:c r="X867" s="268"/>
      <x:c r="Y867" s="268"/>
      <x:c r="Z867" s="268"/>
      <x:c r="AA867" s="268"/>
      <x:c r="AB867" s="268"/>
      <x:c r="AC867" s="268"/>
    </x:row>
    <x:row r="868">
      <x:c r="A868" s="268"/>
      <x:c r="B868" s="268"/>
      <x:c r="C868" s="268"/>
      <x:c r="D868" s="268"/>
      <x:c r="E868" s="268"/>
      <x:c r="F868" s="268"/>
      <x:c r="G868" s="268"/>
      <x:c r="H868" s="268"/>
      <x:c r="I868" s="268"/>
      <x:c r="J868" s="268"/>
      <x:c r="K868" s="268"/>
      <x:c r="L868" s="268"/>
      <x:c r="M868" s="268"/>
      <x:c r="N868" s="268"/>
      <x:c r="O868" s="268"/>
      <x:c r="P868" s="268"/>
      <x:c r="Q868" s="268"/>
      <x:c r="R868" s="268"/>
      <x:c r="S868" s="268"/>
      <x:c r="T868" s="268"/>
      <x:c r="U868" s="268"/>
      <x:c r="V868" s="268"/>
      <x:c r="W868" s="268"/>
      <x:c r="X868" s="268"/>
      <x:c r="Y868" s="268"/>
      <x:c r="Z868" s="268"/>
      <x:c r="AA868" s="268"/>
      <x:c r="AB868" s="268"/>
      <x:c r="AC868" s="268"/>
    </x:row>
    <x:row r="869">
      <x:c r="A869" s="268"/>
      <x:c r="B869" s="268"/>
      <x:c r="C869" s="268"/>
      <x:c r="D869" s="268"/>
      <x:c r="E869" s="268"/>
      <x:c r="F869" s="268"/>
      <x:c r="G869" s="268"/>
      <x:c r="H869" s="268"/>
      <x:c r="I869" s="268"/>
      <x:c r="J869" s="268"/>
      <x:c r="K869" s="268"/>
      <x:c r="L869" s="268"/>
      <x:c r="M869" s="268"/>
      <x:c r="N869" s="268"/>
      <x:c r="O869" s="268"/>
      <x:c r="P869" s="268"/>
      <x:c r="Q869" s="268"/>
      <x:c r="R869" s="268"/>
      <x:c r="S869" s="268"/>
      <x:c r="T869" s="268"/>
      <x:c r="U869" s="268"/>
      <x:c r="V869" s="268"/>
      <x:c r="W869" s="268"/>
      <x:c r="X869" s="268"/>
      <x:c r="Y869" s="268"/>
      <x:c r="Z869" s="268"/>
      <x:c r="AA869" s="268"/>
      <x:c r="AB869" s="268"/>
      <x:c r="AC869" s="268"/>
    </x:row>
    <x:row r="870">
      <x:c r="A870" s="268"/>
      <x:c r="B870" s="268"/>
      <x:c r="C870" s="268"/>
      <x:c r="D870" s="268"/>
      <x:c r="E870" s="268"/>
      <x:c r="F870" s="268"/>
      <x:c r="G870" s="268"/>
      <x:c r="H870" s="268"/>
      <x:c r="I870" s="268"/>
      <x:c r="J870" s="268"/>
      <x:c r="K870" s="268"/>
      <x:c r="L870" s="268"/>
      <x:c r="M870" s="268"/>
      <x:c r="N870" s="268"/>
      <x:c r="O870" s="268"/>
      <x:c r="P870" s="268"/>
      <x:c r="Q870" s="268"/>
      <x:c r="R870" s="268"/>
      <x:c r="S870" s="268"/>
      <x:c r="T870" s="268"/>
      <x:c r="U870" s="268"/>
      <x:c r="V870" s="268"/>
      <x:c r="W870" s="268"/>
      <x:c r="X870" s="268"/>
      <x:c r="Y870" s="268"/>
      <x:c r="Z870" s="268"/>
      <x:c r="AA870" s="268"/>
      <x:c r="AB870" s="268"/>
      <x:c r="AC870" s="268"/>
    </x:row>
    <x:row r="871">
      <x:c r="A871" s="268"/>
      <x:c r="B871" s="268"/>
      <x:c r="C871" s="268"/>
      <x:c r="D871" s="268"/>
      <x:c r="E871" s="268"/>
      <x:c r="F871" s="268"/>
      <x:c r="G871" s="268"/>
      <x:c r="H871" s="268"/>
      <x:c r="I871" s="268"/>
      <x:c r="J871" s="268"/>
      <x:c r="K871" s="268"/>
      <x:c r="L871" s="268"/>
      <x:c r="M871" s="268"/>
      <x:c r="N871" s="268"/>
      <x:c r="O871" s="268"/>
      <x:c r="P871" s="268"/>
      <x:c r="Q871" s="268"/>
      <x:c r="R871" s="268"/>
      <x:c r="S871" s="268"/>
      <x:c r="T871" s="268"/>
      <x:c r="U871" s="268"/>
      <x:c r="V871" s="268"/>
      <x:c r="W871" s="268"/>
      <x:c r="X871" s="268"/>
      <x:c r="Y871" s="268"/>
      <x:c r="Z871" s="268"/>
      <x:c r="AA871" s="268"/>
      <x:c r="AB871" s="268"/>
      <x:c r="AC871" s="268"/>
    </x:row>
    <x:row r="872">
      <x:c r="A872" s="268"/>
      <x:c r="B872" s="268"/>
      <x:c r="C872" s="268"/>
      <x:c r="D872" s="268"/>
      <x:c r="E872" s="268"/>
      <x:c r="F872" s="268"/>
      <x:c r="G872" s="268"/>
      <x:c r="H872" s="268"/>
      <x:c r="I872" s="268"/>
      <x:c r="J872" s="268"/>
      <x:c r="K872" s="268"/>
      <x:c r="L872" s="268"/>
      <x:c r="M872" s="268"/>
      <x:c r="N872" s="268"/>
      <x:c r="O872" s="268"/>
      <x:c r="P872" s="268"/>
      <x:c r="Q872" s="268"/>
      <x:c r="R872" s="268"/>
      <x:c r="S872" s="268"/>
      <x:c r="T872" s="268"/>
      <x:c r="U872" s="268"/>
      <x:c r="V872" s="268"/>
      <x:c r="W872" s="268"/>
      <x:c r="X872" s="268"/>
      <x:c r="Y872" s="268"/>
      <x:c r="Z872" s="268"/>
      <x:c r="AA872" s="268"/>
      <x:c r="AB872" s="268"/>
      <x:c r="AC872" s="268"/>
    </x:row>
    <x:row r="873">
      <x:c r="A873" s="268"/>
      <x:c r="B873" s="268"/>
      <x:c r="C873" s="268"/>
      <x:c r="D873" s="268"/>
      <x:c r="E873" s="268"/>
      <x:c r="F873" s="268"/>
      <x:c r="G873" s="268"/>
      <x:c r="H873" s="268"/>
      <x:c r="I873" s="268"/>
      <x:c r="J873" s="268"/>
      <x:c r="K873" s="268"/>
      <x:c r="L873" s="268"/>
      <x:c r="M873" s="268"/>
      <x:c r="N873" s="268"/>
      <x:c r="O873" s="268"/>
      <x:c r="P873" s="268"/>
      <x:c r="Q873" s="268"/>
      <x:c r="R873" s="268"/>
      <x:c r="S873" s="268"/>
      <x:c r="T873" s="268"/>
      <x:c r="U873" s="268"/>
      <x:c r="V873" s="268"/>
      <x:c r="W873" s="268"/>
      <x:c r="X873" s="268"/>
      <x:c r="Y873" s="268"/>
      <x:c r="Z873" s="268"/>
      <x:c r="AA873" s="268"/>
      <x:c r="AB873" s="268"/>
      <x:c r="AC873" s="268"/>
    </x:row>
    <x:row r="874">
      <x:c r="A874" s="268"/>
      <x:c r="B874" s="268"/>
      <x:c r="C874" s="268"/>
      <x:c r="D874" s="268"/>
      <x:c r="E874" s="268"/>
      <x:c r="F874" s="268"/>
      <x:c r="G874" s="268"/>
      <x:c r="H874" s="268"/>
      <x:c r="I874" s="268"/>
      <x:c r="J874" s="268"/>
      <x:c r="K874" s="268"/>
      <x:c r="L874" s="268"/>
      <x:c r="M874" s="268"/>
      <x:c r="N874" s="268"/>
      <x:c r="O874" s="268"/>
      <x:c r="P874" s="268"/>
      <x:c r="Q874" s="268"/>
      <x:c r="R874" s="268"/>
      <x:c r="S874" s="268"/>
      <x:c r="T874" s="268"/>
      <x:c r="U874" s="268"/>
      <x:c r="V874" s="268"/>
      <x:c r="W874" s="268"/>
      <x:c r="X874" s="268"/>
      <x:c r="Y874" s="268"/>
      <x:c r="Z874" s="268"/>
      <x:c r="AA874" s="268"/>
      <x:c r="AB874" s="268"/>
      <x:c r="AC874" s="268"/>
    </x:row>
    <x:row r="875">
      <x:c r="A875" s="268"/>
      <x:c r="B875" s="268"/>
      <x:c r="C875" s="268"/>
      <x:c r="D875" s="268"/>
      <x:c r="E875" s="268"/>
      <x:c r="F875" s="268"/>
      <x:c r="G875" s="268"/>
      <x:c r="H875" s="268"/>
      <x:c r="I875" s="268"/>
      <x:c r="J875" s="268"/>
      <x:c r="K875" s="268"/>
      <x:c r="L875" s="268"/>
      <x:c r="M875" s="268"/>
      <x:c r="N875" s="268"/>
      <x:c r="O875" s="268"/>
      <x:c r="P875" s="268"/>
      <x:c r="Q875" s="268"/>
      <x:c r="R875" s="268"/>
      <x:c r="S875" s="268"/>
      <x:c r="T875" s="268"/>
      <x:c r="U875" s="268"/>
      <x:c r="V875" s="268"/>
      <x:c r="W875" s="268"/>
      <x:c r="X875" s="268"/>
      <x:c r="Y875" s="268"/>
      <x:c r="Z875" s="268"/>
      <x:c r="AA875" s="268"/>
      <x:c r="AB875" s="268"/>
      <x:c r="AC875" s="268"/>
    </x:row>
    <x:row r="876">
      <x:c r="A876" s="268"/>
      <x:c r="B876" s="268"/>
      <x:c r="C876" s="268"/>
      <x:c r="D876" s="268"/>
      <x:c r="E876" s="268"/>
      <x:c r="F876" s="268"/>
      <x:c r="G876" s="268"/>
      <x:c r="H876" s="268"/>
      <x:c r="I876" s="268"/>
      <x:c r="J876" s="268"/>
      <x:c r="K876" s="268"/>
      <x:c r="L876" s="268"/>
      <x:c r="M876" s="268"/>
      <x:c r="N876" s="268"/>
      <x:c r="O876" s="268"/>
      <x:c r="P876" s="268"/>
      <x:c r="Q876" s="268"/>
      <x:c r="R876" s="268"/>
      <x:c r="S876" s="268"/>
      <x:c r="T876" s="268"/>
      <x:c r="U876" s="268"/>
      <x:c r="V876" s="268"/>
      <x:c r="W876" s="268"/>
      <x:c r="X876" s="268"/>
      <x:c r="Y876" s="268"/>
      <x:c r="Z876" s="268"/>
      <x:c r="AA876" s="268"/>
      <x:c r="AB876" s="268"/>
      <x:c r="AC876" s="268"/>
    </x:row>
    <x:row r="877">
      <x:c r="A877" s="268"/>
      <x:c r="B877" s="268"/>
      <x:c r="C877" s="268"/>
      <x:c r="D877" s="268"/>
      <x:c r="E877" s="268"/>
      <x:c r="F877" s="268"/>
      <x:c r="G877" s="268"/>
      <x:c r="H877" s="268"/>
      <x:c r="I877" s="268"/>
      <x:c r="J877" s="268"/>
      <x:c r="K877" s="268"/>
      <x:c r="L877" s="268"/>
      <x:c r="M877" s="268"/>
      <x:c r="N877" s="268"/>
      <x:c r="O877" s="268"/>
      <x:c r="P877" s="268"/>
      <x:c r="Q877" s="268"/>
      <x:c r="R877" s="268"/>
      <x:c r="S877" s="268"/>
      <x:c r="T877" s="268"/>
      <x:c r="U877" s="268"/>
      <x:c r="V877" s="268"/>
      <x:c r="W877" s="268"/>
      <x:c r="X877" s="268"/>
      <x:c r="Y877" s="268"/>
      <x:c r="Z877" s="268"/>
      <x:c r="AA877" s="268"/>
      <x:c r="AB877" s="268"/>
      <x:c r="AC877" s="268"/>
    </x:row>
    <x:row r="878">
      <x:c r="A878" s="268"/>
      <x:c r="B878" s="268"/>
      <x:c r="C878" s="268"/>
      <x:c r="D878" s="268"/>
      <x:c r="E878" s="268"/>
      <x:c r="F878" s="268"/>
      <x:c r="G878" s="268"/>
      <x:c r="H878" s="268"/>
      <x:c r="I878" s="268"/>
      <x:c r="J878" s="268"/>
      <x:c r="K878" s="268"/>
      <x:c r="L878" s="268"/>
      <x:c r="M878" s="268"/>
      <x:c r="N878" s="268"/>
      <x:c r="O878" s="268"/>
      <x:c r="P878" s="268"/>
      <x:c r="Q878" s="268"/>
      <x:c r="R878" s="268"/>
      <x:c r="S878" s="268"/>
      <x:c r="T878" s="268"/>
      <x:c r="U878" s="268"/>
      <x:c r="V878" s="268"/>
      <x:c r="W878" s="268"/>
      <x:c r="X878" s="268"/>
      <x:c r="Y878" s="268"/>
      <x:c r="Z878" s="268"/>
      <x:c r="AA878" s="268"/>
      <x:c r="AB878" s="268"/>
      <x:c r="AC878" s="268"/>
    </x:row>
    <x:row r="879">
      <x:c r="A879" s="268"/>
      <x:c r="B879" s="268"/>
      <x:c r="C879" s="268"/>
      <x:c r="D879" s="268"/>
      <x:c r="E879" s="268"/>
      <x:c r="F879" s="268"/>
      <x:c r="G879" s="268"/>
      <x:c r="H879" s="268"/>
      <x:c r="I879" s="268"/>
      <x:c r="J879" s="268"/>
      <x:c r="K879" s="268"/>
      <x:c r="L879" s="268"/>
      <x:c r="M879" s="268"/>
      <x:c r="N879" s="268"/>
      <x:c r="O879" s="268"/>
      <x:c r="P879" s="268"/>
      <x:c r="Q879" s="268"/>
      <x:c r="R879" s="268"/>
      <x:c r="S879" s="268"/>
      <x:c r="T879" s="268"/>
      <x:c r="U879" s="268"/>
      <x:c r="V879" s="268"/>
      <x:c r="W879" s="268"/>
      <x:c r="X879" s="268"/>
      <x:c r="Y879" s="268"/>
      <x:c r="Z879" s="268"/>
      <x:c r="AA879" s="268"/>
      <x:c r="AB879" s="268"/>
      <x:c r="AC879" s="268"/>
    </x:row>
    <x:row r="880">
      <x:c r="A880" s="268"/>
      <x:c r="B880" s="268"/>
      <x:c r="C880" s="268"/>
      <x:c r="D880" s="268"/>
      <x:c r="E880" s="268"/>
      <x:c r="F880" s="268"/>
      <x:c r="G880" s="268"/>
      <x:c r="H880" s="268"/>
      <x:c r="I880" s="268"/>
      <x:c r="J880" s="268"/>
      <x:c r="K880" s="268"/>
      <x:c r="L880" s="268"/>
      <x:c r="M880" s="268"/>
      <x:c r="N880" s="268"/>
      <x:c r="O880" s="268"/>
      <x:c r="P880" s="268"/>
      <x:c r="Q880" s="268"/>
      <x:c r="R880" s="268"/>
      <x:c r="S880" s="268"/>
      <x:c r="T880" s="268"/>
      <x:c r="U880" s="268"/>
      <x:c r="V880" s="268"/>
      <x:c r="W880" s="268"/>
      <x:c r="X880" s="268"/>
      <x:c r="Y880" s="268"/>
      <x:c r="Z880" s="268"/>
      <x:c r="AA880" s="268"/>
      <x:c r="AB880" s="268"/>
      <x:c r="AC880" s="268"/>
    </x:row>
    <x:row r="881">
      <x:c r="A881" s="268"/>
      <x:c r="B881" s="268"/>
      <x:c r="C881" s="268"/>
      <x:c r="D881" s="268"/>
      <x:c r="E881" s="268"/>
      <x:c r="F881" s="268"/>
      <x:c r="G881" s="268"/>
      <x:c r="H881" s="268"/>
      <x:c r="I881" s="268"/>
      <x:c r="J881" s="268"/>
      <x:c r="K881" s="268"/>
      <x:c r="L881" s="268"/>
      <x:c r="M881" s="268"/>
      <x:c r="N881" s="268"/>
      <x:c r="O881" s="268"/>
      <x:c r="P881" s="268"/>
      <x:c r="Q881" s="268"/>
      <x:c r="R881" s="268"/>
      <x:c r="S881" s="268"/>
      <x:c r="T881" s="268"/>
      <x:c r="U881" s="268"/>
      <x:c r="V881" s="268"/>
      <x:c r="W881" s="268"/>
      <x:c r="X881" s="268"/>
      <x:c r="Y881" s="268"/>
      <x:c r="Z881" s="268"/>
      <x:c r="AA881" s="268"/>
      <x:c r="AB881" s="268"/>
      <x:c r="AC881" s="268"/>
    </x:row>
    <x:row r="882">
      <x:c r="A882" s="268"/>
      <x:c r="B882" s="268"/>
      <x:c r="C882" s="268"/>
      <x:c r="D882" s="268"/>
      <x:c r="E882" s="268"/>
      <x:c r="F882" s="268"/>
      <x:c r="G882" s="268"/>
      <x:c r="H882" s="268"/>
      <x:c r="I882" s="268"/>
      <x:c r="J882" s="268"/>
      <x:c r="K882" s="268"/>
      <x:c r="L882" s="268"/>
      <x:c r="M882" s="268"/>
      <x:c r="N882" s="268"/>
      <x:c r="O882" s="268"/>
      <x:c r="P882" s="268"/>
      <x:c r="Q882" s="268"/>
      <x:c r="R882" s="268"/>
      <x:c r="S882" s="268"/>
      <x:c r="T882" s="268"/>
      <x:c r="U882" s="268"/>
      <x:c r="V882" s="268"/>
      <x:c r="W882" s="268"/>
      <x:c r="X882" s="268"/>
      <x:c r="Y882" s="268"/>
      <x:c r="Z882" s="268"/>
      <x:c r="AA882" s="268"/>
      <x:c r="AB882" s="268"/>
      <x:c r="AC882" s="268"/>
    </x:row>
    <x:row r="883">
      <x:c r="A883" s="268"/>
      <x:c r="B883" s="268"/>
      <x:c r="C883" s="268"/>
      <x:c r="D883" s="268"/>
      <x:c r="E883" s="268"/>
      <x:c r="F883" s="268"/>
      <x:c r="G883" s="268"/>
      <x:c r="H883" s="268"/>
      <x:c r="I883" s="268"/>
      <x:c r="J883" s="268"/>
      <x:c r="K883" s="268"/>
      <x:c r="L883" s="268"/>
      <x:c r="M883" s="268"/>
      <x:c r="N883" s="268"/>
      <x:c r="O883" s="268"/>
      <x:c r="P883" s="268"/>
      <x:c r="Q883" s="268"/>
      <x:c r="R883" s="268"/>
      <x:c r="S883" s="268"/>
      <x:c r="T883" s="268"/>
      <x:c r="U883" s="268"/>
      <x:c r="V883" s="268"/>
      <x:c r="W883" s="268"/>
      <x:c r="X883" s="268"/>
      <x:c r="Y883" s="268"/>
      <x:c r="Z883" s="268"/>
      <x:c r="AA883" s="268"/>
      <x:c r="AB883" s="268"/>
      <x:c r="AC883" s="268"/>
    </x:row>
    <x:row r="884">
      <x:c r="A884" s="268"/>
      <x:c r="B884" s="268"/>
      <x:c r="C884" s="268"/>
      <x:c r="D884" s="268"/>
      <x:c r="E884" s="268"/>
      <x:c r="F884" s="268"/>
      <x:c r="G884" s="268"/>
      <x:c r="H884" s="268"/>
      <x:c r="I884" s="268"/>
      <x:c r="J884" s="268"/>
      <x:c r="K884" s="268"/>
      <x:c r="L884" s="268"/>
      <x:c r="M884" s="268"/>
      <x:c r="N884" s="268"/>
      <x:c r="O884" s="268"/>
      <x:c r="P884" s="268"/>
      <x:c r="Q884" s="268"/>
      <x:c r="R884" s="268"/>
      <x:c r="S884" s="268"/>
      <x:c r="T884" s="268"/>
      <x:c r="U884" s="268"/>
      <x:c r="V884" s="268"/>
      <x:c r="W884" s="268"/>
      <x:c r="X884" s="268"/>
      <x:c r="Y884" s="268"/>
      <x:c r="Z884" s="268"/>
      <x:c r="AA884" s="268"/>
      <x:c r="AB884" s="268"/>
      <x:c r="AC884" s="268"/>
    </x:row>
    <x:row r="885">
      <x:c r="A885" s="268"/>
      <x:c r="B885" s="268"/>
      <x:c r="C885" s="268"/>
      <x:c r="D885" s="268"/>
      <x:c r="E885" s="268"/>
      <x:c r="F885" s="268"/>
      <x:c r="G885" s="268"/>
      <x:c r="H885" s="268"/>
      <x:c r="I885" s="268"/>
      <x:c r="J885" s="268"/>
      <x:c r="K885" s="268"/>
      <x:c r="L885" s="268"/>
      <x:c r="M885" s="268"/>
      <x:c r="N885" s="268"/>
      <x:c r="O885" s="268"/>
      <x:c r="P885" s="268"/>
      <x:c r="Q885" s="268"/>
      <x:c r="R885" s="268"/>
      <x:c r="S885" s="268"/>
      <x:c r="T885" s="268"/>
      <x:c r="U885" s="268"/>
      <x:c r="V885" s="268"/>
      <x:c r="W885" s="268"/>
      <x:c r="X885" s="268"/>
      <x:c r="Y885" s="268"/>
      <x:c r="Z885" s="268"/>
      <x:c r="AA885" s="268"/>
      <x:c r="AB885" s="268"/>
      <x:c r="AC885" s="268"/>
    </x:row>
    <x:row r="886">
      <x:c r="A886" s="268"/>
      <x:c r="B886" s="268"/>
      <x:c r="C886" s="268"/>
      <x:c r="D886" s="268"/>
      <x:c r="E886" s="268"/>
      <x:c r="F886" s="268"/>
      <x:c r="G886" s="268"/>
      <x:c r="H886" s="268"/>
      <x:c r="I886" s="268"/>
      <x:c r="J886" s="268"/>
      <x:c r="K886" s="268"/>
      <x:c r="L886" s="268"/>
      <x:c r="M886" s="268"/>
      <x:c r="N886" s="268"/>
      <x:c r="O886" s="268"/>
      <x:c r="P886" s="268"/>
      <x:c r="Q886" s="268"/>
      <x:c r="R886" s="268"/>
      <x:c r="S886" s="268"/>
      <x:c r="T886" s="268"/>
      <x:c r="U886" s="268"/>
      <x:c r="V886" s="268"/>
      <x:c r="W886" s="268"/>
      <x:c r="X886" s="268"/>
      <x:c r="Y886" s="268"/>
      <x:c r="Z886" s="268"/>
      <x:c r="AA886" s="268"/>
      <x:c r="AB886" s="268"/>
      <x:c r="AC886" s="268"/>
    </x:row>
    <x:row r="887">
      <x:c r="A887" s="268"/>
      <x:c r="B887" s="268"/>
      <x:c r="C887" s="268"/>
      <x:c r="D887" s="268"/>
      <x:c r="E887" s="268"/>
      <x:c r="F887" s="268"/>
      <x:c r="G887" s="268"/>
      <x:c r="H887" s="268"/>
      <x:c r="I887" s="268"/>
      <x:c r="J887" s="268"/>
      <x:c r="K887" s="268"/>
      <x:c r="L887" s="268"/>
      <x:c r="M887" s="268"/>
      <x:c r="N887" s="268"/>
      <x:c r="O887" s="268"/>
      <x:c r="P887" s="268"/>
      <x:c r="Q887" s="268"/>
      <x:c r="R887" s="268"/>
      <x:c r="S887" s="268"/>
      <x:c r="T887" s="268"/>
      <x:c r="U887" s="268"/>
      <x:c r="V887" s="268"/>
      <x:c r="W887" s="268"/>
      <x:c r="X887" s="268"/>
      <x:c r="Y887" s="268"/>
      <x:c r="Z887" s="268"/>
      <x:c r="AA887" s="268"/>
      <x:c r="AB887" s="268"/>
      <x:c r="AC887" s="268"/>
    </x:row>
    <x:row r="888">
      <x:c r="A888" s="268"/>
      <x:c r="B888" s="268"/>
      <x:c r="C888" s="268"/>
      <x:c r="D888" s="268"/>
      <x:c r="E888" s="268"/>
      <x:c r="F888" s="268"/>
      <x:c r="G888" s="268"/>
      <x:c r="H888" s="268"/>
      <x:c r="I888" s="268"/>
      <x:c r="J888" s="268"/>
      <x:c r="K888" s="268"/>
      <x:c r="L888" s="268"/>
      <x:c r="M888" s="268"/>
      <x:c r="N888" s="268"/>
      <x:c r="O888" s="268"/>
      <x:c r="P888" s="268"/>
      <x:c r="Q888" s="268"/>
      <x:c r="R888" s="268"/>
      <x:c r="S888" s="268"/>
      <x:c r="T888" s="268"/>
      <x:c r="U888" s="268"/>
      <x:c r="V888" s="268"/>
      <x:c r="W888" s="268"/>
      <x:c r="X888" s="268"/>
      <x:c r="Y888" s="268"/>
      <x:c r="Z888" s="268"/>
      <x:c r="AA888" s="268"/>
      <x:c r="AB888" s="268"/>
      <x:c r="AC888" s="268"/>
    </x:row>
    <x:row r="889">
      <x:c r="A889" s="268"/>
      <x:c r="B889" s="268"/>
      <x:c r="C889" s="268"/>
      <x:c r="D889" s="268"/>
      <x:c r="E889" s="268"/>
      <x:c r="F889" s="268"/>
      <x:c r="G889" s="268"/>
      <x:c r="H889" s="268"/>
      <x:c r="I889" s="268"/>
      <x:c r="J889" s="268"/>
      <x:c r="K889" s="268"/>
      <x:c r="L889" s="268"/>
      <x:c r="M889" s="268"/>
      <x:c r="N889" s="268"/>
      <x:c r="O889" s="268"/>
      <x:c r="P889" s="268"/>
      <x:c r="Q889" s="268"/>
      <x:c r="R889" s="268"/>
      <x:c r="S889" s="268"/>
      <x:c r="T889" s="268"/>
      <x:c r="U889" s="268"/>
      <x:c r="V889" s="268"/>
      <x:c r="W889" s="268"/>
      <x:c r="X889" s="268"/>
      <x:c r="Y889" s="268"/>
      <x:c r="Z889" s="268"/>
      <x:c r="AA889" s="268"/>
      <x:c r="AB889" s="268"/>
      <x:c r="AC889" s="268"/>
    </x:row>
    <x:row r="890">
      <x:c r="A890" s="268"/>
      <x:c r="B890" s="268"/>
      <x:c r="C890" s="268"/>
      <x:c r="D890" s="268"/>
      <x:c r="E890" s="268"/>
      <x:c r="F890" s="268"/>
      <x:c r="G890" s="268"/>
      <x:c r="H890" s="268"/>
      <x:c r="I890" s="268"/>
      <x:c r="J890" s="268"/>
      <x:c r="K890" s="268"/>
      <x:c r="L890" s="268"/>
      <x:c r="M890" s="268"/>
      <x:c r="N890" s="268"/>
      <x:c r="O890" s="268"/>
      <x:c r="P890" s="268"/>
      <x:c r="Q890" s="268"/>
      <x:c r="R890" s="268"/>
      <x:c r="S890" s="268"/>
      <x:c r="T890" s="268"/>
      <x:c r="U890" s="268"/>
      <x:c r="V890" s="268"/>
      <x:c r="W890" s="268"/>
      <x:c r="X890" s="268"/>
      <x:c r="Y890" s="268"/>
      <x:c r="Z890" s="268"/>
      <x:c r="AA890" s="268"/>
      <x:c r="AB890" s="268"/>
      <x:c r="AC890" s="268"/>
    </x:row>
    <x:row r="891">
      <x:c r="A891" s="268"/>
      <x:c r="B891" s="268"/>
      <x:c r="C891" s="268"/>
      <x:c r="D891" s="268"/>
      <x:c r="E891" s="268"/>
      <x:c r="F891" s="268"/>
      <x:c r="G891" s="268"/>
      <x:c r="H891" s="268"/>
      <x:c r="I891" s="268"/>
      <x:c r="J891" s="268"/>
      <x:c r="K891" s="268"/>
      <x:c r="L891" s="268"/>
      <x:c r="M891" s="268"/>
      <x:c r="N891" s="268"/>
      <x:c r="O891" s="268"/>
      <x:c r="P891" s="268"/>
      <x:c r="Q891" s="268"/>
      <x:c r="R891" s="268"/>
      <x:c r="S891" s="268"/>
      <x:c r="T891" s="268"/>
      <x:c r="U891" s="268"/>
      <x:c r="V891" s="268"/>
      <x:c r="W891" s="268"/>
      <x:c r="X891" s="268"/>
      <x:c r="Y891" s="268"/>
      <x:c r="Z891" s="268"/>
      <x:c r="AA891" s="268"/>
      <x:c r="AB891" s="268"/>
      <x:c r="AC891" s="268"/>
    </x:row>
    <x:row r="892">
      <x:c r="A892" s="268"/>
      <x:c r="B892" s="268"/>
      <x:c r="C892" s="268"/>
      <x:c r="D892" s="268"/>
      <x:c r="E892" s="268"/>
      <x:c r="F892" s="268"/>
      <x:c r="G892" s="268"/>
      <x:c r="H892" s="268"/>
      <x:c r="I892" s="268"/>
      <x:c r="J892" s="268"/>
      <x:c r="K892" s="268"/>
      <x:c r="L892" s="268"/>
      <x:c r="M892" s="268"/>
      <x:c r="N892" s="268"/>
      <x:c r="O892" s="268"/>
      <x:c r="P892" s="268"/>
      <x:c r="Q892" s="268"/>
      <x:c r="R892" s="268"/>
      <x:c r="S892" s="268"/>
      <x:c r="T892" s="268"/>
      <x:c r="U892" s="268"/>
      <x:c r="V892" s="268"/>
      <x:c r="W892" s="268"/>
      <x:c r="X892" s="268"/>
      <x:c r="Y892" s="268"/>
      <x:c r="Z892" s="268"/>
      <x:c r="AA892" s="268"/>
      <x:c r="AB892" s="268"/>
      <x:c r="AC892" s="268"/>
    </x:row>
    <x:row r="893">
      <x:c r="A893" s="268"/>
      <x:c r="B893" s="268"/>
      <x:c r="C893" s="268"/>
      <x:c r="D893" s="268"/>
      <x:c r="E893" s="268"/>
      <x:c r="F893" s="268"/>
      <x:c r="G893" s="268"/>
      <x:c r="H893" s="268"/>
      <x:c r="I893" s="268"/>
      <x:c r="J893" s="268"/>
      <x:c r="K893" s="268"/>
      <x:c r="L893" s="268"/>
      <x:c r="M893" s="268"/>
      <x:c r="N893" s="268"/>
      <x:c r="O893" s="268"/>
      <x:c r="P893" s="268"/>
      <x:c r="Q893" s="268"/>
      <x:c r="R893" s="268"/>
      <x:c r="S893" s="268"/>
      <x:c r="T893" s="268"/>
      <x:c r="U893" s="268"/>
      <x:c r="V893" s="268"/>
      <x:c r="W893" s="268"/>
      <x:c r="X893" s="268"/>
      <x:c r="Y893" s="268"/>
      <x:c r="Z893" s="268"/>
      <x:c r="AA893" s="268"/>
      <x:c r="AB893" s="268"/>
      <x:c r="AC893" s="268"/>
    </x:row>
    <x:row r="894">
      <x:c r="A894" s="268"/>
      <x:c r="B894" s="268"/>
      <x:c r="C894" s="268"/>
      <x:c r="D894" s="268"/>
      <x:c r="E894" s="268"/>
      <x:c r="F894" s="268"/>
      <x:c r="G894" s="268"/>
      <x:c r="H894" s="268"/>
      <x:c r="I894" s="268"/>
      <x:c r="J894" s="268"/>
      <x:c r="K894" s="268"/>
      <x:c r="L894" s="268"/>
      <x:c r="M894" s="268"/>
      <x:c r="N894" s="268"/>
      <x:c r="O894" s="268"/>
      <x:c r="P894" s="268"/>
      <x:c r="Q894" s="268"/>
      <x:c r="R894" s="268"/>
      <x:c r="S894" s="268"/>
      <x:c r="T894" s="268"/>
      <x:c r="U894" s="268"/>
      <x:c r="V894" s="268"/>
      <x:c r="W894" s="268"/>
      <x:c r="X894" s="268"/>
      <x:c r="Y894" s="268"/>
      <x:c r="Z894" s="268"/>
      <x:c r="AA894" s="268"/>
      <x:c r="AB894" s="268"/>
      <x:c r="AC894" s="268"/>
    </x:row>
    <x:row r="895">
      <x:c r="A895" s="268"/>
      <x:c r="B895" s="268"/>
      <x:c r="C895" s="268"/>
      <x:c r="D895" s="268"/>
      <x:c r="E895" s="268"/>
      <x:c r="F895" s="268"/>
      <x:c r="G895" s="268"/>
      <x:c r="H895" s="268"/>
      <x:c r="I895" s="268"/>
      <x:c r="J895" s="268"/>
      <x:c r="K895" s="268"/>
      <x:c r="L895" s="268"/>
      <x:c r="M895" s="268"/>
      <x:c r="N895" s="268"/>
      <x:c r="O895" s="268"/>
      <x:c r="P895" s="268"/>
      <x:c r="Q895" s="268"/>
      <x:c r="R895" s="268"/>
      <x:c r="S895" s="268"/>
      <x:c r="T895" s="268"/>
      <x:c r="U895" s="268"/>
      <x:c r="V895" s="268"/>
      <x:c r="W895" s="268"/>
      <x:c r="X895" s="268"/>
      <x:c r="Y895" s="268"/>
      <x:c r="Z895" s="268"/>
      <x:c r="AA895" s="268"/>
      <x:c r="AB895" s="268"/>
      <x:c r="AC895" s="268"/>
    </x:row>
    <x:row r="896">
      <x:c r="A896" s="268"/>
      <x:c r="B896" s="268"/>
      <x:c r="C896" s="268"/>
      <x:c r="D896" s="268"/>
      <x:c r="E896" s="268"/>
      <x:c r="F896" s="268"/>
      <x:c r="G896" s="268"/>
      <x:c r="H896" s="268"/>
      <x:c r="I896" s="268"/>
      <x:c r="J896" s="268"/>
      <x:c r="K896" s="268"/>
      <x:c r="L896" s="268"/>
      <x:c r="M896" s="268"/>
      <x:c r="N896" s="268"/>
      <x:c r="O896" s="268"/>
      <x:c r="P896" s="268"/>
      <x:c r="Q896" s="268"/>
      <x:c r="R896" s="268"/>
      <x:c r="S896" s="268"/>
      <x:c r="T896" s="268"/>
      <x:c r="U896" s="268"/>
      <x:c r="V896" s="268"/>
      <x:c r="W896" s="268"/>
      <x:c r="X896" s="268"/>
      <x:c r="Y896" s="268"/>
      <x:c r="Z896" s="268"/>
      <x:c r="AA896" s="268"/>
      <x:c r="AB896" s="268"/>
      <x:c r="AC896" s="268"/>
    </x:row>
    <x:row r="897">
      <x:c r="A897" s="268"/>
      <x:c r="B897" s="268"/>
      <x:c r="C897" s="268"/>
      <x:c r="D897" s="268"/>
      <x:c r="E897" s="268"/>
      <x:c r="F897" s="268"/>
      <x:c r="G897" s="268"/>
      <x:c r="H897" s="268"/>
      <x:c r="I897" s="268"/>
      <x:c r="J897" s="268"/>
      <x:c r="K897" s="268"/>
      <x:c r="L897" s="268"/>
      <x:c r="M897" s="268"/>
      <x:c r="N897" s="268"/>
      <x:c r="O897" s="268"/>
      <x:c r="P897" s="268"/>
      <x:c r="Q897" s="268"/>
      <x:c r="R897" s="268"/>
      <x:c r="S897" s="268"/>
      <x:c r="T897" s="268"/>
      <x:c r="U897" s="268"/>
      <x:c r="V897" s="268"/>
      <x:c r="W897" s="268"/>
      <x:c r="X897" s="268"/>
      <x:c r="Y897" s="268"/>
      <x:c r="Z897" s="268"/>
      <x:c r="AA897" s="268"/>
      <x:c r="AB897" s="268"/>
      <x:c r="AC897" s="268"/>
    </x:row>
    <x:row r="898">
      <x:c r="A898" s="268"/>
      <x:c r="B898" s="268"/>
      <x:c r="C898" s="268"/>
      <x:c r="D898" s="268"/>
      <x:c r="E898" s="268"/>
      <x:c r="F898" s="268"/>
      <x:c r="G898" s="268"/>
      <x:c r="H898" s="268"/>
      <x:c r="I898" s="268"/>
      <x:c r="J898" s="268"/>
      <x:c r="K898" s="268"/>
      <x:c r="L898" s="268"/>
      <x:c r="M898" s="268"/>
      <x:c r="N898" s="268"/>
      <x:c r="O898" s="268"/>
      <x:c r="P898" s="268"/>
      <x:c r="Q898" s="268"/>
      <x:c r="R898" s="268"/>
      <x:c r="S898" s="268"/>
      <x:c r="T898" s="268"/>
      <x:c r="U898" s="268"/>
      <x:c r="V898" s="268"/>
      <x:c r="W898" s="268"/>
      <x:c r="X898" s="268"/>
      <x:c r="Y898" s="268"/>
      <x:c r="Z898" s="268"/>
      <x:c r="AA898" s="268"/>
      <x:c r="AB898" s="268"/>
      <x:c r="AC898" s="268"/>
    </x:row>
    <x:row r="899">
      <x:c r="A899" s="268"/>
      <x:c r="B899" s="268"/>
      <x:c r="C899" s="268"/>
      <x:c r="D899" s="268"/>
      <x:c r="E899" s="268"/>
      <x:c r="F899" s="268"/>
      <x:c r="G899" s="268"/>
      <x:c r="H899" s="268"/>
      <x:c r="I899" s="268"/>
      <x:c r="J899" s="268"/>
      <x:c r="K899" s="268"/>
      <x:c r="L899" s="268"/>
      <x:c r="M899" s="268"/>
      <x:c r="N899" s="268"/>
      <x:c r="O899" s="268"/>
      <x:c r="P899" s="268"/>
      <x:c r="Q899" s="268"/>
      <x:c r="R899" s="268"/>
      <x:c r="S899" s="268"/>
      <x:c r="T899" s="268"/>
      <x:c r="U899" s="268"/>
      <x:c r="V899" s="268"/>
      <x:c r="W899" s="268"/>
      <x:c r="X899" s="268"/>
      <x:c r="Y899" s="268"/>
      <x:c r="Z899" s="268"/>
      <x:c r="AA899" s="268"/>
      <x:c r="AB899" s="268"/>
      <x:c r="AC899" s="268"/>
    </x:row>
    <x:row r="900">
      <x:c r="A900" s="268"/>
      <x:c r="B900" s="268"/>
      <x:c r="C900" s="268"/>
      <x:c r="D900" s="268"/>
      <x:c r="E900" s="268"/>
      <x:c r="F900" s="268"/>
      <x:c r="G900" s="268"/>
      <x:c r="H900" s="268"/>
      <x:c r="I900" s="268"/>
      <x:c r="J900" s="268"/>
      <x:c r="K900" s="268"/>
      <x:c r="L900" s="268"/>
      <x:c r="M900" s="268"/>
      <x:c r="N900" s="268"/>
      <x:c r="O900" s="268"/>
      <x:c r="P900" s="268"/>
      <x:c r="Q900" s="268"/>
      <x:c r="R900" s="268"/>
      <x:c r="S900" s="268"/>
      <x:c r="T900" s="268"/>
      <x:c r="U900" s="268"/>
      <x:c r="V900" s="268"/>
      <x:c r="W900" s="268"/>
      <x:c r="X900" s="268"/>
      <x:c r="Y900" s="268"/>
      <x:c r="Z900" s="268"/>
      <x:c r="AA900" s="268"/>
      <x:c r="AB900" s="268"/>
      <x:c r="AC900" s="268"/>
    </x:row>
    <x:row r="901">
      <x:c r="A901" s="268"/>
      <x:c r="B901" s="268"/>
      <x:c r="C901" s="268"/>
      <x:c r="D901" s="268"/>
      <x:c r="E901" s="268"/>
      <x:c r="F901" s="268"/>
      <x:c r="G901" s="268"/>
      <x:c r="H901" s="268"/>
      <x:c r="I901" s="268"/>
      <x:c r="J901" s="268"/>
      <x:c r="K901" s="268"/>
      <x:c r="L901" s="268"/>
      <x:c r="M901" s="268"/>
      <x:c r="N901" s="268"/>
      <x:c r="O901" s="268"/>
      <x:c r="P901" s="268"/>
      <x:c r="Q901" s="268"/>
      <x:c r="R901" s="268"/>
      <x:c r="S901" s="268"/>
      <x:c r="T901" s="268"/>
      <x:c r="U901" s="268"/>
      <x:c r="V901" s="268"/>
      <x:c r="W901" s="268"/>
      <x:c r="X901" s="268"/>
      <x:c r="Y901" s="268"/>
      <x:c r="Z901" s="268"/>
      <x:c r="AA901" s="268"/>
      <x:c r="AB901" s="268"/>
      <x:c r="AC901" s="268"/>
    </x:row>
    <x:row r="902">
      <x:c r="A902" s="268"/>
      <x:c r="B902" s="268"/>
      <x:c r="C902" s="268"/>
      <x:c r="D902" s="268"/>
      <x:c r="E902" s="268"/>
      <x:c r="F902" s="268"/>
      <x:c r="G902" s="268"/>
      <x:c r="H902" s="268"/>
      <x:c r="I902" s="268"/>
      <x:c r="J902" s="268"/>
      <x:c r="K902" s="268"/>
      <x:c r="L902" s="268"/>
      <x:c r="M902" s="268"/>
      <x:c r="N902" s="268"/>
      <x:c r="O902" s="268"/>
      <x:c r="P902" s="268"/>
      <x:c r="Q902" s="268"/>
      <x:c r="R902" s="268"/>
      <x:c r="S902" s="268"/>
      <x:c r="T902" s="268"/>
      <x:c r="U902" s="268"/>
      <x:c r="V902" s="268"/>
      <x:c r="W902" s="268"/>
      <x:c r="X902" s="268"/>
      <x:c r="Y902" s="268"/>
      <x:c r="Z902" s="268"/>
      <x:c r="AA902" s="268"/>
      <x:c r="AB902" s="268"/>
      <x:c r="AC902" s="268"/>
    </x:row>
    <x:row r="903">
      <x:c r="A903" s="268"/>
      <x:c r="B903" s="268"/>
      <x:c r="C903" s="268"/>
      <x:c r="D903" s="268"/>
      <x:c r="E903" s="268"/>
      <x:c r="F903" s="268"/>
      <x:c r="G903" s="268"/>
      <x:c r="H903" s="268"/>
      <x:c r="I903" s="268"/>
      <x:c r="J903" s="268"/>
      <x:c r="K903" s="268"/>
      <x:c r="L903" s="268"/>
      <x:c r="M903" s="268"/>
      <x:c r="N903" s="268"/>
      <x:c r="O903" s="268"/>
      <x:c r="P903" s="268"/>
      <x:c r="Q903" s="268"/>
      <x:c r="R903" s="268"/>
      <x:c r="S903" s="268"/>
      <x:c r="T903" s="268"/>
      <x:c r="U903" s="268"/>
      <x:c r="V903" s="268"/>
      <x:c r="W903" s="268"/>
      <x:c r="X903" s="268"/>
      <x:c r="Y903" s="268"/>
      <x:c r="Z903" s="268"/>
      <x:c r="AA903" s="268"/>
      <x:c r="AB903" s="268"/>
      <x:c r="AC903" s="268"/>
    </x:row>
    <x:row r="904">
      <x:c r="A904" s="268"/>
      <x:c r="B904" s="268"/>
      <x:c r="C904" s="268"/>
      <x:c r="D904" s="268"/>
      <x:c r="E904" s="268"/>
      <x:c r="F904" s="268"/>
      <x:c r="G904" s="268"/>
      <x:c r="H904" s="268"/>
      <x:c r="I904" s="268"/>
      <x:c r="J904" s="268"/>
      <x:c r="K904" s="268"/>
      <x:c r="L904" s="268"/>
      <x:c r="M904" s="268"/>
      <x:c r="N904" s="268"/>
      <x:c r="O904" s="268"/>
      <x:c r="P904" s="268"/>
      <x:c r="Q904" s="268"/>
      <x:c r="R904" s="268"/>
      <x:c r="S904" s="268"/>
      <x:c r="T904" s="268"/>
      <x:c r="U904" s="268"/>
      <x:c r="V904" s="268"/>
      <x:c r="W904" s="268"/>
      <x:c r="X904" s="268"/>
      <x:c r="Y904" s="268"/>
      <x:c r="Z904" s="268"/>
      <x:c r="AA904" s="268"/>
      <x:c r="AB904" s="268"/>
      <x:c r="AC904" s="268"/>
    </x:row>
    <x:row r="905">
      <x:c r="A905" s="268"/>
      <x:c r="B905" s="268"/>
      <x:c r="C905" s="268"/>
      <x:c r="D905" s="268"/>
      <x:c r="E905" s="268"/>
      <x:c r="F905" s="268"/>
      <x:c r="G905" s="268"/>
      <x:c r="H905" s="268"/>
      <x:c r="I905" s="268"/>
      <x:c r="J905" s="268"/>
      <x:c r="K905" s="268"/>
      <x:c r="L905" s="268"/>
      <x:c r="M905" s="268"/>
      <x:c r="N905" s="268"/>
      <x:c r="O905" s="268"/>
      <x:c r="P905" s="268"/>
      <x:c r="Q905" s="268"/>
      <x:c r="R905" s="268"/>
      <x:c r="S905" s="268"/>
      <x:c r="T905" s="268"/>
      <x:c r="U905" s="268"/>
      <x:c r="V905" s="268"/>
      <x:c r="W905" s="268"/>
      <x:c r="X905" s="268"/>
      <x:c r="Y905" s="268"/>
      <x:c r="Z905" s="268"/>
      <x:c r="AA905" s="268"/>
      <x:c r="AB905" s="268"/>
      <x:c r="AC905" s="268"/>
    </x:row>
    <x:row r="906">
      <x:c r="A906" s="268"/>
      <x:c r="B906" s="268"/>
      <x:c r="C906" s="268"/>
      <x:c r="D906" s="268"/>
      <x:c r="E906" s="268"/>
      <x:c r="F906" s="268"/>
      <x:c r="G906" s="268"/>
      <x:c r="H906" s="268"/>
      <x:c r="I906" s="268"/>
      <x:c r="J906" s="268"/>
      <x:c r="K906" s="268"/>
      <x:c r="L906" s="268"/>
      <x:c r="M906" s="268"/>
      <x:c r="N906" s="268"/>
      <x:c r="O906" s="268"/>
      <x:c r="P906" s="268"/>
      <x:c r="Q906" s="268"/>
      <x:c r="R906" s="268"/>
      <x:c r="S906" s="268"/>
      <x:c r="T906" s="268"/>
      <x:c r="U906" s="268"/>
      <x:c r="V906" s="268"/>
      <x:c r="W906" s="268"/>
      <x:c r="X906" s="268"/>
      <x:c r="Y906" s="268"/>
      <x:c r="Z906" s="268"/>
      <x:c r="AA906" s="268"/>
      <x:c r="AB906" s="268"/>
      <x:c r="AC906" s="268"/>
    </x:row>
    <x:row r="907">
      <x:c r="A907" s="268"/>
      <x:c r="B907" s="268"/>
      <x:c r="C907" s="268"/>
      <x:c r="D907" s="268"/>
      <x:c r="E907" s="268"/>
      <x:c r="F907" s="268"/>
      <x:c r="G907" s="268"/>
      <x:c r="H907" s="268"/>
      <x:c r="I907" s="268"/>
      <x:c r="J907" s="268"/>
      <x:c r="K907" s="268"/>
      <x:c r="L907" s="268"/>
      <x:c r="M907" s="268"/>
      <x:c r="N907" s="268"/>
      <x:c r="O907" s="268"/>
      <x:c r="P907" s="268"/>
      <x:c r="Q907" s="268"/>
      <x:c r="R907" s="268"/>
      <x:c r="S907" s="268"/>
      <x:c r="T907" s="268"/>
      <x:c r="U907" s="268"/>
      <x:c r="V907" s="268"/>
      <x:c r="W907" s="268"/>
      <x:c r="X907" s="268"/>
      <x:c r="Y907" s="268"/>
      <x:c r="Z907" s="268"/>
      <x:c r="AA907" s="268"/>
      <x:c r="AB907" s="268"/>
      <x:c r="AC907" s="268"/>
    </x:row>
    <x:row r="908">
      <x:c r="A908" s="268"/>
      <x:c r="B908" s="268"/>
      <x:c r="C908" s="268"/>
      <x:c r="D908" s="268"/>
      <x:c r="E908" s="268"/>
      <x:c r="F908" s="268"/>
      <x:c r="G908" s="268"/>
      <x:c r="H908" s="268"/>
      <x:c r="I908" s="268"/>
      <x:c r="J908" s="268"/>
      <x:c r="K908" s="268"/>
      <x:c r="L908" s="268"/>
      <x:c r="M908" s="268"/>
      <x:c r="N908" s="268"/>
      <x:c r="O908" s="268"/>
      <x:c r="P908" s="268"/>
      <x:c r="Q908" s="268"/>
      <x:c r="R908" s="268"/>
      <x:c r="S908" s="268"/>
      <x:c r="T908" s="268"/>
      <x:c r="U908" s="268"/>
      <x:c r="V908" s="268"/>
      <x:c r="W908" s="268"/>
      <x:c r="X908" s="268"/>
      <x:c r="Y908" s="268"/>
      <x:c r="Z908" s="268"/>
      <x:c r="AA908" s="268"/>
      <x:c r="AB908" s="268"/>
      <x:c r="AC908" s="268"/>
    </x:row>
    <x:row r="909">
      <x:c r="A909" s="268"/>
      <x:c r="B909" s="268"/>
      <x:c r="C909" s="268"/>
      <x:c r="D909" s="268"/>
      <x:c r="E909" s="268"/>
      <x:c r="F909" s="268"/>
      <x:c r="G909" s="268"/>
      <x:c r="H909" s="268"/>
      <x:c r="I909" s="268"/>
      <x:c r="J909" s="268"/>
      <x:c r="K909" s="268"/>
      <x:c r="L909" s="268"/>
      <x:c r="M909" s="268"/>
      <x:c r="N909" s="268"/>
      <x:c r="O909" s="268"/>
      <x:c r="P909" s="268"/>
      <x:c r="Q909" s="268"/>
      <x:c r="R909" s="268"/>
      <x:c r="S909" s="268"/>
      <x:c r="T909" s="268"/>
      <x:c r="U909" s="268"/>
      <x:c r="V909" s="268"/>
      <x:c r="W909" s="268"/>
      <x:c r="X909" s="268"/>
      <x:c r="Y909" s="268"/>
      <x:c r="Z909" s="268"/>
      <x:c r="AA909" s="268"/>
      <x:c r="AB909" s="268"/>
      <x:c r="AC909" s="268"/>
    </x:row>
    <x:row r="910">
      <x:c r="A910" s="268"/>
      <x:c r="B910" s="268"/>
      <x:c r="C910" s="268"/>
      <x:c r="D910" s="268"/>
      <x:c r="E910" s="268"/>
      <x:c r="F910" s="268"/>
      <x:c r="G910" s="268"/>
      <x:c r="H910" s="268"/>
      <x:c r="I910" s="268"/>
      <x:c r="J910" s="268"/>
      <x:c r="K910" s="268"/>
      <x:c r="L910" s="268"/>
      <x:c r="M910" s="268"/>
      <x:c r="N910" s="268"/>
      <x:c r="O910" s="268"/>
      <x:c r="P910" s="268"/>
      <x:c r="Q910" s="268"/>
      <x:c r="R910" s="268"/>
      <x:c r="S910" s="268"/>
      <x:c r="T910" s="268"/>
      <x:c r="U910" s="268"/>
      <x:c r="V910" s="268"/>
      <x:c r="W910" s="268"/>
      <x:c r="X910" s="268"/>
      <x:c r="Y910" s="268"/>
      <x:c r="Z910" s="268"/>
      <x:c r="AA910" s="268"/>
      <x:c r="AB910" s="268"/>
      <x:c r="AC910" s="268"/>
    </x:row>
    <x:row r="911">
      <x:c r="A911" s="268"/>
      <x:c r="B911" s="268"/>
      <x:c r="C911" s="268"/>
      <x:c r="D911" s="268"/>
      <x:c r="E911" s="268"/>
      <x:c r="F911" s="268"/>
      <x:c r="G911" s="268"/>
      <x:c r="H911" s="268"/>
      <x:c r="I911" s="268"/>
      <x:c r="J911" s="268"/>
      <x:c r="K911" s="268"/>
      <x:c r="L911" s="268"/>
      <x:c r="M911" s="268"/>
      <x:c r="N911" s="268"/>
      <x:c r="O911" s="268"/>
      <x:c r="P911" s="268"/>
      <x:c r="Q911" s="268"/>
      <x:c r="R911" s="268"/>
      <x:c r="S911" s="268"/>
      <x:c r="T911" s="268"/>
      <x:c r="U911" s="268"/>
      <x:c r="V911" s="268"/>
      <x:c r="W911" s="268"/>
      <x:c r="X911" s="268"/>
      <x:c r="Y911" s="268"/>
      <x:c r="Z911" s="268"/>
      <x:c r="AA911" s="268"/>
      <x:c r="AB911" s="268"/>
      <x:c r="AC911" s="268"/>
    </x:row>
    <x:row r="912">
      <x:c r="A912" s="268"/>
      <x:c r="B912" s="268"/>
      <x:c r="C912" s="268"/>
      <x:c r="D912" s="268"/>
      <x:c r="E912" s="268"/>
      <x:c r="F912" s="268"/>
      <x:c r="G912" s="268"/>
      <x:c r="H912" s="268"/>
      <x:c r="I912" s="268"/>
      <x:c r="J912" s="268"/>
      <x:c r="K912" s="268"/>
      <x:c r="L912" s="268"/>
      <x:c r="M912" s="268"/>
      <x:c r="N912" s="268"/>
      <x:c r="O912" s="268"/>
      <x:c r="P912" s="268"/>
      <x:c r="Q912" s="268"/>
      <x:c r="R912" s="268"/>
      <x:c r="S912" s="268"/>
      <x:c r="T912" s="268"/>
      <x:c r="U912" s="268"/>
      <x:c r="V912" s="268"/>
      <x:c r="W912" s="268"/>
      <x:c r="X912" s="268"/>
      <x:c r="Y912" s="268"/>
      <x:c r="Z912" s="268"/>
      <x:c r="AA912" s="268"/>
      <x:c r="AB912" s="268"/>
      <x:c r="AC912" s="268"/>
    </x:row>
    <x:row r="913">
      <x:c r="A913" s="268"/>
      <x:c r="B913" s="268"/>
      <x:c r="C913" s="268"/>
      <x:c r="D913" s="268"/>
      <x:c r="E913" s="268"/>
      <x:c r="F913" s="268"/>
      <x:c r="G913" s="268"/>
      <x:c r="H913" s="268"/>
      <x:c r="I913" s="268"/>
      <x:c r="J913" s="268"/>
      <x:c r="K913" s="268"/>
      <x:c r="L913" s="268"/>
      <x:c r="M913" s="268"/>
      <x:c r="N913" s="268"/>
      <x:c r="O913" s="268"/>
      <x:c r="P913" s="268"/>
      <x:c r="Q913" s="268"/>
      <x:c r="R913" s="268"/>
      <x:c r="S913" s="268"/>
      <x:c r="T913" s="268"/>
      <x:c r="U913" s="268"/>
      <x:c r="V913" s="268"/>
      <x:c r="W913" s="268"/>
      <x:c r="X913" s="268"/>
      <x:c r="Y913" s="268"/>
      <x:c r="Z913" s="268"/>
      <x:c r="AA913" s="268"/>
      <x:c r="AB913" s="268"/>
      <x:c r="AC913" s="268"/>
    </x:row>
    <x:row r="914">
      <x:c r="A914" s="268"/>
      <x:c r="B914" s="268"/>
      <x:c r="C914" s="268"/>
      <x:c r="D914" s="268"/>
      <x:c r="E914" s="268"/>
      <x:c r="F914" s="268"/>
      <x:c r="G914" s="268"/>
      <x:c r="H914" s="268"/>
      <x:c r="I914" s="268"/>
      <x:c r="J914" s="268"/>
      <x:c r="K914" s="268"/>
      <x:c r="L914" s="268"/>
      <x:c r="M914" s="268"/>
      <x:c r="N914" s="268"/>
      <x:c r="O914" s="268"/>
      <x:c r="P914" s="268"/>
      <x:c r="Q914" s="268"/>
      <x:c r="R914" s="268"/>
      <x:c r="S914" s="268"/>
      <x:c r="T914" s="268"/>
      <x:c r="U914" s="268"/>
      <x:c r="V914" s="268"/>
      <x:c r="W914" s="268"/>
      <x:c r="X914" s="268"/>
      <x:c r="Y914" s="268"/>
      <x:c r="Z914" s="268"/>
      <x:c r="AA914" s="268"/>
      <x:c r="AB914" s="268"/>
      <x:c r="AC914" s="268"/>
    </x:row>
    <x:row r="915">
      <x:c r="A915" s="268"/>
      <x:c r="B915" s="268"/>
      <x:c r="C915" s="268"/>
      <x:c r="D915" s="268"/>
      <x:c r="E915" s="268"/>
      <x:c r="F915" s="268"/>
      <x:c r="G915" s="268"/>
      <x:c r="H915" s="268"/>
      <x:c r="I915" s="268"/>
      <x:c r="J915" s="268"/>
      <x:c r="K915" s="268"/>
      <x:c r="L915" s="268"/>
      <x:c r="M915" s="268"/>
      <x:c r="N915" s="268"/>
      <x:c r="O915" s="268"/>
      <x:c r="P915" s="268"/>
      <x:c r="Q915" s="268"/>
      <x:c r="R915" s="268"/>
      <x:c r="S915" s="268"/>
      <x:c r="T915" s="268"/>
      <x:c r="U915" s="268"/>
      <x:c r="V915" s="268"/>
      <x:c r="W915" s="268"/>
      <x:c r="X915" s="268"/>
      <x:c r="Y915" s="268"/>
      <x:c r="Z915" s="268"/>
      <x:c r="AA915" s="268"/>
      <x:c r="AB915" s="268"/>
      <x:c r="AC915" s="268"/>
    </x:row>
    <x:row r="916">
      <x:c r="A916" s="268"/>
      <x:c r="B916" s="268"/>
      <x:c r="C916" s="268"/>
      <x:c r="D916" s="268"/>
      <x:c r="E916" s="268"/>
      <x:c r="F916" s="268"/>
      <x:c r="G916" s="268"/>
      <x:c r="H916" s="268"/>
      <x:c r="I916" s="268"/>
      <x:c r="J916" s="268"/>
      <x:c r="K916" s="268"/>
      <x:c r="L916" s="268"/>
      <x:c r="M916" s="268"/>
      <x:c r="N916" s="268"/>
      <x:c r="O916" s="268"/>
      <x:c r="P916" s="268"/>
      <x:c r="Q916" s="268"/>
      <x:c r="R916" s="268"/>
      <x:c r="S916" s="268"/>
      <x:c r="T916" s="268"/>
      <x:c r="U916" s="268"/>
      <x:c r="V916" s="268"/>
      <x:c r="W916" s="268"/>
      <x:c r="X916" s="268"/>
      <x:c r="Y916" s="268"/>
      <x:c r="Z916" s="268"/>
      <x:c r="AA916" s="268"/>
      <x:c r="AB916" s="268"/>
      <x:c r="AC916" s="268"/>
    </x:row>
    <x:row r="917">
      <x:c r="A917" s="268"/>
      <x:c r="B917" s="268"/>
      <x:c r="C917" s="268"/>
      <x:c r="D917" s="268"/>
      <x:c r="E917" s="268"/>
      <x:c r="F917" s="268"/>
      <x:c r="G917" s="268"/>
      <x:c r="H917" s="268"/>
      <x:c r="I917" s="268"/>
      <x:c r="J917" s="268"/>
      <x:c r="K917" s="268"/>
      <x:c r="L917" s="268"/>
      <x:c r="M917" s="268"/>
      <x:c r="N917" s="268"/>
      <x:c r="O917" s="268"/>
      <x:c r="P917" s="268"/>
      <x:c r="Q917" s="268"/>
      <x:c r="R917" s="268"/>
      <x:c r="S917" s="268"/>
      <x:c r="T917" s="268"/>
      <x:c r="U917" s="268"/>
      <x:c r="V917" s="268"/>
      <x:c r="W917" s="268"/>
      <x:c r="X917" s="268"/>
      <x:c r="Y917" s="268"/>
      <x:c r="Z917" s="268"/>
      <x:c r="AA917" s="268"/>
      <x:c r="AB917" s="268"/>
      <x:c r="AC917" s="268"/>
    </x:row>
    <x:row r="918">
      <x:c r="A918" s="268"/>
      <x:c r="B918" s="268"/>
      <x:c r="C918" s="268"/>
      <x:c r="D918" s="268"/>
      <x:c r="E918" s="268"/>
      <x:c r="F918" s="268"/>
      <x:c r="G918" s="268"/>
      <x:c r="H918" s="268"/>
      <x:c r="I918" s="268"/>
      <x:c r="J918" s="268"/>
      <x:c r="K918" s="268"/>
      <x:c r="L918" s="268"/>
      <x:c r="M918" s="268"/>
      <x:c r="N918" s="268"/>
      <x:c r="O918" s="268"/>
      <x:c r="P918" s="268"/>
      <x:c r="Q918" s="268"/>
      <x:c r="R918" s="268"/>
      <x:c r="S918" s="268"/>
      <x:c r="T918" s="268"/>
      <x:c r="U918" s="268"/>
      <x:c r="V918" s="268"/>
      <x:c r="W918" s="268"/>
      <x:c r="X918" s="268"/>
      <x:c r="Y918" s="268"/>
      <x:c r="Z918" s="268"/>
      <x:c r="AA918" s="268"/>
      <x:c r="AB918" s="268"/>
      <x:c r="AC918" s="268"/>
    </x:row>
    <x:row r="919">
      <x:c r="A919" s="268"/>
      <x:c r="B919" s="268"/>
      <x:c r="C919" s="268"/>
      <x:c r="D919" s="268"/>
      <x:c r="E919" s="268"/>
      <x:c r="F919" s="268"/>
      <x:c r="G919" s="268"/>
      <x:c r="H919" s="268"/>
      <x:c r="I919" s="268"/>
      <x:c r="J919" s="268"/>
      <x:c r="K919" s="268"/>
      <x:c r="L919" s="268"/>
      <x:c r="M919" s="268"/>
      <x:c r="N919" s="268"/>
      <x:c r="O919" s="268"/>
      <x:c r="P919" s="268"/>
      <x:c r="Q919" s="268"/>
      <x:c r="R919" s="268"/>
      <x:c r="S919" s="268"/>
      <x:c r="T919" s="268"/>
      <x:c r="U919" s="268"/>
      <x:c r="V919" s="268"/>
      <x:c r="W919" s="268"/>
      <x:c r="X919" s="268"/>
      <x:c r="Y919" s="268"/>
      <x:c r="Z919" s="268"/>
      <x:c r="AA919" s="268"/>
      <x:c r="AB919" s="268"/>
      <x:c r="AC919" s="268"/>
    </x:row>
    <x:row r="920">
      <x:c r="A920" s="268"/>
      <x:c r="B920" s="268"/>
      <x:c r="C920" s="268"/>
      <x:c r="D920" s="268"/>
      <x:c r="E920" s="268"/>
      <x:c r="F920" s="268"/>
      <x:c r="G920" s="268"/>
      <x:c r="H920" s="268"/>
      <x:c r="I920" s="268"/>
      <x:c r="J920" s="268"/>
      <x:c r="K920" s="268"/>
      <x:c r="L920" s="268"/>
      <x:c r="M920" s="268"/>
      <x:c r="N920" s="268"/>
      <x:c r="O920" s="268"/>
      <x:c r="P920" s="268"/>
      <x:c r="Q920" s="268"/>
      <x:c r="R920" s="268"/>
      <x:c r="S920" s="268"/>
      <x:c r="T920" s="268"/>
      <x:c r="U920" s="268"/>
      <x:c r="V920" s="268"/>
      <x:c r="W920" s="268"/>
      <x:c r="X920" s="268"/>
      <x:c r="Y920" s="268"/>
      <x:c r="Z920" s="268"/>
      <x:c r="AA920" s="268"/>
      <x:c r="AB920" s="268"/>
      <x:c r="AC920" s="268"/>
    </x:row>
    <x:row r="921">
      <x:c r="A921" s="268"/>
      <x:c r="B921" s="268"/>
      <x:c r="C921" s="268"/>
      <x:c r="D921" s="268"/>
      <x:c r="E921" s="268"/>
      <x:c r="F921" s="268"/>
      <x:c r="G921" s="268"/>
      <x:c r="H921" s="268"/>
      <x:c r="I921" s="268"/>
      <x:c r="J921" s="268"/>
      <x:c r="K921" s="268"/>
      <x:c r="L921" s="268"/>
      <x:c r="M921" s="268"/>
      <x:c r="N921" s="268"/>
      <x:c r="O921" s="268"/>
      <x:c r="P921" s="268"/>
      <x:c r="Q921" s="268"/>
      <x:c r="R921" s="268"/>
      <x:c r="S921" s="268"/>
      <x:c r="T921" s="268"/>
      <x:c r="U921" s="268"/>
      <x:c r="V921" s="268"/>
      <x:c r="W921" s="268"/>
      <x:c r="X921" s="268"/>
      <x:c r="Y921" s="268"/>
      <x:c r="Z921" s="268"/>
      <x:c r="AA921" s="268"/>
      <x:c r="AB921" s="268"/>
      <x:c r="AC921" s="268"/>
    </x:row>
    <x:row r="922">
      <x:c r="A922" s="268"/>
      <x:c r="B922" s="268"/>
      <x:c r="C922" s="268"/>
      <x:c r="D922" s="268"/>
      <x:c r="E922" s="268"/>
      <x:c r="F922" s="268"/>
      <x:c r="G922" s="268"/>
      <x:c r="H922" s="268"/>
      <x:c r="I922" s="268"/>
      <x:c r="J922" s="268"/>
      <x:c r="K922" s="268"/>
      <x:c r="L922" s="268"/>
      <x:c r="M922" s="268"/>
      <x:c r="N922" s="268"/>
      <x:c r="O922" s="268"/>
      <x:c r="P922" s="268"/>
      <x:c r="Q922" s="268"/>
      <x:c r="R922" s="268"/>
      <x:c r="S922" s="268"/>
      <x:c r="T922" s="268"/>
      <x:c r="U922" s="268"/>
      <x:c r="V922" s="268"/>
      <x:c r="W922" s="268"/>
      <x:c r="X922" s="268"/>
      <x:c r="Y922" s="268"/>
      <x:c r="Z922" s="268"/>
      <x:c r="AA922" s="268"/>
      <x:c r="AB922" s="268"/>
      <x:c r="AC922" s="268"/>
    </x:row>
    <x:row r="923">
      <x:c r="A923" s="268"/>
      <x:c r="B923" s="268"/>
      <x:c r="C923" s="268"/>
      <x:c r="D923" s="268"/>
      <x:c r="E923" s="268"/>
      <x:c r="F923" s="268"/>
      <x:c r="G923" s="268"/>
      <x:c r="H923" s="268"/>
      <x:c r="I923" s="268"/>
      <x:c r="J923" s="268"/>
      <x:c r="K923" s="268"/>
      <x:c r="L923" s="268"/>
      <x:c r="M923" s="268"/>
      <x:c r="N923" s="268"/>
      <x:c r="O923" s="268"/>
      <x:c r="P923" s="268"/>
      <x:c r="Q923" s="268"/>
      <x:c r="R923" s="268"/>
      <x:c r="S923" s="268"/>
      <x:c r="T923" s="268"/>
      <x:c r="U923" s="268"/>
      <x:c r="V923" s="268"/>
      <x:c r="W923" s="268"/>
      <x:c r="X923" s="268"/>
      <x:c r="Y923" s="268"/>
      <x:c r="Z923" s="268"/>
      <x:c r="AA923" s="268"/>
      <x:c r="AB923" s="268"/>
      <x:c r="AC923" s="268"/>
    </x:row>
    <x:row r="924">
      <x:c r="A924" s="268"/>
      <x:c r="B924" s="268"/>
      <x:c r="C924" s="268"/>
      <x:c r="D924" s="268"/>
      <x:c r="E924" s="268"/>
      <x:c r="F924" s="268"/>
      <x:c r="G924" s="268"/>
      <x:c r="H924" s="268"/>
      <x:c r="I924" s="268"/>
      <x:c r="J924" s="268"/>
      <x:c r="K924" s="268"/>
      <x:c r="L924" s="268"/>
      <x:c r="M924" s="268"/>
      <x:c r="N924" s="268"/>
      <x:c r="O924" s="268"/>
      <x:c r="P924" s="268"/>
      <x:c r="Q924" s="268"/>
      <x:c r="R924" s="268"/>
      <x:c r="S924" s="268"/>
      <x:c r="T924" s="268"/>
      <x:c r="U924" s="268"/>
      <x:c r="V924" s="268"/>
      <x:c r="W924" s="268"/>
      <x:c r="X924" s="268"/>
      <x:c r="Y924" s="268"/>
      <x:c r="Z924" s="268"/>
      <x:c r="AA924" s="268"/>
      <x:c r="AB924" s="268"/>
      <x:c r="AC924" s="268"/>
    </x:row>
    <x:row r="925">
      <x:c r="A925" s="268"/>
      <x:c r="B925" s="268"/>
      <x:c r="C925" s="268"/>
      <x:c r="D925" s="268"/>
      <x:c r="E925" s="268"/>
      <x:c r="F925" s="268"/>
      <x:c r="G925" s="268"/>
      <x:c r="H925" s="268"/>
      <x:c r="I925" s="268"/>
      <x:c r="J925" s="268"/>
      <x:c r="K925" s="268"/>
      <x:c r="L925" s="268"/>
      <x:c r="M925" s="268"/>
      <x:c r="N925" s="268"/>
      <x:c r="O925" s="268"/>
      <x:c r="P925" s="268"/>
      <x:c r="Q925" s="268"/>
      <x:c r="R925" s="268"/>
      <x:c r="S925" s="268"/>
      <x:c r="T925" s="268"/>
      <x:c r="U925" s="268"/>
      <x:c r="V925" s="268"/>
      <x:c r="W925" s="268"/>
      <x:c r="X925" s="268"/>
      <x:c r="Y925" s="268"/>
      <x:c r="Z925" s="268"/>
      <x:c r="AA925" s="268"/>
      <x:c r="AB925" s="268"/>
      <x:c r="AC925" s="268"/>
    </x:row>
    <x:row r="926">
      <x:c r="A926" s="268"/>
      <x:c r="B926" s="268"/>
      <x:c r="C926" s="268"/>
      <x:c r="D926" s="268"/>
      <x:c r="E926" s="268"/>
      <x:c r="F926" s="268"/>
      <x:c r="G926" s="268"/>
      <x:c r="H926" s="268"/>
      <x:c r="I926" s="268"/>
      <x:c r="J926" s="268"/>
      <x:c r="K926" s="268"/>
      <x:c r="L926" s="268"/>
      <x:c r="M926" s="268"/>
      <x:c r="N926" s="268"/>
      <x:c r="O926" s="268"/>
      <x:c r="P926" s="268"/>
      <x:c r="Q926" s="268"/>
      <x:c r="R926" s="268"/>
      <x:c r="S926" s="268"/>
      <x:c r="T926" s="268"/>
      <x:c r="U926" s="268"/>
      <x:c r="V926" s="268"/>
      <x:c r="W926" s="268"/>
      <x:c r="X926" s="268"/>
      <x:c r="Y926" s="268"/>
      <x:c r="Z926" s="268"/>
      <x:c r="AA926" s="268"/>
      <x:c r="AB926" s="268"/>
      <x:c r="AC926" s="268"/>
    </x:row>
    <x:row r="927">
      <x:c r="A927" s="268"/>
      <x:c r="B927" s="268"/>
      <x:c r="C927" s="268"/>
      <x:c r="D927" s="268"/>
      <x:c r="E927" s="268"/>
      <x:c r="F927" s="268"/>
      <x:c r="G927" s="268"/>
      <x:c r="H927" s="268"/>
      <x:c r="I927" s="268"/>
      <x:c r="J927" s="268"/>
      <x:c r="K927" s="268"/>
      <x:c r="L927" s="268"/>
      <x:c r="M927" s="268"/>
      <x:c r="N927" s="268"/>
      <x:c r="O927" s="268"/>
      <x:c r="P927" s="268"/>
      <x:c r="Q927" s="268"/>
      <x:c r="R927" s="268"/>
      <x:c r="S927" s="268"/>
      <x:c r="T927" s="268"/>
      <x:c r="U927" s="268"/>
      <x:c r="V927" s="268"/>
      <x:c r="W927" s="268"/>
      <x:c r="X927" s="268"/>
      <x:c r="Y927" s="268"/>
      <x:c r="Z927" s="268"/>
      <x:c r="AA927" s="268"/>
      <x:c r="AB927" s="268"/>
      <x:c r="AC927" s="268"/>
    </x:row>
    <x:row r="928">
      <x:c r="A928" s="268"/>
      <x:c r="B928" s="268"/>
      <x:c r="C928" s="268"/>
      <x:c r="D928" s="268"/>
      <x:c r="E928" s="268"/>
      <x:c r="F928" s="268"/>
      <x:c r="G928" s="268"/>
      <x:c r="H928" s="268"/>
      <x:c r="I928" s="268"/>
      <x:c r="J928" s="268"/>
      <x:c r="K928" s="268"/>
      <x:c r="L928" s="268"/>
      <x:c r="M928" s="268"/>
      <x:c r="N928" s="268"/>
      <x:c r="O928" s="268"/>
      <x:c r="P928" s="268"/>
      <x:c r="Q928" s="268"/>
      <x:c r="R928" s="268"/>
      <x:c r="S928" s="268"/>
      <x:c r="T928" s="268"/>
      <x:c r="U928" s="268"/>
      <x:c r="V928" s="268"/>
      <x:c r="W928" s="268"/>
      <x:c r="X928" s="268"/>
      <x:c r="Y928" s="268"/>
      <x:c r="Z928" s="268"/>
      <x:c r="AA928" s="268"/>
      <x:c r="AB928" s="268"/>
      <x:c r="AC928" s="268"/>
    </x:row>
    <x:row r="929">
      <x:c r="A929" s="268"/>
      <x:c r="B929" s="268"/>
      <x:c r="C929" s="268"/>
      <x:c r="D929" s="268"/>
      <x:c r="E929" s="268"/>
      <x:c r="F929" s="268"/>
      <x:c r="G929" s="268"/>
      <x:c r="H929" s="268"/>
      <x:c r="I929" s="268"/>
      <x:c r="J929" s="268"/>
      <x:c r="K929" s="268"/>
      <x:c r="L929" s="268"/>
      <x:c r="M929" s="268"/>
      <x:c r="N929" s="268"/>
      <x:c r="O929" s="268"/>
      <x:c r="P929" s="268"/>
      <x:c r="Q929" s="268"/>
      <x:c r="R929" s="268"/>
      <x:c r="S929" s="268"/>
      <x:c r="T929" s="268"/>
      <x:c r="U929" s="268"/>
      <x:c r="V929" s="268"/>
      <x:c r="W929" s="268"/>
      <x:c r="X929" s="268"/>
      <x:c r="Y929" s="268"/>
      <x:c r="Z929" s="268"/>
      <x:c r="AA929" s="268"/>
      <x:c r="AB929" s="268"/>
      <x:c r="AC929" s="268"/>
    </x:row>
    <x:row r="930">
      <x:c r="A930" s="268"/>
      <x:c r="B930" s="268"/>
      <x:c r="C930" s="268"/>
      <x:c r="D930" s="268"/>
      <x:c r="E930" s="268"/>
      <x:c r="F930" s="268"/>
      <x:c r="G930" s="268"/>
      <x:c r="H930" s="268"/>
      <x:c r="I930" s="268"/>
      <x:c r="J930" s="268"/>
      <x:c r="K930" s="268"/>
      <x:c r="L930" s="268"/>
      <x:c r="M930" s="268"/>
      <x:c r="N930" s="268"/>
      <x:c r="O930" s="268"/>
      <x:c r="P930" s="268"/>
      <x:c r="Q930" s="268"/>
      <x:c r="R930" s="268"/>
      <x:c r="S930" s="268"/>
      <x:c r="T930" s="268"/>
      <x:c r="U930" s="268"/>
      <x:c r="V930" s="268"/>
      <x:c r="W930" s="268"/>
      <x:c r="X930" s="268"/>
      <x:c r="Y930" s="268"/>
      <x:c r="Z930" s="268"/>
      <x:c r="AA930" s="268"/>
      <x:c r="AB930" s="268"/>
      <x:c r="AC930" s="268"/>
    </x:row>
    <x:row r="931">
      <x:c r="A931" s="268"/>
      <x:c r="B931" s="268"/>
      <x:c r="C931" s="268"/>
      <x:c r="D931" s="268"/>
      <x:c r="E931" s="268"/>
      <x:c r="F931" s="268"/>
      <x:c r="G931" s="268"/>
      <x:c r="H931" s="268"/>
      <x:c r="I931" s="268"/>
      <x:c r="J931" s="268"/>
      <x:c r="K931" s="268"/>
      <x:c r="L931" s="268"/>
      <x:c r="M931" s="268"/>
      <x:c r="N931" s="268"/>
      <x:c r="O931" s="268"/>
      <x:c r="P931" s="268"/>
      <x:c r="Q931" s="268"/>
      <x:c r="R931" s="268"/>
      <x:c r="S931" s="268"/>
      <x:c r="T931" s="268"/>
      <x:c r="U931" s="268"/>
      <x:c r="V931" s="268"/>
      <x:c r="W931" s="268"/>
      <x:c r="X931" s="268"/>
      <x:c r="Y931" s="268"/>
      <x:c r="Z931" s="268"/>
      <x:c r="AA931" s="268"/>
      <x:c r="AB931" s="268"/>
      <x:c r="AC931" s="268"/>
    </x:row>
    <x:row r="932">
      <x:c r="A932" s="268"/>
      <x:c r="B932" s="268"/>
      <x:c r="C932" s="268"/>
      <x:c r="D932" s="268"/>
      <x:c r="E932" s="268"/>
      <x:c r="F932" s="268"/>
      <x:c r="G932" s="268"/>
      <x:c r="H932" s="268"/>
      <x:c r="I932" s="268"/>
      <x:c r="J932" s="268"/>
      <x:c r="K932" s="268"/>
      <x:c r="L932" s="268"/>
      <x:c r="M932" s="268"/>
      <x:c r="N932" s="268"/>
      <x:c r="O932" s="268"/>
      <x:c r="P932" s="268"/>
      <x:c r="Q932" s="268"/>
      <x:c r="R932" s="268"/>
      <x:c r="S932" s="268"/>
      <x:c r="T932" s="268"/>
      <x:c r="U932" s="268"/>
      <x:c r="V932" s="268"/>
      <x:c r="W932" s="268"/>
      <x:c r="X932" s="268"/>
      <x:c r="Y932" s="268"/>
      <x:c r="Z932" s="268"/>
      <x:c r="AA932" s="268"/>
      <x:c r="AB932" s="268"/>
      <x:c r="AC932" s="268"/>
    </x:row>
    <x:row r="933">
      <x:c r="A933" s="268"/>
      <x:c r="B933" s="268"/>
      <x:c r="C933" s="268"/>
      <x:c r="D933" s="268"/>
      <x:c r="E933" s="268"/>
      <x:c r="F933" s="268"/>
      <x:c r="G933" s="268"/>
      <x:c r="H933" s="268"/>
      <x:c r="I933" s="268"/>
      <x:c r="J933" s="268"/>
      <x:c r="K933" s="268"/>
      <x:c r="L933" s="268"/>
      <x:c r="M933" s="268"/>
      <x:c r="N933" s="268"/>
      <x:c r="O933" s="268"/>
      <x:c r="P933" s="268"/>
      <x:c r="Q933" s="268"/>
      <x:c r="R933" s="268"/>
      <x:c r="S933" s="268"/>
      <x:c r="T933" s="268"/>
      <x:c r="U933" s="268"/>
      <x:c r="V933" s="268"/>
      <x:c r="W933" s="268"/>
      <x:c r="X933" s="268"/>
      <x:c r="Y933" s="268"/>
      <x:c r="Z933" s="268"/>
      <x:c r="AA933" s="268"/>
      <x:c r="AB933" s="268"/>
      <x:c r="AC933" s="268"/>
    </x:row>
    <x:row r="934">
      <x:c r="A934" s="268"/>
      <x:c r="B934" s="268"/>
      <x:c r="C934" s="268"/>
      <x:c r="D934" s="268"/>
      <x:c r="E934" s="268"/>
      <x:c r="F934" s="268"/>
      <x:c r="G934" s="268"/>
      <x:c r="H934" s="268"/>
      <x:c r="I934" s="268"/>
      <x:c r="J934" s="268"/>
      <x:c r="K934" s="268"/>
      <x:c r="L934" s="268"/>
      <x:c r="M934" s="268"/>
      <x:c r="N934" s="268"/>
      <x:c r="O934" s="268"/>
      <x:c r="P934" s="268"/>
      <x:c r="Q934" s="268"/>
      <x:c r="R934" s="268"/>
      <x:c r="S934" s="268"/>
      <x:c r="T934" s="268"/>
      <x:c r="U934" s="268"/>
      <x:c r="V934" s="268"/>
      <x:c r="W934" s="268"/>
      <x:c r="X934" s="268"/>
      <x:c r="Y934" s="268"/>
      <x:c r="Z934" s="268"/>
      <x:c r="AA934" s="268"/>
      <x:c r="AB934" s="268"/>
      <x:c r="AC934" s="268"/>
    </x:row>
    <x:row r="935">
      <x:c r="A935" s="268"/>
      <x:c r="B935" s="268"/>
      <x:c r="C935" s="268"/>
      <x:c r="D935" s="268"/>
      <x:c r="E935" s="268"/>
      <x:c r="F935" s="268"/>
      <x:c r="G935" s="268"/>
      <x:c r="H935" s="268"/>
      <x:c r="I935" s="268"/>
      <x:c r="J935" s="268"/>
      <x:c r="K935" s="268"/>
      <x:c r="L935" s="268"/>
      <x:c r="M935" s="268"/>
      <x:c r="N935" s="268"/>
      <x:c r="O935" s="268"/>
      <x:c r="P935" s="268"/>
      <x:c r="Q935" s="268"/>
      <x:c r="R935" s="268"/>
      <x:c r="S935" s="268"/>
      <x:c r="T935" s="268"/>
      <x:c r="U935" s="268"/>
      <x:c r="V935" s="268"/>
      <x:c r="W935" s="268"/>
      <x:c r="X935" s="268"/>
      <x:c r="Y935" s="268"/>
      <x:c r="Z935" s="268"/>
      <x:c r="AA935" s="268"/>
      <x:c r="AB935" s="268"/>
      <x:c r="AC935" s="268"/>
    </x:row>
    <x:row r="936">
      <x:c r="A936" s="268"/>
      <x:c r="B936" s="268"/>
      <x:c r="C936" s="268"/>
      <x:c r="D936" s="268"/>
      <x:c r="E936" s="268"/>
      <x:c r="F936" s="268"/>
      <x:c r="G936" s="268"/>
      <x:c r="H936" s="268"/>
      <x:c r="I936" s="268"/>
      <x:c r="J936" s="268"/>
      <x:c r="K936" s="268"/>
      <x:c r="L936" s="268"/>
      <x:c r="M936" s="268"/>
      <x:c r="N936" s="268"/>
      <x:c r="O936" s="268"/>
      <x:c r="P936" s="268"/>
      <x:c r="Q936" s="268"/>
      <x:c r="R936" s="268"/>
      <x:c r="S936" s="268"/>
      <x:c r="T936" s="268"/>
      <x:c r="U936" s="268"/>
      <x:c r="V936" s="268"/>
      <x:c r="W936" s="268"/>
      <x:c r="X936" s="268"/>
      <x:c r="Y936" s="268"/>
      <x:c r="Z936" s="268"/>
      <x:c r="AA936" s="268"/>
      <x:c r="AB936" s="268"/>
      <x:c r="AC936" s="268"/>
    </x:row>
    <x:row r="937">
      <x:c r="A937" s="268"/>
      <x:c r="B937" s="268"/>
      <x:c r="C937" s="268"/>
      <x:c r="D937" s="268"/>
      <x:c r="E937" s="268"/>
      <x:c r="F937" s="268"/>
      <x:c r="G937" s="268"/>
      <x:c r="H937" s="268"/>
      <x:c r="I937" s="268"/>
      <x:c r="J937" s="268"/>
      <x:c r="K937" s="268"/>
      <x:c r="L937" s="268"/>
      <x:c r="M937" s="268"/>
      <x:c r="N937" s="268"/>
      <x:c r="O937" s="268"/>
      <x:c r="P937" s="268"/>
      <x:c r="Q937" s="268"/>
      <x:c r="R937" s="268"/>
      <x:c r="S937" s="268"/>
      <x:c r="T937" s="268"/>
      <x:c r="U937" s="268"/>
      <x:c r="V937" s="268"/>
      <x:c r="W937" s="268"/>
      <x:c r="X937" s="268"/>
      <x:c r="Y937" s="268"/>
      <x:c r="Z937" s="268"/>
      <x:c r="AA937" s="268"/>
      <x:c r="AB937" s="268"/>
      <x:c r="AC937" s="268"/>
    </x:row>
    <x:row r="938">
      <x:c r="A938" s="268"/>
      <x:c r="B938" s="268"/>
      <x:c r="C938" s="268"/>
      <x:c r="D938" s="268"/>
      <x:c r="E938" s="268"/>
      <x:c r="F938" s="268"/>
      <x:c r="G938" s="268"/>
      <x:c r="H938" s="268"/>
      <x:c r="I938" s="268"/>
      <x:c r="J938" s="268"/>
      <x:c r="K938" s="268"/>
      <x:c r="L938" s="268"/>
      <x:c r="M938" s="268"/>
      <x:c r="N938" s="268"/>
      <x:c r="O938" s="268"/>
      <x:c r="P938" s="268"/>
      <x:c r="Q938" s="268"/>
      <x:c r="R938" s="268"/>
      <x:c r="S938" s="268"/>
      <x:c r="T938" s="268"/>
      <x:c r="U938" s="268"/>
      <x:c r="V938" s="268"/>
      <x:c r="W938" s="268"/>
      <x:c r="X938" s="268"/>
      <x:c r="Y938" s="268"/>
      <x:c r="Z938" s="268"/>
      <x:c r="AA938" s="268"/>
      <x:c r="AB938" s="268"/>
      <x:c r="AC938" s="268"/>
    </x:row>
    <x:row r="939">
      <x:c r="A939" s="268"/>
      <x:c r="B939" s="268"/>
      <x:c r="C939" s="268"/>
      <x:c r="D939" s="268"/>
      <x:c r="E939" s="268"/>
      <x:c r="F939" s="268"/>
      <x:c r="G939" s="268"/>
      <x:c r="H939" s="268"/>
      <x:c r="I939" s="268"/>
      <x:c r="J939" s="268"/>
      <x:c r="K939" s="268"/>
      <x:c r="L939" s="268"/>
      <x:c r="M939" s="268"/>
      <x:c r="N939" s="268"/>
      <x:c r="O939" s="268"/>
      <x:c r="P939" s="268"/>
      <x:c r="Q939" s="268"/>
      <x:c r="R939" s="268"/>
      <x:c r="S939" s="268"/>
      <x:c r="T939" s="268"/>
      <x:c r="U939" s="268"/>
      <x:c r="V939" s="268"/>
      <x:c r="W939" s="268"/>
      <x:c r="X939" s="268"/>
      <x:c r="Y939" s="268"/>
      <x:c r="Z939" s="268"/>
      <x:c r="AA939" s="268"/>
      <x:c r="AB939" s="268"/>
      <x:c r="AC939" s="268"/>
    </x:row>
    <x:row r="940">
      <x:c r="A940" s="268"/>
      <x:c r="B940" s="268"/>
      <x:c r="C940" s="268"/>
      <x:c r="D940" s="268"/>
      <x:c r="E940" s="268"/>
      <x:c r="F940" s="268"/>
      <x:c r="G940" s="268"/>
      <x:c r="H940" s="268"/>
      <x:c r="I940" s="268"/>
      <x:c r="J940" s="268"/>
      <x:c r="K940" s="268"/>
      <x:c r="L940" s="268"/>
      <x:c r="M940" s="268"/>
      <x:c r="N940" s="268"/>
      <x:c r="O940" s="268"/>
      <x:c r="P940" s="268"/>
      <x:c r="Q940" s="268"/>
      <x:c r="R940" s="268"/>
      <x:c r="S940" s="268"/>
      <x:c r="T940" s="268"/>
      <x:c r="U940" s="268"/>
      <x:c r="V940" s="268"/>
      <x:c r="W940" s="268"/>
      <x:c r="X940" s="268"/>
      <x:c r="Y940" s="268"/>
      <x:c r="Z940" s="268"/>
      <x:c r="AA940" s="268"/>
      <x:c r="AB940" s="268"/>
      <x:c r="AC940" s="268"/>
    </x:row>
    <x:row r="941">
      <x:c r="A941" s="268"/>
      <x:c r="B941" s="268"/>
      <x:c r="C941" s="268"/>
      <x:c r="D941" s="268"/>
      <x:c r="E941" s="268"/>
      <x:c r="F941" s="268"/>
      <x:c r="G941" s="268"/>
      <x:c r="H941" s="268"/>
      <x:c r="I941" s="268"/>
      <x:c r="J941" s="268"/>
      <x:c r="K941" s="268"/>
      <x:c r="L941" s="268"/>
      <x:c r="M941" s="268"/>
      <x:c r="N941" s="268"/>
      <x:c r="O941" s="268"/>
      <x:c r="P941" s="268"/>
      <x:c r="Q941" s="268"/>
      <x:c r="R941" s="268"/>
      <x:c r="S941" s="268"/>
      <x:c r="T941" s="268"/>
      <x:c r="U941" s="268"/>
      <x:c r="V941" s="268"/>
      <x:c r="W941" s="268"/>
      <x:c r="X941" s="268"/>
      <x:c r="Y941" s="268"/>
      <x:c r="Z941" s="268"/>
      <x:c r="AA941" s="268"/>
      <x:c r="AB941" s="268"/>
      <x:c r="AC941" s="268"/>
    </x:row>
    <x:row r="942">
      <x:c r="A942" s="268"/>
      <x:c r="B942" s="268"/>
      <x:c r="C942" s="268"/>
      <x:c r="D942" s="268"/>
      <x:c r="E942" s="268"/>
      <x:c r="F942" s="268"/>
      <x:c r="G942" s="268"/>
      <x:c r="H942" s="268"/>
      <x:c r="I942" s="268"/>
      <x:c r="J942" s="268"/>
      <x:c r="K942" s="268"/>
      <x:c r="L942" s="268"/>
      <x:c r="M942" s="268"/>
      <x:c r="N942" s="268"/>
      <x:c r="O942" s="268"/>
      <x:c r="P942" s="268"/>
      <x:c r="Q942" s="268"/>
      <x:c r="R942" s="268"/>
      <x:c r="S942" s="268"/>
      <x:c r="T942" s="268"/>
      <x:c r="U942" s="268"/>
      <x:c r="V942" s="268"/>
      <x:c r="W942" s="268"/>
      <x:c r="X942" s="268"/>
      <x:c r="Y942" s="268"/>
      <x:c r="Z942" s="268"/>
      <x:c r="AA942" s="268"/>
      <x:c r="AB942" s="268"/>
      <x:c r="AC942" s="268"/>
    </x:row>
    <x:row r="943">
      <x:c r="A943" s="268"/>
      <x:c r="B943" s="268"/>
      <x:c r="C943" s="268"/>
      <x:c r="D943" s="268"/>
      <x:c r="E943" s="268"/>
      <x:c r="F943" s="268"/>
      <x:c r="G943" s="268"/>
      <x:c r="H943" s="268"/>
      <x:c r="I943" s="268"/>
      <x:c r="J943" s="268"/>
      <x:c r="K943" s="268"/>
      <x:c r="L943" s="268"/>
      <x:c r="M943" s="268"/>
      <x:c r="N943" s="268"/>
      <x:c r="O943" s="268"/>
      <x:c r="P943" s="268"/>
      <x:c r="Q943" s="268"/>
      <x:c r="R943" s="268"/>
      <x:c r="S943" s="268"/>
      <x:c r="T943" s="268"/>
      <x:c r="U943" s="268"/>
      <x:c r="V943" s="268"/>
      <x:c r="W943" s="268"/>
      <x:c r="X943" s="268"/>
      <x:c r="Y943" s="268"/>
      <x:c r="Z943" s="268"/>
      <x:c r="AA943" s="268"/>
      <x:c r="AB943" s="268"/>
      <x:c r="AC943" s="268"/>
    </x:row>
    <x:row r="944">
      <x:c r="A944" s="268"/>
      <x:c r="B944" s="268"/>
      <x:c r="C944" s="268"/>
      <x:c r="D944" s="268"/>
      <x:c r="E944" s="268"/>
      <x:c r="F944" s="268"/>
      <x:c r="G944" s="268"/>
      <x:c r="H944" s="268"/>
      <x:c r="I944" s="268"/>
      <x:c r="J944" s="268"/>
      <x:c r="K944" s="268"/>
      <x:c r="L944" s="268"/>
      <x:c r="M944" s="268"/>
      <x:c r="N944" s="268"/>
      <x:c r="O944" s="268"/>
      <x:c r="P944" s="268"/>
      <x:c r="Q944" s="268"/>
      <x:c r="R944" s="268"/>
      <x:c r="S944" s="268"/>
      <x:c r="T944" s="268"/>
      <x:c r="U944" s="268"/>
      <x:c r="V944" s="268"/>
      <x:c r="W944" s="268"/>
      <x:c r="X944" s="268"/>
      <x:c r="Y944" s="268"/>
      <x:c r="Z944" s="268"/>
      <x:c r="AA944" s="268"/>
      <x:c r="AB944" s="268"/>
      <x:c r="AC944" s="268"/>
    </x:row>
    <x:row r="945">
      <x:c r="A945" s="268"/>
      <x:c r="B945" s="268"/>
      <x:c r="C945" s="268"/>
      <x:c r="D945" s="268"/>
      <x:c r="E945" s="268"/>
      <x:c r="F945" s="268"/>
      <x:c r="G945" s="268"/>
      <x:c r="H945" s="268"/>
      <x:c r="I945" s="268"/>
      <x:c r="J945" s="268"/>
      <x:c r="K945" s="268"/>
      <x:c r="L945" s="268"/>
      <x:c r="M945" s="268"/>
      <x:c r="N945" s="268"/>
      <x:c r="O945" s="268"/>
      <x:c r="P945" s="268"/>
      <x:c r="Q945" s="268"/>
      <x:c r="R945" s="268"/>
      <x:c r="S945" s="268"/>
      <x:c r="T945" s="268"/>
      <x:c r="U945" s="268"/>
      <x:c r="V945" s="268"/>
      <x:c r="W945" s="268"/>
      <x:c r="X945" s="268"/>
      <x:c r="Y945" s="268"/>
      <x:c r="Z945" s="268"/>
      <x:c r="AA945" s="268"/>
      <x:c r="AB945" s="268"/>
      <x:c r="AC945" s="268"/>
    </x:row>
    <x:row r="946">
      <x:c r="A946" s="268"/>
      <x:c r="B946" s="268"/>
      <x:c r="C946" s="268"/>
      <x:c r="D946" s="268"/>
      <x:c r="E946" s="268"/>
      <x:c r="F946" s="268"/>
      <x:c r="G946" s="268"/>
      <x:c r="H946" s="268"/>
      <x:c r="I946" s="268"/>
      <x:c r="J946" s="268"/>
      <x:c r="K946" s="268"/>
      <x:c r="L946" s="268"/>
      <x:c r="M946" s="268"/>
      <x:c r="N946" s="268"/>
      <x:c r="O946" s="268"/>
      <x:c r="P946" s="268"/>
      <x:c r="Q946" s="268"/>
      <x:c r="R946" s="268"/>
      <x:c r="S946" s="268"/>
      <x:c r="T946" s="268"/>
      <x:c r="U946" s="268"/>
      <x:c r="V946" s="268"/>
      <x:c r="W946" s="268"/>
      <x:c r="X946" s="268"/>
      <x:c r="Y946" s="268"/>
      <x:c r="Z946" s="268"/>
      <x:c r="AA946" s="268"/>
      <x:c r="AB946" s="268"/>
      <x:c r="AC946" s="268"/>
    </x:row>
    <x:row r="947">
      <x:c r="A947" s="268"/>
      <x:c r="B947" s="268"/>
      <x:c r="C947" s="268"/>
      <x:c r="D947" s="268"/>
      <x:c r="E947" s="268"/>
      <x:c r="F947" s="268"/>
      <x:c r="G947" s="268"/>
      <x:c r="H947" s="268"/>
      <x:c r="I947" s="268"/>
      <x:c r="J947" s="268"/>
      <x:c r="K947" s="268"/>
      <x:c r="L947" s="268"/>
      <x:c r="M947" s="268"/>
      <x:c r="N947" s="268"/>
      <x:c r="O947" s="268"/>
      <x:c r="P947" s="268"/>
      <x:c r="Q947" s="268"/>
      <x:c r="R947" s="268"/>
      <x:c r="S947" s="268"/>
      <x:c r="T947" s="268"/>
      <x:c r="U947" s="268"/>
      <x:c r="V947" s="268"/>
      <x:c r="W947" s="268"/>
      <x:c r="X947" s="268"/>
      <x:c r="Y947" s="268"/>
      <x:c r="Z947" s="268"/>
      <x:c r="AA947" s="268"/>
      <x:c r="AB947" s="268"/>
      <x:c r="AC947" s="268"/>
    </x:row>
    <x:row r="948">
      <x:c r="A948" s="268"/>
      <x:c r="B948" s="268"/>
      <x:c r="C948" s="268"/>
      <x:c r="D948" s="268"/>
      <x:c r="E948" s="268"/>
      <x:c r="F948" s="268"/>
      <x:c r="G948" s="268"/>
      <x:c r="H948" s="268"/>
      <x:c r="I948" s="268"/>
      <x:c r="J948" s="268"/>
      <x:c r="K948" s="268"/>
      <x:c r="L948" s="268"/>
      <x:c r="M948" s="268"/>
      <x:c r="N948" s="268"/>
      <x:c r="O948" s="268"/>
      <x:c r="P948" s="268"/>
      <x:c r="Q948" s="268"/>
      <x:c r="R948" s="268"/>
      <x:c r="S948" s="268"/>
      <x:c r="T948" s="268"/>
      <x:c r="U948" s="268"/>
      <x:c r="V948" s="268"/>
      <x:c r="W948" s="268"/>
      <x:c r="X948" s="268"/>
      <x:c r="Y948" s="268"/>
      <x:c r="Z948" s="268"/>
      <x:c r="AA948" s="268"/>
      <x:c r="AB948" s="268"/>
      <x:c r="AC948" s="268"/>
    </x:row>
    <x:row r="949">
      <x:c r="A949" s="268"/>
      <x:c r="B949" s="268"/>
      <x:c r="C949" s="268"/>
      <x:c r="D949" s="268"/>
      <x:c r="E949" s="268"/>
      <x:c r="F949" s="268"/>
      <x:c r="G949" s="268"/>
      <x:c r="H949" s="268"/>
      <x:c r="I949" s="268"/>
      <x:c r="J949" s="268"/>
      <x:c r="K949" s="268"/>
      <x:c r="L949" s="268"/>
      <x:c r="M949" s="268"/>
      <x:c r="N949" s="268"/>
      <x:c r="O949" s="268"/>
      <x:c r="P949" s="268"/>
      <x:c r="Q949" s="268"/>
      <x:c r="R949" s="268"/>
      <x:c r="S949" s="268"/>
      <x:c r="T949" s="268"/>
      <x:c r="U949" s="268"/>
      <x:c r="V949" s="268"/>
      <x:c r="W949" s="268"/>
      <x:c r="X949" s="268"/>
      <x:c r="Y949" s="268"/>
      <x:c r="Z949" s="268"/>
      <x:c r="AA949" s="268"/>
      <x:c r="AB949" s="268"/>
      <x:c r="AC949" s="268"/>
    </x:row>
    <x:row r="950">
      <x:c r="A950" s="268"/>
      <x:c r="B950" s="268"/>
      <x:c r="C950" s="268"/>
      <x:c r="D950" s="268"/>
      <x:c r="E950" s="268"/>
      <x:c r="F950" s="268"/>
      <x:c r="G950" s="268"/>
      <x:c r="H950" s="268"/>
      <x:c r="I950" s="268"/>
      <x:c r="J950" s="268"/>
      <x:c r="K950" s="268"/>
      <x:c r="L950" s="268"/>
      <x:c r="M950" s="268"/>
      <x:c r="N950" s="268"/>
      <x:c r="O950" s="268"/>
      <x:c r="P950" s="268"/>
      <x:c r="Q950" s="268"/>
      <x:c r="R950" s="268"/>
      <x:c r="S950" s="268"/>
      <x:c r="T950" s="268"/>
      <x:c r="U950" s="268"/>
      <x:c r="V950" s="268"/>
      <x:c r="W950" s="268"/>
      <x:c r="X950" s="268"/>
      <x:c r="Y950" s="268"/>
      <x:c r="Z950" s="268"/>
      <x:c r="AA950" s="268"/>
      <x:c r="AB950" s="268"/>
      <x:c r="AC950" s="268"/>
    </x:row>
    <x:row r="951">
      <x:c r="A951" s="268"/>
      <x:c r="B951" s="268"/>
      <x:c r="C951" s="268"/>
      <x:c r="D951" s="268"/>
      <x:c r="E951" s="268"/>
      <x:c r="F951" s="268"/>
      <x:c r="G951" s="268"/>
      <x:c r="H951" s="268"/>
      <x:c r="I951" s="268"/>
      <x:c r="J951" s="268"/>
      <x:c r="K951" s="268"/>
      <x:c r="L951" s="268"/>
      <x:c r="M951" s="268"/>
      <x:c r="N951" s="268"/>
      <x:c r="O951" s="268"/>
      <x:c r="P951" s="268"/>
      <x:c r="Q951" s="268"/>
      <x:c r="R951" s="268"/>
      <x:c r="S951" s="268"/>
      <x:c r="T951" s="268"/>
      <x:c r="U951" s="268"/>
      <x:c r="V951" s="268"/>
      <x:c r="W951" s="268"/>
      <x:c r="X951" s="268"/>
      <x:c r="Y951" s="268"/>
      <x:c r="Z951" s="268"/>
      <x:c r="AA951" s="268"/>
      <x:c r="AB951" s="268"/>
      <x:c r="AC951" s="268"/>
    </x:row>
    <x:row r="952">
      <x:c r="A952" s="268"/>
      <x:c r="B952" s="268"/>
      <x:c r="C952" s="268"/>
      <x:c r="D952" s="268"/>
      <x:c r="E952" s="268"/>
      <x:c r="F952" s="268"/>
      <x:c r="G952" s="268"/>
      <x:c r="H952" s="268"/>
      <x:c r="I952" s="268"/>
      <x:c r="J952" s="268"/>
      <x:c r="K952" s="268"/>
      <x:c r="L952" s="268"/>
      <x:c r="M952" s="268"/>
      <x:c r="N952" s="268"/>
      <x:c r="O952" s="268"/>
      <x:c r="P952" s="268"/>
      <x:c r="Q952" s="268"/>
      <x:c r="R952" s="268"/>
      <x:c r="S952" s="268"/>
      <x:c r="T952" s="268"/>
      <x:c r="U952" s="268"/>
      <x:c r="V952" s="268"/>
      <x:c r="W952" s="268"/>
      <x:c r="X952" s="268"/>
      <x:c r="Y952" s="268"/>
      <x:c r="Z952" s="268"/>
      <x:c r="AA952" s="268"/>
      <x:c r="AB952" s="268"/>
      <x:c r="AC952" s="268"/>
    </x:row>
    <x:row r="953">
      <x:c r="A953" s="268"/>
      <x:c r="B953" s="268"/>
      <x:c r="C953" s="268"/>
      <x:c r="D953" s="268"/>
      <x:c r="E953" s="268"/>
      <x:c r="F953" s="268"/>
      <x:c r="G953" s="268"/>
      <x:c r="H953" s="268"/>
      <x:c r="I953" s="268"/>
      <x:c r="J953" s="268"/>
      <x:c r="K953" s="268"/>
      <x:c r="L953" s="268"/>
      <x:c r="M953" s="268"/>
      <x:c r="N953" s="268"/>
      <x:c r="O953" s="268"/>
      <x:c r="P953" s="268"/>
      <x:c r="Q953" s="268"/>
      <x:c r="R953" s="268"/>
      <x:c r="S953" s="268"/>
      <x:c r="T953" s="268"/>
      <x:c r="U953" s="268"/>
      <x:c r="V953" s="268"/>
      <x:c r="W953" s="268"/>
      <x:c r="X953" s="268"/>
      <x:c r="Y953" s="268"/>
      <x:c r="Z953" s="268"/>
      <x:c r="AA953" s="268"/>
      <x:c r="AB953" s="268"/>
      <x:c r="AC953" s="268"/>
    </x:row>
    <x:row r="954">
      <x:c r="A954" s="268"/>
      <x:c r="B954" s="268"/>
      <x:c r="C954" s="268"/>
      <x:c r="D954" s="268"/>
      <x:c r="E954" s="268"/>
      <x:c r="F954" s="268"/>
      <x:c r="G954" s="268"/>
      <x:c r="H954" s="268"/>
      <x:c r="I954" s="268"/>
      <x:c r="J954" s="268"/>
      <x:c r="K954" s="268"/>
      <x:c r="L954" s="268"/>
      <x:c r="M954" s="268"/>
      <x:c r="N954" s="268"/>
      <x:c r="O954" s="268"/>
      <x:c r="P954" s="268"/>
      <x:c r="Q954" s="268"/>
      <x:c r="R954" s="268"/>
      <x:c r="S954" s="268"/>
      <x:c r="T954" s="268"/>
      <x:c r="U954" s="268"/>
      <x:c r="V954" s="268"/>
      <x:c r="W954" s="268"/>
      <x:c r="X954" s="268"/>
      <x:c r="Y954" s="268"/>
      <x:c r="Z954" s="268"/>
      <x:c r="AA954" s="268"/>
      <x:c r="AB954" s="268"/>
      <x:c r="AC954" s="268"/>
    </x:row>
    <x:row r="955">
      <x:c r="A955" s="268"/>
      <x:c r="B955" s="268"/>
      <x:c r="C955" s="268"/>
      <x:c r="D955" s="268"/>
      <x:c r="E955" s="268"/>
      <x:c r="F955" s="268"/>
      <x:c r="G955" s="268"/>
      <x:c r="H955" s="268"/>
      <x:c r="I955" s="268"/>
      <x:c r="J955" s="268"/>
      <x:c r="K955" s="268"/>
      <x:c r="L955" s="268"/>
      <x:c r="M955" s="268"/>
      <x:c r="N955" s="268"/>
      <x:c r="O955" s="268"/>
      <x:c r="P955" s="268"/>
      <x:c r="Q955" s="268"/>
      <x:c r="R955" s="268"/>
      <x:c r="S955" s="268"/>
      <x:c r="T955" s="268"/>
      <x:c r="U955" s="268"/>
      <x:c r="V955" s="268"/>
      <x:c r="W955" s="268"/>
      <x:c r="X955" s="268"/>
      <x:c r="Y955" s="268"/>
      <x:c r="Z955" s="268"/>
      <x:c r="AA955" s="268"/>
      <x:c r="AB955" s="268"/>
      <x:c r="AC955" s="268"/>
    </x:row>
    <x:row r="956">
      <x:c r="A956" s="268"/>
      <x:c r="B956" s="268"/>
      <x:c r="C956" s="268"/>
      <x:c r="D956" s="268"/>
      <x:c r="E956" s="268"/>
      <x:c r="F956" s="268"/>
      <x:c r="G956" s="268"/>
      <x:c r="H956" s="268"/>
      <x:c r="I956" s="268"/>
      <x:c r="J956" s="268"/>
      <x:c r="K956" s="268"/>
      <x:c r="L956" s="268"/>
      <x:c r="M956" s="268"/>
      <x:c r="N956" s="268"/>
      <x:c r="O956" s="268"/>
      <x:c r="P956" s="268"/>
      <x:c r="Q956" s="268"/>
      <x:c r="R956" s="268"/>
      <x:c r="S956" s="268"/>
      <x:c r="T956" s="268"/>
      <x:c r="U956" s="268"/>
      <x:c r="V956" s="268"/>
      <x:c r="W956" s="268"/>
      <x:c r="X956" s="268"/>
      <x:c r="Y956" s="268"/>
      <x:c r="Z956" s="268"/>
      <x:c r="AA956" s="268"/>
      <x:c r="AB956" s="268"/>
      <x:c r="AC956" s="268"/>
    </x:row>
    <x:row r="957">
      <x:c r="A957" s="268"/>
      <x:c r="B957" s="268"/>
      <x:c r="C957" s="268"/>
      <x:c r="D957" s="268"/>
      <x:c r="E957" s="268"/>
      <x:c r="F957" s="268"/>
      <x:c r="G957" s="268"/>
      <x:c r="H957" s="268"/>
      <x:c r="I957" s="268"/>
      <x:c r="J957" s="268"/>
      <x:c r="K957" s="268"/>
      <x:c r="L957" s="268"/>
      <x:c r="M957" s="268"/>
      <x:c r="N957" s="268"/>
      <x:c r="O957" s="268"/>
      <x:c r="P957" s="268"/>
      <x:c r="Q957" s="268"/>
      <x:c r="R957" s="268"/>
      <x:c r="S957" s="268"/>
      <x:c r="T957" s="268"/>
      <x:c r="U957" s="268"/>
      <x:c r="V957" s="268"/>
      <x:c r="W957" s="268"/>
      <x:c r="X957" s="268"/>
      <x:c r="Y957" s="268"/>
      <x:c r="Z957" s="268"/>
      <x:c r="AA957" s="268"/>
      <x:c r="AB957" s="268"/>
      <x:c r="AC957" s="268"/>
    </x:row>
    <x:row r="958">
      <x:c r="A958" s="268"/>
      <x:c r="B958" s="268"/>
      <x:c r="C958" s="268"/>
      <x:c r="D958" s="268"/>
      <x:c r="E958" s="268"/>
      <x:c r="F958" s="268"/>
      <x:c r="G958" s="268"/>
      <x:c r="H958" s="268"/>
      <x:c r="I958" s="268"/>
      <x:c r="J958" s="268"/>
      <x:c r="K958" s="268"/>
      <x:c r="L958" s="268"/>
      <x:c r="M958" s="268"/>
      <x:c r="N958" s="268"/>
      <x:c r="O958" s="268"/>
      <x:c r="P958" s="268"/>
      <x:c r="Q958" s="268"/>
      <x:c r="R958" s="268"/>
      <x:c r="S958" s="268"/>
      <x:c r="T958" s="268"/>
      <x:c r="U958" s="268"/>
      <x:c r="V958" s="268"/>
      <x:c r="W958" s="268"/>
      <x:c r="X958" s="268"/>
      <x:c r="Y958" s="268"/>
      <x:c r="Z958" s="268"/>
      <x:c r="AA958" s="268"/>
      <x:c r="AB958" s="268"/>
      <x:c r="AC958" s="268"/>
    </x:row>
    <x:row r="959">
      <x:c r="A959" s="268"/>
      <x:c r="B959" s="268"/>
      <x:c r="C959" s="268"/>
      <x:c r="D959" s="268"/>
      <x:c r="E959" s="268"/>
      <x:c r="F959" s="268"/>
      <x:c r="G959" s="268"/>
      <x:c r="H959" s="268"/>
      <x:c r="I959" s="268"/>
      <x:c r="J959" s="268"/>
      <x:c r="K959" s="268"/>
      <x:c r="L959" s="268"/>
      <x:c r="M959" s="268"/>
      <x:c r="N959" s="268"/>
      <x:c r="O959" s="268"/>
      <x:c r="P959" s="268"/>
      <x:c r="Q959" s="268"/>
      <x:c r="R959" s="268"/>
      <x:c r="S959" s="268"/>
      <x:c r="T959" s="268"/>
      <x:c r="U959" s="268"/>
      <x:c r="V959" s="268"/>
      <x:c r="W959" s="268"/>
      <x:c r="X959" s="268"/>
      <x:c r="Y959" s="268"/>
      <x:c r="Z959" s="268"/>
      <x:c r="AA959" s="268"/>
      <x:c r="AB959" s="268"/>
      <x:c r="AC959" s="268"/>
    </x:row>
    <x:row r="960">
      <x:c r="A960" s="268"/>
      <x:c r="B960" s="268"/>
      <x:c r="C960" s="268"/>
      <x:c r="D960" s="268"/>
      <x:c r="E960" s="268"/>
      <x:c r="F960" s="268"/>
      <x:c r="G960" s="268"/>
      <x:c r="H960" s="268"/>
      <x:c r="I960" s="268"/>
      <x:c r="J960" s="268"/>
      <x:c r="K960" s="268"/>
      <x:c r="L960" s="268"/>
      <x:c r="M960" s="268"/>
      <x:c r="N960" s="268"/>
      <x:c r="O960" s="268"/>
      <x:c r="P960" s="268"/>
      <x:c r="Q960" s="268"/>
      <x:c r="R960" s="268"/>
      <x:c r="S960" s="268"/>
      <x:c r="T960" s="268"/>
      <x:c r="U960" s="268"/>
      <x:c r="V960" s="268"/>
      <x:c r="W960" s="268"/>
      <x:c r="X960" s="268"/>
      <x:c r="Y960" s="268"/>
      <x:c r="Z960" s="268"/>
      <x:c r="AA960" s="268"/>
      <x:c r="AB960" s="268"/>
      <x:c r="AC960" s="268"/>
    </x:row>
    <x:row r="961">
      <x:c r="A961" s="268"/>
      <x:c r="B961" s="268"/>
      <x:c r="C961" s="268"/>
      <x:c r="D961" s="268"/>
      <x:c r="E961" s="268"/>
      <x:c r="F961" s="268"/>
      <x:c r="G961" s="268"/>
      <x:c r="H961" s="268"/>
      <x:c r="I961" s="268"/>
      <x:c r="J961" s="268"/>
      <x:c r="K961" s="268"/>
      <x:c r="L961" s="268"/>
      <x:c r="M961" s="268"/>
      <x:c r="N961" s="268"/>
      <x:c r="O961" s="268"/>
      <x:c r="P961" s="268"/>
      <x:c r="Q961" s="268"/>
      <x:c r="R961" s="268"/>
      <x:c r="S961" s="268"/>
      <x:c r="T961" s="268"/>
      <x:c r="U961" s="268"/>
      <x:c r="V961" s="268"/>
      <x:c r="W961" s="268"/>
      <x:c r="X961" s="268"/>
      <x:c r="Y961" s="268"/>
      <x:c r="Z961" s="268"/>
      <x:c r="AA961" s="268"/>
      <x:c r="AB961" s="268"/>
      <x:c r="AC961" s="268"/>
    </x:row>
    <x:row r="962">
      <x:c r="A962" s="268"/>
      <x:c r="B962" s="268"/>
      <x:c r="C962" s="268"/>
      <x:c r="D962" s="268"/>
      <x:c r="E962" s="268"/>
      <x:c r="F962" s="268"/>
      <x:c r="G962" s="268"/>
      <x:c r="H962" s="268"/>
      <x:c r="I962" s="268"/>
      <x:c r="J962" s="268"/>
      <x:c r="K962" s="268"/>
      <x:c r="L962" s="268"/>
      <x:c r="M962" s="268"/>
      <x:c r="N962" s="268"/>
      <x:c r="O962" s="268"/>
      <x:c r="P962" s="268"/>
      <x:c r="Q962" s="268"/>
      <x:c r="R962" s="268"/>
      <x:c r="S962" s="268"/>
      <x:c r="T962" s="268"/>
      <x:c r="U962" s="268"/>
      <x:c r="V962" s="268"/>
      <x:c r="W962" s="268"/>
      <x:c r="X962" s="268"/>
      <x:c r="Y962" s="268"/>
      <x:c r="Z962" s="268"/>
      <x:c r="AA962" s="268"/>
      <x:c r="AB962" s="268"/>
      <x:c r="AC962" s="268"/>
    </x:row>
    <x:row r="963">
      <x:c r="A963" s="268"/>
      <x:c r="B963" s="268"/>
      <x:c r="C963" s="268"/>
      <x:c r="D963" s="268"/>
      <x:c r="E963" s="268"/>
      <x:c r="F963" s="268"/>
      <x:c r="G963" s="268"/>
      <x:c r="H963" s="268"/>
      <x:c r="I963" s="268"/>
      <x:c r="J963" s="268"/>
      <x:c r="K963" s="268"/>
      <x:c r="L963" s="268"/>
      <x:c r="M963" s="268"/>
      <x:c r="N963" s="268"/>
      <x:c r="O963" s="268"/>
      <x:c r="P963" s="268"/>
      <x:c r="Q963" s="268"/>
      <x:c r="R963" s="268"/>
      <x:c r="S963" s="268"/>
      <x:c r="T963" s="268"/>
      <x:c r="U963" s="268"/>
      <x:c r="V963" s="268"/>
      <x:c r="W963" s="268"/>
      <x:c r="X963" s="268"/>
      <x:c r="Y963" s="268"/>
      <x:c r="Z963" s="268"/>
      <x:c r="AA963" s="268"/>
      <x:c r="AB963" s="268"/>
      <x:c r="AC963" s="268"/>
    </x:row>
    <x:row r="964">
      <x:c r="A964" s="268"/>
      <x:c r="B964" s="268"/>
      <x:c r="C964" s="268"/>
      <x:c r="D964" s="268"/>
      <x:c r="E964" s="268"/>
      <x:c r="F964" s="268"/>
      <x:c r="G964" s="268"/>
      <x:c r="H964" s="268"/>
      <x:c r="I964" s="268"/>
      <x:c r="J964" s="268"/>
      <x:c r="K964" s="268"/>
      <x:c r="L964" s="268"/>
      <x:c r="M964" s="268"/>
      <x:c r="N964" s="268"/>
      <x:c r="O964" s="268"/>
      <x:c r="P964" s="268"/>
      <x:c r="Q964" s="268"/>
      <x:c r="R964" s="268"/>
      <x:c r="S964" s="268"/>
      <x:c r="T964" s="268"/>
      <x:c r="U964" s="268"/>
      <x:c r="V964" s="268"/>
      <x:c r="W964" s="268"/>
      <x:c r="X964" s="268"/>
      <x:c r="Y964" s="268"/>
      <x:c r="Z964" s="268"/>
      <x:c r="AA964" s="268"/>
      <x:c r="AB964" s="268"/>
      <x:c r="AC964" s="268"/>
    </x:row>
    <x:row r="965">
      <x:c r="A965" s="268"/>
      <x:c r="B965" s="268"/>
      <x:c r="C965" s="268"/>
      <x:c r="D965" s="268"/>
      <x:c r="E965" s="268"/>
      <x:c r="F965" s="268"/>
      <x:c r="G965" s="268"/>
      <x:c r="H965" s="268"/>
      <x:c r="I965" s="268"/>
      <x:c r="J965" s="268"/>
      <x:c r="K965" s="268"/>
      <x:c r="L965" s="268"/>
      <x:c r="M965" s="268"/>
      <x:c r="N965" s="268"/>
      <x:c r="O965" s="268"/>
      <x:c r="P965" s="268"/>
      <x:c r="Q965" s="268"/>
      <x:c r="R965" s="268"/>
      <x:c r="S965" s="268"/>
      <x:c r="T965" s="268"/>
      <x:c r="U965" s="268"/>
      <x:c r="V965" s="268"/>
      <x:c r="W965" s="268"/>
      <x:c r="X965" s="268"/>
      <x:c r="Y965" s="268"/>
      <x:c r="Z965" s="268"/>
      <x:c r="AA965" s="268"/>
      <x:c r="AB965" s="268"/>
      <x:c r="AC965" s="268"/>
    </x:row>
    <x:row r="966">
      <x:c r="A966" s="268"/>
      <x:c r="B966" s="268"/>
      <x:c r="C966" s="268"/>
      <x:c r="D966" s="268"/>
      <x:c r="E966" s="268"/>
      <x:c r="F966" s="268"/>
      <x:c r="G966" s="268"/>
      <x:c r="H966" s="268"/>
      <x:c r="I966" s="268"/>
      <x:c r="J966" s="268"/>
      <x:c r="K966" s="268"/>
      <x:c r="L966" s="268"/>
      <x:c r="M966" s="268"/>
      <x:c r="N966" s="268"/>
      <x:c r="O966" s="268"/>
      <x:c r="P966" s="268"/>
      <x:c r="Q966" s="268"/>
      <x:c r="R966" s="268"/>
      <x:c r="S966" s="268"/>
      <x:c r="T966" s="268"/>
      <x:c r="U966" s="268"/>
      <x:c r="V966" s="268"/>
      <x:c r="W966" s="268"/>
      <x:c r="X966" s="268"/>
      <x:c r="Y966" s="268"/>
      <x:c r="Z966" s="268"/>
      <x:c r="AA966" s="268"/>
      <x:c r="AB966" s="268"/>
      <x:c r="AC966" s="268"/>
    </x:row>
    <x:row r="967">
      <x:c r="A967" s="268"/>
      <x:c r="B967" s="268"/>
      <x:c r="C967" s="268"/>
      <x:c r="D967" s="268"/>
      <x:c r="E967" s="268"/>
      <x:c r="F967" s="268"/>
      <x:c r="G967" s="268"/>
      <x:c r="H967" s="268"/>
      <x:c r="I967" s="268"/>
      <x:c r="J967" s="268"/>
      <x:c r="K967" s="268"/>
      <x:c r="L967" s="268"/>
      <x:c r="M967" s="268"/>
      <x:c r="N967" s="268"/>
      <x:c r="O967" s="268"/>
      <x:c r="P967" s="268"/>
      <x:c r="Q967" s="268"/>
      <x:c r="R967" s="268"/>
      <x:c r="S967" s="268"/>
      <x:c r="T967" s="268"/>
      <x:c r="U967" s="268"/>
      <x:c r="V967" s="268"/>
      <x:c r="W967" s="268"/>
      <x:c r="X967" s="268"/>
      <x:c r="Y967" s="268"/>
      <x:c r="Z967" s="268"/>
      <x:c r="AA967" s="268"/>
      <x:c r="AB967" s="268"/>
      <x:c r="AC967" s="268"/>
    </x:row>
    <x:row r="968">
      <x:c r="A968" s="268"/>
      <x:c r="B968" s="268"/>
      <x:c r="C968" s="268"/>
      <x:c r="D968" s="268"/>
      <x:c r="E968" s="268"/>
      <x:c r="F968" s="268"/>
      <x:c r="G968" s="268"/>
      <x:c r="H968" s="268"/>
      <x:c r="I968" s="268"/>
      <x:c r="J968" s="268"/>
      <x:c r="K968" s="268"/>
      <x:c r="L968" s="268"/>
      <x:c r="M968" s="268"/>
      <x:c r="N968" s="268"/>
      <x:c r="O968" s="268"/>
      <x:c r="P968" s="268"/>
      <x:c r="Q968" s="268"/>
      <x:c r="R968" s="268"/>
      <x:c r="S968" s="268"/>
      <x:c r="T968" s="268"/>
      <x:c r="U968" s="268"/>
      <x:c r="V968" s="268"/>
      <x:c r="W968" s="268"/>
      <x:c r="X968" s="268"/>
      <x:c r="Y968" s="268"/>
      <x:c r="Z968" s="268"/>
      <x:c r="AA968" s="268"/>
      <x:c r="AB968" s="268"/>
      <x:c r="AC968" s="268"/>
    </x:row>
    <x:row r="969">
      <x:c r="A969" s="268"/>
      <x:c r="B969" s="268"/>
      <x:c r="C969" s="268"/>
      <x:c r="D969" s="268"/>
      <x:c r="E969" s="268"/>
      <x:c r="F969" s="268"/>
      <x:c r="G969" s="268"/>
      <x:c r="H969" s="268"/>
      <x:c r="I969" s="268"/>
      <x:c r="J969" s="268"/>
      <x:c r="K969" s="268"/>
      <x:c r="L969" s="268"/>
      <x:c r="M969" s="268"/>
      <x:c r="N969" s="268"/>
      <x:c r="O969" s="268"/>
      <x:c r="P969" s="268"/>
      <x:c r="Q969" s="268"/>
      <x:c r="R969" s="268"/>
      <x:c r="S969" s="268"/>
      <x:c r="T969" s="268"/>
      <x:c r="U969" s="268"/>
      <x:c r="V969" s="268"/>
      <x:c r="W969" s="268"/>
      <x:c r="X969" s="268"/>
      <x:c r="Y969" s="268"/>
      <x:c r="Z969" s="268"/>
      <x:c r="AA969" s="268"/>
      <x:c r="AB969" s="268"/>
      <x:c r="AC969" s="268"/>
    </x:row>
    <x:row r="970">
      <x:c r="A970" s="268"/>
      <x:c r="B970" s="268"/>
      <x:c r="C970" s="268"/>
      <x:c r="D970" s="268"/>
      <x:c r="E970" s="268"/>
      <x:c r="F970" s="268"/>
      <x:c r="G970" s="268"/>
      <x:c r="H970" s="268"/>
      <x:c r="I970" s="268"/>
      <x:c r="J970" s="268"/>
      <x:c r="K970" s="268"/>
      <x:c r="L970" s="268"/>
      <x:c r="M970" s="268"/>
      <x:c r="N970" s="268"/>
      <x:c r="O970" s="268"/>
      <x:c r="P970" s="268"/>
      <x:c r="Q970" s="268"/>
      <x:c r="R970" s="268"/>
      <x:c r="S970" s="268"/>
      <x:c r="T970" s="268"/>
      <x:c r="U970" s="268"/>
      <x:c r="V970" s="268"/>
      <x:c r="W970" s="268"/>
      <x:c r="X970" s="268"/>
      <x:c r="Y970" s="268"/>
      <x:c r="Z970" s="268"/>
      <x:c r="AA970" s="268"/>
      <x:c r="AB970" s="268"/>
      <x:c r="AC970" s="268"/>
    </x:row>
    <x:row r="971">
      <x:c r="A971" s="268"/>
      <x:c r="B971" s="268"/>
      <x:c r="C971" s="268"/>
      <x:c r="D971" s="268"/>
      <x:c r="E971" s="268"/>
      <x:c r="F971" s="268"/>
      <x:c r="G971" s="268"/>
      <x:c r="H971" s="268"/>
      <x:c r="I971" s="268"/>
      <x:c r="J971" s="268"/>
      <x:c r="K971" s="268"/>
      <x:c r="L971" s="268"/>
      <x:c r="M971" s="268"/>
      <x:c r="N971" s="268"/>
      <x:c r="O971" s="268"/>
      <x:c r="P971" s="268"/>
      <x:c r="Q971" s="268"/>
      <x:c r="R971" s="268"/>
      <x:c r="S971" s="268"/>
      <x:c r="T971" s="268"/>
      <x:c r="U971" s="268"/>
      <x:c r="V971" s="268"/>
      <x:c r="W971" s="268"/>
      <x:c r="X971" s="268"/>
      <x:c r="Y971" s="268"/>
      <x:c r="Z971" s="268"/>
      <x:c r="AA971" s="268"/>
      <x:c r="AB971" s="268"/>
      <x:c r="AC971" s="268"/>
    </x:row>
    <x:row r="972">
      <x:c r="A972" s="268"/>
      <x:c r="B972" s="268"/>
      <x:c r="C972" s="268"/>
      <x:c r="D972" s="268"/>
      <x:c r="E972" s="268"/>
      <x:c r="F972" s="268"/>
      <x:c r="G972" s="268"/>
      <x:c r="H972" s="268"/>
      <x:c r="I972" s="268"/>
      <x:c r="J972" s="268"/>
      <x:c r="K972" s="268"/>
      <x:c r="L972" s="268"/>
      <x:c r="M972" s="268"/>
      <x:c r="N972" s="268"/>
      <x:c r="O972" s="268"/>
      <x:c r="P972" s="268"/>
      <x:c r="Q972" s="268"/>
      <x:c r="R972" s="268"/>
      <x:c r="S972" s="268"/>
      <x:c r="T972" s="268"/>
      <x:c r="U972" s="268"/>
      <x:c r="V972" s="268"/>
      <x:c r="W972" s="268"/>
      <x:c r="X972" s="268"/>
      <x:c r="Y972" s="268"/>
      <x:c r="Z972" s="268"/>
      <x:c r="AA972" s="268"/>
      <x:c r="AB972" s="268"/>
      <x:c r="AC972" s="268"/>
    </x:row>
    <x:row r="973">
      <x:c r="A973" s="268"/>
      <x:c r="B973" s="268"/>
      <x:c r="C973" s="268"/>
      <x:c r="D973" s="268"/>
      <x:c r="E973" s="268"/>
      <x:c r="F973" s="268"/>
      <x:c r="G973" s="268"/>
      <x:c r="H973" s="268"/>
      <x:c r="I973" s="268"/>
      <x:c r="J973" s="268"/>
      <x:c r="K973" s="268"/>
      <x:c r="L973" s="268"/>
      <x:c r="M973" s="268"/>
      <x:c r="N973" s="268"/>
      <x:c r="O973" s="268"/>
      <x:c r="P973" s="268"/>
      <x:c r="Q973" s="268"/>
      <x:c r="R973" s="268"/>
      <x:c r="S973" s="268"/>
      <x:c r="T973" s="268"/>
      <x:c r="U973" s="268"/>
      <x:c r="V973" s="268"/>
      <x:c r="W973" s="268"/>
      <x:c r="X973" s="268"/>
      <x:c r="Y973" s="268"/>
      <x:c r="Z973" s="268"/>
      <x:c r="AA973" s="268"/>
      <x:c r="AB973" s="268"/>
      <x:c r="AC973" s="268"/>
    </x:row>
    <x:row r="974">
      <x:c r="A974" s="268"/>
      <x:c r="B974" s="268"/>
      <x:c r="C974" s="268"/>
      <x:c r="D974" s="268"/>
      <x:c r="E974" s="268"/>
      <x:c r="F974" s="268"/>
      <x:c r="G974" s="268"/>
      <x:c r="H974" s="268"/>
      <x:c r="I974" s="268"/>
      <x:c r="J974" s="268"/>
      <x:c r="K974" s="268"/>
      <x:c r="L974" s="268"/>
      <x:c r="M974" s="268"/>
      <x:c r="N974" s="268"/>
      <x:c r="O974" s="268"/>
      <x:c r="P974" s="268"/>
      <x:c r="Q974" s="268"/>
      <x:c r="R974" s="268"/>
      <x:c r="S974" s="268"/>
      <x:c r="T974" s="268"/>
      <x:c r="U974" s="268"/>
      <x:c r="V974" s="268"/>
      <x:c r="W974" s="268"/>
      <x:c r="X974" s="268"/>
      <x:c r="Y974" s="268"/>
      <x:c r="Z974" s="268"/>
      <x:c r="AA974" s="268"/>
      <x:c r="AB974" s="268"/>
      <x:c r="AC974" s="268"/>
    </x:row>
    <x:row r="975">
      <x:c r="A975" s="268"/>
      <x:c r="B975" s="268"/>
      <x:c r="C975" s="268"/>
      <x:c r="D975" s="268"/>
      <x:c r="E975" s="268"/>
      <x:c r="F975" s="268"/>
      <x:c r="G975" s="268"/>
      <x:c r="H975" s="268"/>
      <x:c r="I975" s="268"/>
      <x:c r="J975" s="268"/>
      <x:c r="K975" s="268"/>
      <x:c r="L975" s="268"/>
      <x:c r="M975" s="268"/>
      <x:c r="N975" s="268"/>
      <x:c r="O975" s="268"/>
      <x:c r="P975" s="268"/>
      <x:c r="Q975" s="268"/>
      <x:c r="R975" s="268"/>
      <x:c r="S975" s="268"/>
      <x:c r="T975" s="268"/>
      <x:c r="U975" s="268"/>
      <x:c r="V975" s="268"/>
      <x:c r="W975" s="268"/>
      <x:c r="X975" s="268"/>
      <x:c r="Y975" s="268"/>
      <x:c r="Z975" s="268"/>
      <x:c r="AA975" s="268"/>
      <x:c r="AB975" s="268"/>
      <x:c r="AC975" s="268"/>
    </x:row>
    <x:row r="976">
      <x:c r="A976" s="268"/>
      <x:c r="B976" s="268"/>
      <x:c r="C976" s="268"/>
      <x:c r="D976" s="268"/>
      <x:c r="E976" s="268"/>
      <x:c r="F976" s="268"/>
      <x:c r="G976" s="268"/>
      <x:c r="H976" s="268"/>
      <x:c r="I976" s="268"/>
      <x:c r="J976" s="268"/>
      <x:c r="K976" s="268"/>
      <x:c r="L976" s="268"/>
      <x:c r="M976" s="268"/>
      <x:c r="N976" s="268"/>
      <x:c r="O976" s="268"/>
      <x:c r="P976" s="268"/>
      <x:c r="Q976" s="268"/>
      <x:c r="R976" s="268"/>
      <x:c r="S976" s="268"/>
      <x:c r="T976" s="268"/>
      <x:c r="U976" s="268"/>
      <x:c r="V976" s="268"/>
      <x:c r="W976" s="268"/>
      <x:c r="X976" s="268"/>
      <x:c r="Y976" s="268"/>
      <x:c r="Z976" s="268"/>
      <x:c r="AA976" s="268"/>
      <x:c r="AB976" s="268"/>
      <x:c r="AC976" s="268"/>
    </x:row>
    <x:row r="977">
      <x:c r="A977" s="268"/>
      <x:c r="B977" s="268"/>
      <x:c r="C977" s="268"/>
      <x:c r="D977" s="268"/>
      <x:c r="E977" s="268"/>
      <x:c r="F977" s="268"/>
      <x:c r="G977" s="268"/>
      <x:c r="H977" s="268"/>
      <x:c r="I977" s="268"/>
      <x:c r="J977" s="268"/>
      <x:c r="K977" s="268"/>
      <x:c r="L977" s="268"/>
      <x:c r="M977" s="268"/>
      <x:c r="N977" s="268"/>
      <x:c r="O977" s="268"/>
      <x:c r="P977" s="268"/>
      <x:c r="Q977" s="268"/>
      <x:c r="R977" s="268"/>
      <x:c r="S977" s="268"/>
      <x:c r="T977" s="268"/>
      <x:c r="U977" s="268"/>
      <x:c r="V977" s="268"/>
      <x:c r="W977" s="268"/>
      <x:c r="X977" s="268"/>
      <x:c r="Y977" s="268"/>
      <x:c r="Z977" s="268"/>
      <x:c r="AA977" s="268"/>
      <x:c r="AB977" s="268"/>
      <x:c r="AC977" s="268"/>
    </x:row>
    <x:row r="978">
      <x:c r="A978" s="268"/>
      <x:c r="B978" s="268"/>
      <x:c r="C978" s="268"/>
      <x:c r="D978" s="268"/>
      <x:c r="E978" s="268"/>
      <x:c r="F978" s="268"/>
      <x:c r="G978" s="268"/>
      <x:c r="H978" s="268"/>
      <x:c r="I978" s="268"/>
      <x:c r="J978" s="268"/>
      <x:c r="K978" s="268"/>
      <x:c r="L978" s="268"/>
      <x:c r="M978" s="268"/>
      <x:c r="N978" s="268"/>
      <x:c r="O978" s="268"/>
      <x:c r="P978" s="268"/>
      <x:c r="Q978" s="268"/>
      <x:c r="R978" s="268"/>
      <x:c r="S978" s="268"/>
      <x:c r="T978" s="268"/>
      <x:c r="U978" s="268"/>
      <x:c r="V978" s="268"/>
      <x:c r="W978" s="268"/>
      <x:c r="X978" s="268"/>
      <x:c r="Y978" s="268"/>
      <x:c r="Z978" s="268"/>
      <x:c r="AA978" s="268"/>
      <x:c r="AB978" s="268"/>
      <x:c r="AC978" s="268"/>
    </x:row>
    <x:row r="979">
      <x:c r="A979" s="268"/>
      <x:c r="B979" s="268"/>
      <x:c r="C979" s="268"/>
      <x:c r="D979" s="268"/>
      <x:c r="E979" s="268"/>
      <x:c r="F979" s="268"/>
      <x:c r="G979" s="268"/>
      <x:c r="H979" s="268"/>
      <x:c r="I979" s="268"/>
      <x:c r="J979" s="268"/>
      <x:c r="K979" s="268"/>
      <x:c r="L979" s="268"/>
      <x:c r="M979" s="268"/>
      <x:c r="N979" s="268"/>
      <x:c r="O979" s="268"/>
      <x:c r="P979" s="268"/>
      <x:c r="Q979" s="268"/>
      <x:c r="R979" s="268"/>
      <x:c r="S979" s="268"/>
      <x:c r="T979" s="268"/>
      <x:c r="U979" s="268"/>
      <x:c r="V979" s="268"/>
      <x:c r="W979" s="268"/>
      <x:c r="X979" s="268"/>
      <x:c r="Y979" s="268"/>
      <x:c r="Z979" s="268"/>
      <x:c r="AA979" s="268"/>
      <x:c r="AB979" s="268"/>
      <x:c r="AC979" s="268"/>
    </x:row>
    <x:row r="980">
      <x:c r="A980" s="268"/>
      <x:c r="B980" s="268"/>
      <x:c r="C980" s="268"/>
      <x:c r="D980" s="268"/>
      <x:c r="E980" s="268"/>
      <x:c r="F980" s="268"/>
      <x:c r="G980" s="268"/>
      <x:c r="H980" s="268"/>
      <x:c r="I980" s="268"/>
      <x:c r="J980" s="268"/>
      <x:c r="K980" s="268"/>
      <x:c r="L980" s="268"/>
      <x:c r="M980" s="268"/>
      <x:c r="N980" s="268"/>
      <x:c r="O980" s="268"/>
      <x:c r="P980" s="268"/>
      <x:c r="Q980" s="268"/>
      <x:c r="R980" s="268"/>
      <x:c r="S980" s="268"/>
      <x:c r="T980" s="268"/>
      <x:c r="U980" s="268"/>
      <x:c r="V980" s="268"/>
      <x:c r="W980" s="268"/>
      <x:c r="X980" s="268"/>
      <x:c r="Y980" s="268"/>
      <x:c r="Z980" s="268"/>
      <x:c r="AA980" s="268"/>
      <x:c r="AB980" s="268"/>
      <x:c r="AC980" s="268"/>
    </x:row>
    <x:row r="981">
      <x:c r="A981" s="268"/>
      <x:c r="B981" s="268"/>
      <x:c r="C981" s="268"/>
      <x:c r="D981" s="268"/>
      <x:c r="E981" s="268"/>
      <x:c r="F981" s="268"/>
      <x:c r="G981" s="268"/>
      <x:c r="H981" s="268"/>
      <x:c r="I981" s="268"/>
      <x:c r="J981" s="268"/>
      <x:c r="K981" s="268"/>
      <x:c r="L981" s="268"/>
      <x:c r="M981" s="268"/>
      <x:c r="N981" s="268"/>
      <x:c r="O981" s="268"/>
      <x:c r="P981" s="268"/>
      <x:c r="Q981" s="268"/>
      <x:c r="R981" s="268"/>
      <x:c r="S981" s="268"/>
      <x:c r="T981" s="268"/>
      <x:c r="U981" s="268"/>
      <x:c r="V981" s="268"/>
      <x:c r="W981" s="268"/>
      <x:c r="X981" s="268"/>
      <x:c r="Y981" s="268"/>
      <x:c r="Z981" s="268"/>
      <x:c r="AA981" s="268"/>
      <x:c r="AB981" s="268"/>
      <x:c r="AC981" s="268"/>
    </x:row>
    <x:row r="982">
      <x:c r="A982" s="268"/>
      <x:c r="B982" s="268"/>
      <x:c r="C982" s="268"/>
      <x:c r="D982" s="268"/>
      <x:c r="E982" s="268"/>
      <x:c r="F982" s="268"/>
      <x:c r="G982" s="268"/>
      <x:c r="H982" s="268"/>
      <x:c r="I982" s="268"/>
      <x:c r="J982" s="268"/>
      <x:c r="K982" s="268"/>
      <x:c r="L982" s="268"/>
      <x:c r="M982" s="268"/>
      <x:c r="N982" s="268"/>
      <x:c r="O982" s="268"/>
      <x:c r="P982" s="268"/>
      <x:c r="Q982" s="268"/>
      <x:c r="R982" s="268"/>
      <x:c r="S982" s="268"/>
      <x:c r="T982" s="268"/>
      <x:c r="U982" s="268"/>
      <x:c r="V982" s="268"/>
      <x:c r="W982" s="268"/>
      <x:c r="X982" s="268"/>
      <x:c r="Y982" s="268"/>
      <x:c r="Z982" s="268"/>
      <x:c r="AA982" s="268"/>
      <x:c r="AB982" s="268"/>
      <x:c r="AC982" s="268"/>
    </x:row>
    <x:row r="983">
      <x:c r="A983" s="268"/>
      <x:c r="B983" s="268"/>
      <x:c r="C983" s="268"/>
      <x:c r="D983" s="268"/>
      <x:c r="E983" s="268"/>
      <x:c r="F983" s="268"/>
      <x:c r="G983" s="268"/>
      <x:c r="H983" s="268"/>
      <x:c r="I983" s="268"/>
      <x:c r="J983" s="268"/>
      <x:c r="K983" s="268"/>
      <x:c r="L983" s="268"/>
      <x:c r="M983" s="268"/>
      <x:c r="N983" s="268"/>
      <x:c r="O983" s="268"/>
      <x:c r="P983" s="268"/>
      <x:c r="Q983" s="268"/>
      <x:c r="R983" s="268"/>
      <x:c r="S983" s="268"/>
      <x:c r="T983" s="268"/>
      <x:c r="U983" s="268"/>
      <x:c r="V983" s="268"/>
      <x:c r="W983" s="268"/>
      <x:c r="X983" s="268"/>
      <x:c r="Y983" s="268"/>
      <x:c r="Z983" s="268"/>
      <x:c r="AA983" s="268"/>
      <x:c r="AB983" s="268"/>
      <x:c r="AC983" s="268"/>
    </x:row>
    <x:row r="984">
      <x:c r="A984" s="268"/>
      <x:c r="B984" s="268"/>
      <x:c r="C984" s="268"/>
      <x:c r="D984" s="268"/>
      <x:c r="E984" s="268"/>
      <x:c r="F984" s="268"/>
      <x:c r="G984" s="268"/>
      <x:c r="H984" s="268"/>
      <x:c r="I984" s="268"/>
      <x:c r="J984" s="268"/>
      <x:c r="K984" s="268"/>
      <x:c r="L984" s="268"/>
      <x:c r="M984" s="268"/>
      <x:c r="N984" s="268"/>
      <x:c r="O984" s="268"/>
      <x:c r="P984" s="268"/>
      <x:c r="Q984" s="268"/>
      <x:c r="R984" s="268"/>
      <x:c r="S984" s="268"/>
      <x:c r="T984" s="268"/>
      <x:c r="U984" s="268"/>
      <x:c r="V984" s="268"/>
      <x:c r="W984" s="268"/>
      <x:c r="X984" s="268"/>
      <x:c r="Y984" s="268"/>
      <x:c r="Z984" s="268"/>
      <x:c r="AA984" s="268"/>
      <x:c r="AB984" s="268"/>
      <x:c r="AC984" s="268"/>
    </x:row>
    <x:row r="985">
      <x:c r="A985" s="268"/>
      <x:c r="B985" s="268"/>
      <x:c r="C985" s="268"/>
      <x:c r="D985" s="268"/>
      <x:c r="E985" s="268"/>
      <x:c r="F985" s="268"/>
      <x:c r="G985" s="268"/>
      <x:c r="H985" s="268"/>
      <x:c r="I985" s="268"/>
      <x:c r="J985" s="268"/>
      <x:c r="K985" s="268"/>
      <x:c r="L985" s="268"/>
      <x:c r="M985" s="268"/>
      <x:c r="N985" s="268"/>
      <x:c r="O985" s="268"/>
      <x:c r="P985" s="268"/>
      <x:c r="Q985" s="268"/>
      <x:c r="R985" s="268"/>
      <x:c r="S985" s="268"/>
      <x:c r="T985" s="268"/>
      <x:c r="U985" s="268"/>
      <x:c r="V985" s="268"/>
      <x:c r="W985" s="268"/>
      <x:c r="X985" s="268"/>
      <x:c r="Y985" s="268"/>
      <x:c r="Z985" s="268"/>
      <x:c r="AA985" s="268"/>
      <x:c r="AB985" s="268"/>
      <x:c r="AC985" s="268"/>
    </x:row>
    <x:row r="986">
      <x:c r="A986" s="268"/>
      <x:c r="B986" s="268"/>
      <x:c r="C986" s="268"/>
      <x:c r="D986" s="268"/>
      <x:c r="E986" s="268"/>
      <x:c r="F986" s="268"/>
      <x:c r="G986" s="268"/>
      <x:c r="H986" s="268"/>
      <x:c r="I986" s="268"/>
      <x:c r="J986" s="268"/>
      <x:c r="K986" s="268"/>
      <x:c r="L986" s="268"/>
      <x:c r="M986" s="268"/>
      <x:c r="N986" s="268"/>
      <x:c r="O986" s="268"/>
      <x:c r="P986" s="268"/>
      <x:c r="Q986" s="268"/>
      <x:c r="R986" s="268"/>
      <x:c r="S986" s="268"/>
      <x:c r="T986" s="268"/>
      <x:c r="U986" s="268"/>
      <x:c r="V986" s="268"/>
      <x:c r="W986" s="268"/>
      <x:c r="X986" s="268"/>
      <x:c r="Y986" s="268"/>
      <x:c r="Z986" s="268"/>
      <x:c r="AA986" s="268"/>
      <x:c r="AB986" s="268"/>
      <x:c r="AC986" s="268"/>
    </x:row>
    <x:row r="987">
      <x:c r="A987" s="268"/>
      <x:c r="B987" s="268"/>
      <x:c r="C987" s="268"/>
      <x:c r="D987" s="268"/>
      <x:c r="E987" s="268"/>
      <x:c r="F987" s="268"/>
      <x:c r="G987" s="268"/>
      <x:c r="H987" s="268"/>
      <x:c r="I987" s="268"/>
      <x:c r="J987" s="268"/>
      <x:c r="K987" s="268"/>
      <x:c r="L987" s="268"/>
      <x:c r="M987" s="268"/>
      <x:c r="N987" s="268"/>
      <x:c r="O987" s="268"/>
      <x:c r="P987" s="268"/>
      <x:c r="Q987" s="268"/>
      <x:c r="R987" s="268"/>
      <x:c r="S987" s="268"/>
      <x:c r="T987" s="268"/>
      <x:c r="U987" s="268"/>
      <x:c r="V987" s="268"/>
      <x:c r="W987" s="268"/>
      <x:c r="X987" s="268"/>
      <x:c r="Y987" s="268"/>
      <x:c r="Z987" s="268"/>
      <x:c r="AA987" s="268"/>
      <x:c r="AB987" s="268"/>
      <x:c r="AC987" s="268"/>
    </x:row>
    <x:row r="988">
      <x:c r="A988" s="268"/>
      <x:c r="B988" s="268"/>
      <x:c r="C988" s="268"/>
      <x:c r="D988" s="268"/>
      <x:c r="E988" s="268"/>
      <x:c r="F988" s="268"/>
      <x:c r="G988" s="268"/>
      <x:c r="H988" s="268"/>
      <x:c r="I988" s="268"/>
      <x:c r="J988" s="268"/>
      <x:c r="K988" s="268"/>
      <x:c r="L988" s="268"/>
      <x:c r="M988" s="268"/>
      <x:c r="N988" s="268"/>
      <x:c r="O988" s="268"/>
      <x:c r="P988" s="268"/>
      <x:c r="Q988" s="268"/>
      <x:c r="R988" s="268"/>
      <x:c r="S988" s="268"/>
      <x:c r="T988" s="268"/>
      <x:c r="U988" s="268"/>
      <x:c r="V988" s="268"/>
      <x:c r="W988" s="268"/>
      <x:c r="X988" s="268"/>
      <x:c r="Y988" s="268"/>
      <x:c r="Z988" s="268"/>
      <x:c r="AA988" s="268"/>
      <x:c r="AB988" s="268"/>
      <x:c r="AC988" s="268"/>
    </x:row>
    <x:row r="989">
      <x:c r="A989" s="268"/>
      <x:c r="B989" s="268"/>
      <x:c r="C989" s="268"/>
      <x:c r="D989" s="268"/>
      <x:c r="E989" s="268"/>
      <x:c r="F989" s="268"/>
      <x:c r="G989" s="268"/>
      <x:c r="H989" s="268"/>
      <x:c r="I989" s="268"/>
      <x:c r="J989" s="268"/>
      <x:c r="K989" s="268"/>
      <x:c r="L989" s="268"/>
      <x:c r="M989" s="268"/>
      <x:c r="N989" s="268"/>
      <x:c r="O989" s="268"/>
      <x:c r="P989" s="268"/>
      <x:c r="Q989" s="268"/>
      <x:c r="R989" s="268"/>
      <x:c r="S989" s="268"/>
      <x:c r="T989" s="268"/>
      <x:c r="U989" s="268"/>
      <x:c r="V989" s="268"/>
      <x:c r="W989" s="268"/>
      <x:c r="X989" s="268"/>
      <x:c r="Y989" s="268"/>
      <x:c r="Z989" s="268"/>
      <x:c r="AA989" s="268"/>
      <x:c r="AB989" s="268"/>
      <x:c r="AC989" s="268"/>
    </x:row>
    <x:row r="990">
      <x:c r="A990" s="268"/>
      <x:c r="B990" s="268"/>
      <x:c r="C990" s="268"/>
      <x:c r="D990" s="268"/>
      <x:c r="E990" s="268"/>
      <x:c r="F990" s="268"/>
      <x:c r="G990" s="268"/>
      <x:c r="H990" s="268"/>
      <x:c r="I990" s="268"/>
      <x:c r="J990" s="268"/>
      <x:c r="K990" s="268"/>
      <x:c r="L990" s="268"/>
      <x:c r="M990" s="268"/>
      <x:c r="N990" s="268"/>
      <x:c r="O990" s="268"/>
      <x:c r="P990" s="268"/>
      <x:c r="Q990" s="268"/>
      <x:c r="R990" s="268"/>
      <x:c r="S990" s="268"/>
      <x:c r="T990" s="268"/>
      <x:c r="U990" s="268"/>
      <x:c r="V990" s="268"/>
      <x:c r="W990" s="268"/>
      <x:c r="X990" s="268"/>
      <x:c r="Y990" s="268"/>
      <x:c r="Z990" s="268"/>
      <x:c r="AA990" s="268"/>
      <x:c r="AB990" s="268"/>
      <x:c r="AC990" s="268"/>
    </x:row>
    <x:row r="991">
      <x:c r="A991" s="268"/>
      <x:c r="B991" s="268"/>
      <x:c r="C991" s="268"/>
      <x:c r="D991" s="268"/>
      <x:c r="E991" s="268"/>
      <x:c r="F991" s="268"/>
      <x:c r="G991" s="268"/>
      <x:c r="H991" s="268"/>
      <x:c r="I991" s="268"/>
      <x:c r="J991" s="268"/>
      <x:c r="K991" s="268"/>
      <x:c r="L991" s="268"/>
      <x:c r="M991" s="268"/>
      <x:c r="N991" s="268"/>
      <x:c r="O991" s="268"/>
      <x:c r="P991" s="268"/>
      <x:c r="Q991" s="268"/>
      <x:c r="R991" s="268"/>
      <x:c r="S991" s="268"/>
      <x:c r="T991" s="268"/>
      <x:c r="U991" s="268"/>
      <x:c r="V991" s="268"/>
      <x:c r="W991" s="268"/>
      <x:c r="X991" s="268"/>
      <x:c r="Y991" s="268"/>
      <x:c r="Z991" s="268"/>
      <x:c r="AA991" s="268"/>
      <x:c r="AB991" s="268"/>
      <x:c r="AC991" s="268"/>
    </x:row>
    <x:row r="992">
      <x:c r="A992" s="268"/>
      <x:c r="B992" s="268"/>
      <x:c r="C992" s="268"/>
      <x:c r="D992" s="268"/>
      <x:c r="E992" s="268"/>
      <x:c r="F992" s="268"/>
      <x:c r="G992" s="268"/>
      <x:c r="H992" s="268"/>
      <x:c r="I992" s="268"/>
      <x:c r="J992" s="268"/>
      <x:c r="K992" s="268"/>
      <x:c r="L992" s="268"/>
      <x:c r="M992" s="268"/>
      <x:c r="N992" s="268"/>
      <x:c r="O992" s="268"/>
      <x:c r="P992" s="268"/>
      <x:c r="Q992" s="268"/>
      <x:c r="R992" s="268"/>
      <x:c r="S992" s="268"/>
      <x:c r="T992" s="268"/>
      <x:c r="U992" s="268"/>
      <x:c r="V992" s="268"/>
      <x:c r="W992" s="268"/>
      <x:c r="X992" s="268"/>
      <x:c r="Y992" s="268"/>
      <x:c r="Z992" s="268"/>
      <x:c r="AA992" s="268"/>
      <x:c r="AB992" s="268"/>
      <x:c r="AC992" s="268"/>
    </x:row>
    <x:row r="993">
      <x:c r="A993" s="268"/>
      <x:c r="B993" s="268"/>
      <x:c r="C993" s="268"/>
      <x:c r="D993" s="268"/>
      <x:c r="E993" s="268"/>
      <x:c r="F993" s="268"/>
      <x:c r="G993" s="268"/>
      <x:c r="H993" s="268"/>
      <x:c r="I993" s="268"/>
      <x:c r="J993" s="268"/>
      <x:c r="K993" s="268"/>
      <x:c r="L993" s="268"/>
      <x:c r="M993" s="268"/>
      <x:c r="N993" s="268"/>
      <x:c r="O993" s="268"/>
      <x:c r="P993" s="268"/>
      <x:c r="Q993" s="268"/>
      <x:c r="R993" s="268"/>
      <x:c r="S993" s="268"/>
      <x:c r="T993" s="268"/>
      <x:c r="U993" s="268"/>
      <x:c r="V993" s="268"/>
      <x:c r="W993" s="268"/>
      <x:c r="X993" s="268"/>
      <x:c r="Y993" s="268"/>
      <x:c r="Z993" s="268"/>
      <x:c r="AA993" s="268"/>
      <x:c r="AB993" s="268"/>
      <x:c r="AC993" s="268"/>
    </x:row>
    <x:row r="994">
      <x:c r="A994" s="268"/>
      <x:c r="B994" s="268"/>
      <x:c r="C994" s="268"/>
      <x:c r="D994" s="268"/>
      <x:c r="E994" s="268"/>
      <x:c r="F994" s="268"/>
      <x:c r="G994" s="268"/>
      <x:c r="H994" s="268"/>
      <x:c r="I994" s="268"/>
      <x:c r="J994" s="268"/>
      <x:c r="K994" s="268"/>
      <x:c r="L994" s="268"/>
      <x:c r="M994" s="268"/>
      <x:c r="N994" s="268"/>
      <x:c r="O994" s="268"/>
      <x:c r="P994" s="268"/>
      <x:c r="Q994" s="268"/>
      <x:c r="R994" s="268"/>
      <x:c r="S994" s="268"/>
      <x:c r="T994" s="268"/>
      <x:c r="U994" s="268"/>
      <x:c r="V994" s="268"/>
      <x:c r="W994" s="268"/>
      <x:c r="X994" s="268"/>
      <x:c r="Y994" s="268"/>
      <x:c r="Z994" s="268"/>
      <x:c r="AA994" s="268"/>
      <x:c r="AB994" s="268"/>
      <x:c r="AC994" s="268"/>
    </x:row>
    <x:row r="995">
      <x:c r="A995" s="268"/>
      <x:c r="B995" s="268"/>
      <x:c r="C995" s="268"/>
      <x:c r="D995" s="268"/>
      <x:c r="E995" s="268"/>
      <x:c r="F995" s="268"/>
      <x:c r="G995" s="268"/>
      <x:c r="H995" s="268"/>
      <x:c r="I995" s="268"/>
      <x:c r="J995" s="268"/>
      <x:c r="K995" s="268"/>
      <x:c r="L995" s="268"/>
      <x:c r="M995" s="268"/>
      <x:c r="N995" s="268"/>
      <x:c r="O995" s="268"/>
      <x:c r="P995" s="268"/>
      <x:c r="Q995" s="268"/>
      <x:c r="R995" s="268"/>
      <x:c r="S995" s="268"/>
      <x:c r="T995" s="268"/>
      <x:c r="U995" s="268"/>
      <x:c r="V995" s="268"/>
      <x:c r="W995" s="268"/>
      <x:c r="X995" s="268"/>
      <x:c r="Y995" s="268"/>
      <x:c r="Z995" s="268"/>
      <x:c r="AA995" s="268"/>
      <x:c r="AB995" s="268"/>
      <x:c r="AC995" s="268"/>
    </x:row>
    <x:row r="996">
      <x:c r="A996" s="268"/>
      <x:c r="B996" s="268"/>
      <x:c r="C996" s="268"/>
      <x:c r="D996" s="268"/>
      <x:c r="E996" s="268"/>
      <x:c r="F996" s="268"/>
      <x:c r="G996" s="268"/>
      <x:c r="H996" s="268"/>
      <x:c r="I996" s="268"/>
      <x:c r="J996" s="268"/>
      <x:c r="K996" s="268"/>
      <x:c r="L996" s="268"/>
      <x:c r="M996" s="268"/>
      <x:c r="N996" s="268"/>
      <x:c r="O996" s="268"/>
      <x:c r="P996" s="268"/>
      <x:c r="Q996" s="268"/>
      <x:c r="R996" s="268"/>
      <x:c r="S996" s="268"/>
      <x:c r="T996" s="268"/>
      <x:c r="U996" s="268"/>
      <x:c r="V996" s="268"/>
      <x:c r="W996" s="268"/>
      <x:c r="X996" s="268"/>
      <x:c r="Y996" s="268"/>
      <x:c r="Z996" s="268"/>
      <x:c r="AA996" s="268"/>
      <x:c r="AB996" s="268"/>
      <x:c r="AC996" s="268"/>
    </x:row>
    <x:row r="997">
      <x:c r="A997" s="268"/>
      <x:c r="B997" s="268"/>
      <x:c r="C997" s="268"/>
      <x:c r="D997" s="268"/>
      <x:c r="E997" s="268"/>
      <x:c r="F997" s="268"/>
      <x:c r="G997" s="268"/>
      <x:c r="H997" s="268"/>
      <x:c r="I997" s="268"/>
      <x:c r="J997" s="268"/>
      <x:c r="K997" s="268"/>
      <x:c r="L997" s="268"/>
      <x:c r="M997" s="268"/>
      <x:c r="N997" s="268"/>
      <x:c r="O997" s="268"/>
      <x:c r="P997" s="268"/>
      <x:c r="Q997" s="268"/>
      <x:c r="R997" s="268"/>
      <x:c r="S997" s="268"/>
      <x:c r="T997" s="268"/>
      <x:c r="U997" s="268"/>
      <x:c r="V997" s="268"/>
      <x:c r="W997" s="268"/>
      <x:c r="X997" s="268"/>
      <x:c r="Y997" s="268"/>
      <x:c r="Z997" s="268"/>
      <x:c r="AA997" s="268"/>
      <x:c r="AB997" s="268"/>
      <x:c r="AC997" s="268"/>
    </x:row>
    <x:row r="998">
      <x:c r="A998" s="268"/>
      <x:c r="B998" s="268"/>
      <x:c r="C998" s="268"/>
      <x:c r="D998" s="268"/>
      <x:c r="E998" s="268"/>
      <x:c r="F998" s="268"/>
      <x:c r="G998" s="268"/>
      <x:c r="H998" s="268"/>
      <x:c r="I998" s="268"/>
      <x:c r="J998" s="268"/>
      <x:c r="K998" s="268"/>
      <x:c r="L998" s="268"/>
      <x:c r="M998" s="268"/>
      <x:c r="N998" s="268"/>
      <x:c r="O998" s="268"/>
      <x:c r="P998" s="268"/>
      <x:c r="Q998" s="268"/>
      <x:c r="R998" s="268"/>
      <x:c r="S998" s="268"/>
      <x:c r="T998" s="268"/>
      <x:c r="U998" s="268"/>
      <x:c r="V998" s="268"/>
      <x:c r="W998" s="268"/>
      <x:c r="X998" s="268"/>
      <x:c r="Y998" s="268"/>
      <x:c r="Z998" s="268"/>
      <x:c r="AA998" s="268"/>
      <x:c r="AB998" s="268"/>
      <x:c r="AC998" s="268"/>
    </x:row>
    <x:row r="999">
      <x:c r="A999" s="268"/>
      <x:c r="B999" s="268"/>
      <x:c r="C999" s="268"/>
      <x:c r="D999" s="268"/>
      <x:c r="E999" s="268"/>
      <x:c r="F999" s="268"/>
      <x:c r="G999" s="268"/>
      <x:c r="H999" s="268"/>
      <x:c r="I999" s="268"/>
      <x:c r="J999" s="268"/>
      <x:c r="K999" s="268"/>
      <x:c r="L999" s="268"/>
      <x:c r="M999" s="268"/>
      <x:c r="N999" s="268"/>
      <x:c r="O999" s="268"/>
      <x:c r="P999" s="268"/>
      <x:c r="Q999" s="268"/>
      <x:c r="R999" s="268"/>
      <x:c r="S999" s="268"/>
      <x:c r="T999" s="268"/>
      <x:c r="U999" s="268"/>
      <x:c r="V999" s="268"/>
      <x:c r="W999" s="268"/>
      <x:c r="X999" s="268"/>
      <x:c r="Y999" s="268"/>
      <x:c r="Z999" s="268"/>
      <x:c r="AA999" s="268"/>
      <x:c r="AB999" s="268"/>
      <x:c r="AC999" s="268"/>
    </x:row>
    <x:row r="1000">
      <x:c r="A1000" s="268"/>
      <x:c r="B1000" s="268"/>
      <x:c r="C1000" s="268"/>
      <x:c r="D1000" s="268"/>
      <x:c r="E1000" s="268"/>
      <x:c r="F1000" s="268"/>
      <x:c r="G1000" s="268"/>
      <x:c r="H1000" s="268"/>
      <x:c r="I1000" s="268"/>
      <x:c r="J1000" s="268"/>
      <x:c r="K1000" s="268"/>
      <x:c r="L1000" s="268"/>
      <x:c r="M1000" s="268"/>
      <x:c r="N1000" s="268"/>
      <x:c r="O1000" s="268"/>
      <x:c r="P1000" s="268"/>
      <x:c r="Q1000" s="268"/>
      <x:c r="R1000" s="268"/>
      <x:c r="S1000" s="268"/>
      <x:c r="T1000" s="268"/>
      <x:c r="U1000" s="268"/>
      <x:c r="V1000" s="268"/>
      <x:c r="W1000" s="268"/>
      <x:c r="X1000" s="268"/>
      <x:c r="Y1000" s="268"/>
      <x:c r="Z1000" s="268"/>
      <x:c r="AA1000" s="268"/>
      <x:c r="AB1000" s="268"/>
      <x:c r="AC1000" s="268"/>
    </x:row>
    <x:row r="1001">
      <x:c r="A1001" s="268"/>
      <x:c r="B1001" s="268"/>
      <x:c r="C1001" s="268"/>
      <x:c r="D1001" s="268"/>
      <x:c r="E1001" s="268"/>
      <x:c r="F1001" s="268"/>
      <x:c r="G1001" s="268"/>
      <x:c r="H1001" s="268"/>
      <x:c r="I1001" s="268"/>
      <x:c r="J1001" s="268"/>
      <x:c r="K1001" s="268"/>
      <x:c r="L1001" s="268"/>
      <x:c r="M1001" s="268"/>
      <x:c r="N1001" s="268"/>
      <x:c r="O1001" s="268"/>
      <x:c r="P1001" s="268"/>
      <x:c r="Q1001" s="268"/>
      <x:c r="R1001" s="268"/>
      <x:c r="S1001" s="268"/>
      <x:c r="T1001" s="268"/>
      <x:c r="U1001" s="268"/>
      <x:c r="V1001" s="268"/>
      <x:c r="W1001" s="268"/>
      <x:c r="X1001" s="268"/>
      <x:c r="Y1001" s="268"/>
      <x:c r="Z1001" s="268"/>
      <x:c r="AA1001" s="268"/>
      <x:c r="AB1001" s="268"/>
      <x:c r="AC1001" s="268"/>
    </x:row>
  </x:sheetData>
  <x:mergeCells>
    <x:mergeCell ref="A1:B1"/>
  </x:mergeCells>
  <x:pageMargins left="0.7" right="0.7" top="0.75" bottom="0.75" header="0.3" footer="0.3"/>
</x:worksheet>
</file>