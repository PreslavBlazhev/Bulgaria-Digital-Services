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d2a7f49f647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0caa906ee8474c1f"/>
    <x:sheet xmlns:r="http://schemas.openxmlformats.org/officeDocument/2006/relationships" name="Pricing Calculator" sheetId="2" r:id="R5e515a4fc59342aa"/>
    <x:sheet xmlns:r="http://schemas.openxmlformats.org/officeDocument/2006/relationships" name="Monthly Plan" sheetId="3" r:id="R892cb70aebdd4d4f"/>
    <x:sheet xmlns:r="http://schemas.openxmlformats.org/officeDocument/2006/relationships" name="Project Profitability" sheetId="4" r:id="Ra4238abfd80a4a69"/>
    <x:sheet xmlns:r="http://schemas.openxmlformats.org/officeDocument/2006/relationships" name="Cash Flow" sheetId="5" r:id="R7f2afcf1de824989"/>
    <x:sheet xmlns:r="http://schemas.openxmlformats.org/officeDocument/2006/relationships" name="Receivables" sheetId="6" r:id="Rbad0a10e21de4f1d"/>
    <x:sheet xmlns:r="http://schemas.openxmlformats.org/officeDocument/2006/relationships" name="KPI Dashboard" sheetId="7" r:id="R81c9116484804b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€#,##0;[Red](€#,##0);-"/>
    <x:numFmt numFmtId="201" formatCode="0.0%;[Red](0.0%);-"/>
    <x:numFmt numFmtId="202" formatCode="#,##0;[Red](#,##0);-"/>
    <x:numFmt numFmtId="203" formatCode="mmm yyyy"/>
    <x:numFmt numFmtId="204" formatCode="#,##0.0;[Red](#,##0.0);-"/>
    <x:numFmt numFmtId="205" formatCode="dd mmm yyyy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sz val="11"/>
      <x:color rgb="FF0000FF"/>
      <x:name val="Carlito"/>
    </x:font>
    <x:font>
      <x:b/>
      <x:sz val="15"/>
      <x:color rgb="FFFFFF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1"/>
      <x:color rgb="FF008000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D4AF37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0" fontId="5" fillId="0" borderId="0" xfId="0" applyNumberFormat="1" applyFont="1" applyFill="1" applyBorder="1"/>
    <x:xf numFmtId="200" fontId="6" fillId="0" borderId="0" xfId="0" applyNumberFormat="1" applyFont="1" applyFill="1" applyBorder="1"/>
    <x:xf numFmtId="200" fontId="5" fillId="0" borderId="1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202" fontId="0" fillId="0" borderId="0" xfId="0" applyNumberFormat="1" applyFont="1" applyFill="1" applyBorder="1"/>
    <x:xf numFmtId="202" fontId="7" fillId="4" borderId="0" xfId="0" applyNumberFormat="1" applyFont="1" applyFill="1" applyBorder="1"/>
    <x:xf numFmtId="202" fontId="0" fillId="0" borderId="1" xfId="0" applyNumberFormat="1" applyFont="1" applyFill="1" applyBorder="1"/>
    <x:xf numFmtId="202" fontId="7" fillId="4" borderId="1" xfId="0" applyNumberFormat="1" applyFont="1" applyFill="1" applyBorder="1"/>
    <x:xf numFmtId="200" fontId="0" fillId="0" borderId="0" xfId="0" applyNumberFormat="1" applyFont="1" applyFill="1" applyBorder="1"/>
    <x:xf numFmtId="200" fontId="8" fillId="4" borderId="0" xfId="0" applyNumberFormat="1" applyFont="1" applyFill="1" applyBorder="1"/>
    <x:xf numFmtId="200" fontId="7" fillId="4" borderId="0" xfId="0" applyNumberFormat="1" applyFont="1" applyFill="1" applyBorder="1"/>
    <x:xf numFmtId="200" fontId="0" fillId="0" borderId="1" xfId="0" applyNumberFormat="1" applyFont="1" applyFill="1" applyBorder="1"/>
    <x:xf numFmtId="200" fontId="8" fillId="4" borderId="1" xfId="0" applyNumberFormat="1" applyFont="1" applyFill="1" applyBorder="1"/>
    <x:xf numFmtId="200" fontId="7" fillId="4" borderId="1" xfId="0" applyNumberFormat="1" applyFont="1" applyFill="1" applyBorder="1"/>
    <x:xf numFmtId="202" fontId="6" fillId="0" borderId="0" xfId="0" applyNumberFormat="1" applyFont="1" applyFill="1" applyBorder="1"/>
    <x:xf numFmtId="202" fontId="9" fillId="4" borderId="0" xfId="0" applyNumberFormat="1" applyFont="1" applyFill="1" applyBorder="1"/>
    <x:xf numFmtId="202" fontId="6" fillId="0" borderId="1" xfId="0" applyNumberFormat="1" applyFont="1" applyFill="1" applyBorder="1"/>
    <x:xf numFmtId="202" fontId="9" fillId="4" borderId="1" xfId="0" applyNumberFormat="1" applyFont="1" applyFill="1" applyBorder="1"/>
    <x:xf numFmtId="204" fontId="3" fillId="0" borderId="0" xfId="0" applyNumberFormat="1" applyFont="1" applyFill="1" applyBorder="1"/>
    <x:xf numFmtId="204" fontId="3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5" fontId="3" fillId="0" borderId="0" xfId="0" applyNumberFormat="1" applyFont="1" applyFill="1" applyBorder="1"/>
    <x:xf numFmtId="205" fontId="3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5" fillId="0" borderId="0" xfId="0" applyNumberFormat="1" applyFont="1" applyFill="1" applyBorder="1"/>
    <x:xf numFmtId="201" fontId="5" fillId="0" borderId="0" xfId="0" applyNumberFormat="1" applyFont="1" applyFill="1" applyBorder="1"/>
    <x:xf numFmtId="204" fontId="5" fillId="0" borderId="0" xfId="0" applyNumberFormat="1" applyFont="1" applyFill="1" applyBorder="1"/>
    <x:xf numFmtId="202" fontId="5" fillId="0" borderId="1" xfId="0" applyNumberFormat="1" applyFont="1" applyFill="1" applyBorder="1"/>
    <x:xf numFmtId="201" fontId="5" fillId="0" borderId="1" xfId="0" applyNumberFormat="1" applyFont="1" applyFill="1" applyBorder="1"/>
    <x:xf numFmtId="204" fontId="5" fillId="0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7e860cb8a48a1" /><Relationship Type="http://schemas.openxmlformats.org/officeDocument/2006/relationships/theme" Target="/xl/theme/theme1.xml" Id="Re5c3a75c1a2f402b" /><Relationship Type="http://schemas.openxmlformats.org/officeDocument/2006/relationships/sharedStrings" Target="/xl/sharedStrings.xml" Id="R3a05ca6a173346f6" /><Relationship Type="http://schemas.openxmlformats.org/officeDocument/2006/relationships/worksheet" Target="/xl/worksheets/sheet1.xml" Id="R0caa906ee8474c1f" /><Relationship Type="http://schemas.openxmlformats.org/officeDocument/2006/relationships/worksheet" Target="/xl/worksheets/sheet2.xml" Id="R5e515a4fc59342aa" /><Relationship Type="http://schemas.openxmlformats.org/officeDocument/2006/relationships/worksheet" Target="/xl/worksheets/sheet3.xml" Id="R892cb70aebdd4d4f" /><Relationship Type="http://schemas.openxmlformats.org/officeDocument/2006/relationships/worksheet" Target="/xl/worksheets/sheet4.xml" Id="Ra4238abfd80a4a69" /><Relationship Type="http://schemas.openxmlformats.org/officeDocument/2006/relationships/worksheet" Target="/xl/worksheets/sheet5.xml" Id="R7f2afcf1de824989" /><Relationship Type="http://schemas.openxmlformats.org/officeDocument/2006/relationships/worksheet" Target="/xl/worksheets/sheet6.xml" Id="Rbad0a10e21de4f1d" /><Relationship Type="http://schemas.openxmlformats.org/officeDocument/2006/relationships/worksheet" Target="/xl/worksheets/sheet7.xml" Id="R81c9116484804b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a304e3deae46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vs Planning Net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Total Revenue</c:v>
          </c:tx>
          <c:cat>
            <c:strRef>
              <c:f>'KPI Dashboard'!$J$3:$J$14</c:f>
              <c:strCache>
                <c:ptCount val="0"/>
              </c:strCache>
            </c:strRef>
          </c:cat>
          <c:val>
            <c:numRef>
              <c:f>'KPI Dashboard'!$K$3:$K$14</c:f>
              <c:numCache>
                <c:formatCode>€#,##0;[Red](€#,##0);-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Planning Net</c:v>
          </c:tx>
          <c:cat>
            <c:strRef>
              <c:f>'KPI Dashboard'!$J$3:$J$14</c:f>
              <c:strCache>
                <c:ptCount val="0"/>
              </c:strCache>
            </c:strRef>
          </c:cat>
          <c:val>
            <c:numRef>
              <c:f>'KPI Dashboard'!$L$3:$L$14</c:f>
              <c:numCache>
                <c:formatCode>€#,##0;[Red](€#,##0);-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a304e3deae463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9ea663d1ce2c438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1" hidden="0" customWidth="1"/>
    <x:col min="3" max="3" width="17" hidden="0" customWidth="1"/>
    <x:col min="4" max="4" width="55" hidden="0" customWidth="1"/>
  </x:cols>
  <x:sheetData>
    <x:row r="1">
      <x:c r="A1" s="5" t="str">
        <x:v>WEBFORGE — Financial Model Inputs</x:v>
      </x:c>
      <x:c r="B1" s="5"/>
      <x:c r="C1" s="5"/>
      <x:c r="D1" s="5"/>
    </x:row>
    <x:row r="2">
      <x:c r="A2" s="30"/>
      <x:c r="B2" s="30"/>
      <x:c r="C2" s="30"/>
      <x:c r="D2" s="30"/>
    </x:row>
    <x:row r="3">
      <x:c r="A3" s="13" t="str">
        <x:v>Category</x:v>
      </x:c>
      <x:c r="B3" s="13" t="str">
        <x:v>Assumption</x:v>
      </x:c>
      <x:c r="C3" s="13" t="str">
        <x:v>Value</x:v>
      </x:c>
      <x:c r="D3" s="13" t="str">
        <x:v>Source / Note</x:v>
      </x:c>
    </x:row>
    <x:row r="4">
      <x:c r="A4" s="24" t="str">
        <x:v>Targets</x:v>
      </x:c>
      <x:c r="B4" s="24" t="str">
        <x:v>Target monthly planning net</x:v>
      </x:c>
      <x:c r="C4" s="25" t="n">
        <x:v>7000</x:v>
      </x:c>
      <x:c r="D4" s="24" t="str">
        <x:v>Confirmed WebForge management target; not accounting net income</x:v>
      </x:c>
    </x:row>
    <x:row r="5">
      <x:c r="A5" s="24" t="str">
        <x:v>Targets</x:v>
      </x:c>
      <x:c r="B5" s="24" t="str">
        <x:v>Opening cash</x:v>
      </x:c>
      <x:c r="C5" s="25" t="n">
        <x:v>3000</x:v>
      </x:c>
      <x:c r="D5" s="24" t="str">
        <x:v>Editable planning input</x:v>
      </x:c>
    </x:row>
    <x:row r="6">
      <x:c r="A6" s="24" t="str">
        <x:v>Targets</x:v>
      </x:c>
      <x:c r="B6" s="24" t="str">
        <x:v>Collection rate</x:v>
      </x:c>
      <x:c r="C6" s="26" t="n">
        <x:v>0.9</x:v>
      </x:c>
      <x:c r="D6" s="24" t="str">
        <x:v>Planning assumption; edit from actual collections</x:v>
      </x:c>
    </x:row>
    <x:row r="7">
      <x:c r="A7" s="24" t="str">
        <x:v>Targets</x:v>
      </x:c>
      <x:c r="B7" s="24" t="str">
        <x:v>Planning reserve rate</x:v>
      </x:c>
      <x:c r="C7" s="26" t="n">
        <x:v>0.15</x:v>
      </x:c>
      <x:c r="D7" s="24" t="str">
        <x:v>Placeholder reserve, not a tax calculation; confirm with accountant</x:v>
      </x:c>
    </x:row>
    <x:row r="8">
      <x:c r="A8" s="24" t="str">
        <x:v>Pricing</x:v>
      </x:c>
      <x:c r="B8" s="24" t="str">
        <x:v>START average price</x:v>
      </x:c>
      <x:c r="C8" s="25" t="n">
        <x:v>400</x:v>
      </x:c>
      <x:c r="D8" s="24" t="str">
        <x:v>Official site range €350–€450</x:v>
      </x:c>
    </x:row>
    <x:row r="9">
      <x:c r="A9" s="24" t="str">
        <x:v>Pricing</x:v>
      </x:c>
      <x:c r="B9" s="24" t="str">
        <x:v>PRO average price</x:v>
      </x:c>
      <x:c r="C9" s="25" t="n">
        <x:v>650</x:v>
      </x:c>
      <x:c r="D9" s="24" t="str">
        <x:v>Official site range €600–€700</x:v>
      </x:c>
    </x:row>
    <x:row r="10">
      <x:c r="A10" s="24" t="str">
        <x:v>Pricing</x:v>
      </x:c>
      <x:c r="B10" s="24" t="str">
        <x:v>ELITE average price</x:v>
      </x:c>
      <x:c r="C10" s="25" t="n">
        <x:v>1250</x:v>
      </x:c>
      <x:c r="D10" s="24" t="str">
        <x:v>Official site range €1,000–€1,500</x:v>
      </x:c>
    </x:row>
    <x:row r="11">
      <x:c r="A11" s="24" t="str">
        <x:v>Pricing</x:v>
      </x:c>
      <x:c r="B11" s="24" t="str">
        <x:v>Digital Menu average price</x:v>
      </x:c>
      <x:c r="C11" s="25" t="n">
        <x:v>700</x:v>
      </x:c>
      <x:c r="D11" s="24" t="str">
        <x:v>Draft internal midpoint</x:v>
      </x:c>
    </x:row>
    <x:row r="12">
      <x:c r="A12" s="24" t="str">
        <x:v>Pricing</x:v>
      </x:c>
      <x:c r="B12" s="24" t="str">
        <x:v>Restaurant OS average price</x:v>
      </x:c>
      <x:c r="C12" s="25" t="n">
        <x:v>2500</x:v>
      </x:c>
      <x:c r="D12" s="24" t="str">
        <x:v>Draft productized target; current low baseline starts at €1,500</x:v>
      </x:c>
    </x:row>
    <x:row r="13">
      <x:c r="A13" s="24" t="str">
        <x:v>Pricing</x:v>
      </x:c>
      <x:c r="B13" s="24" t="str">
        <x:v>CARE Essential monthly</x:v>
      </x:c>
      <x:c r="C13" s="25" t="n">
        <x:v>49</x:v>
      </x:c>
      <x:c r="D13" s="24" t="str">
        <x:v>Draft</x:v>
      </x:c>
    </x:row>
    <x:row r="14">
      <x:c r="A14" s="24" t="str">
        <x:v>Pricing</x:v>
      </x:c>
      <x:c r="B14" s="24" t="str">
        <x:v>CARE Growth monthly</x:v>
      </x:c>
      <x:c r="C14" s="25" t="n">
        <x:v>99</x:v>
      </x:c>
      <x:c r="D14" s="24" t="str">
        <x:v>Draft</x:v>
      </x:c>
    </x:row>
    <x:row r="15">
      <x:c r="A15" s="24" t="str">
        <x:v>Pricing</x:v>
      </x:c>
      <x:c r="B15" s="24" t="str">
        <x:v>CARE Priority monthly</x:v>
      </x:c>
      <x:c r="C15" s="25" t="n">
        <x:v>199</x:v>
      </x:c>
      <x:c r="D15" s="24" t="str">
        <x:v>Draft</x:v>
      </x:c>
    </x:row>
    <x:row r="16">
      <x:c r="A16" s="24" t="str">
        <x:v>Costs</x:v>
      </x:c>
      <x:c r="B16" s="24" t="str">
        <x:v>Internal hourly cost</x:v>
      </x:c>
      <x:c r="C16" s="25" t="n">
        <x:v>20</x:v>
      </x:c>
      <x:c r="D16" s="24" t="str">
        <x:v>Editable internal costing assumption</x:v>
      </x:c>
    </x:row>
    <x:row r="17">
      <x:c r="A17" s="24" t="str">
        <x:v>Costs</x:v>
      </x:c>
      <x:c r="B17" s="24" t="str">
        <x:v>Monthly payroll / contractors</x:v>
      </x:c>
      <x:c r="C17" s="25" t="n">
        <x:v>2000</x:v>
      </x:c>
      <x:c r="D17" s="24" t="str">
        <x:v>Editable</x:v>
      </x:c>
    </x:row>
    <x:row r="18">
      <x:c r="A18" s="24" t="str">
        <x:v>Costs</x:v>
      </x:c>
      <x:c r="B18" s="24" t="str">
        <x:v>Monthly software</x:v>
      </x:c>
      <x:c r="C18" s="25" t="n">
        <x:v>300</x:v>
      </x:c>
      <x:c r="D18" s="24" t="str">
        <x:v>Editable</x:v>
      </x:c>
    </x:row>
    <x:row r="19">
      <x:c r="A19" s="24" t="str">
        <x:v>Costs</x:v>
      </x:c>
      <x:c r="B19" s="24" t="str">
        <x:v>Monthly marketing</x:v>
      </x:c>
      <x:c r="C19" s="25" t="n">
        <x:v>500</x:v>
      </x:c>
      <x:c r="D19" s="24" t="str">
        <x:v>Editable</x:v>
      </x:c>
    </x:row>
    <x:row r="20">
      <x:c r="A20" s="24" t="str">
        <x:v>Costs</x:v>
      </x:c>
      <x:c r="B20" s="24" t="str">
        <x:v>Monthly accounting / legal</x:v>
      </x:c>
      <x:c r="C20" s="25" t="n">
        <x:v>150</x:v>
      </x:c>
      <x:c r="D20" s="24" t="str">
        <x:v>Editable</x:v>
      </x:c>
    </x:row>
    <x:row r="21">
      <x:c r="A21" s="24" t="str">
        <x:v>Costs</x:v>
      </x:c>
      <x:c r="B21" s="24" t="str">
        <x:v>Monthly travel</x:v>
      </x:c>
      <x:c r="C21" s="25" t="n">
        <x:v>200</x:v>
      </x:c>
      <x:c r="D21" s="24" t="str">
        <x:v>Editable</x:v>
      </x:c>
    </x:row>
    <x:row r="22">
      <x:c r="A22" s="24" t="str">
        <x:v>Costs</x:v>
      </x:c>
      <x:c r="B22" s="24" t="str">
        <x:v>Monthly other fixed costs</x:v>
      </x:c>
      <x:c r="C22" s="25" t="n">
        <x:v>250</x:v>
      </x:c>
      <x:c r="D22" s="24" t="str">
        <x:v>Editable</x:v>
      </x:c>
    </x:row>
    <x:row r="23">
      <x:c r="A23" s="24" t="str">
        <x:v>Direct cost</x:v>
      </x:c>
      <x:c r="B23" s="24" t="str">
        <x:v>START direct cost %</x:v>
      </x:c>
      <x:c r="C23" s="26" t="n">
        <x:v>0.25</x:v>
      </x:c>
      <x:c r="D23" s="24" t="str">
        <x:v>Planning assumption</x:v>
      </x:c>
    </x:row>
    <x:row r="24">
      <x:c r="A24" s="24" t="str">
        <x:v>Direct cost</x:v>
      </x:c>
      <x:c r="B24" s="24" t="str">
        <x:v>PRO direct cost %</x:v>
      </x:c>
      <x:c r="C24" s="26" t="n">
        <x:v>0.25</x:v>
      </x:c>
      <x:c r="D24" s="24" t="str">
        <x:v>Planning assumption</x:v>
      </x:c>
    </x:row>
    <x:row r="25">
      <x:c r="A25" s="24" t="str">
        <x:v>Direct cost</x:v>
      </x:c>
      <x:c r="B25" s="24" t="str">
        <x:v>ELITE direct cost %</x:v>
      </x:c>
      <x:c r="C25" s="26" t="n">
        <x:v>0.3</x:v>
      </x:c>
      <x:c r="D25" s="24" t="str">
        <x:v>Planning assumption</x:v>
      </x:c>
    </x:row>
    <x:row r="26">
      <x:c r="A26" s="24" t="str">
        <x:v>Direct cost</x:v>
      </x:c>
      <x:c r="B26" s="24" t="str">
        <x:v>Digital Menu direct cost %</x:v>
      </x:c>
      <x:c r="C26" s="26" t="n">
        <x:v>0.25</x:v>
      </x:c>
      <x:c r="D26" s="24" t="str">
        <x:v>Planning assumption</x:v>
      </x:c>
    </x:row>
    <x:row r="27">
      <x:c r="A27" s="24" t="str">
        <x:v>Direct cost</x:v>
      </x:c>
      <x:c r="B27" s="24" t="str">
        <x:v>Restaurant OS direct cost %</x:v>
      </x:c>
      <x:c r="C27" s="26" t="n">
        <x:v>0.4</x:v>
      </x:c>
      <x:c r="D27" s="24" t="str">
        <x:v>Planning assumption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  <x:col min="10" max="10" width="18" hidden="0" customWidth="1"/>
    <x:col min="11" max="11" width="19" hidden="0" customWidth="1"/>
  </x:cols>
  <x:sheetData>
    <x:row r="1">
      <x:c r="A1" s="31" t="str">
        <x:v>Pricing Calculator — Cost, Margin and Recommended Price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</x:row>
    <x:row r="3">
      <x:c r="A3" s="34" t="str">
        <x:v>Project Type</x:v>
      </x:c>
      <x:c r="B3" s="34" t="str">
        <x:v>Estimated Hours</x:v>
      </x:c>
      <x:c r="C3" s="34" t="str">
        <x:v>Hourly Cost</x:v>
      </x:c>
      <x:c r="D3" s="34" t="str">
        <x:v>Labour Cost</x:v>
      </x:c>
      <x:c r="E3" s="34" t="str">
        <x:v>External Cost</x:v>
      </x:c>
      <x:c r="F3" s="34" t="str">
        <x:v>Software/API</x:v>
      </x:c>
      <x:c r="G3" s="34" t="str">
        <x:v>Contingency %</x:v>
      </x:c>
      <x:c r="H3" s="34" t="str">
        <x:v>Total Cost</x:v>
      </x:c>
      <x:c r="I3" s="34" t="str">
        <x:v>Target Margin %</x:v>
      </x:c>
      <x:c r="J3" s="34" t="str">
        <x:v>Recommended Price</x:v>
      </x:c>
      <x:c r="K3" s="34" t="str">
        <x:v>Package / Target Price</x:v>
      </x:c>
    </x:row>
    <x:row r="4">
      <x:c r="A4" s="30" t="str">
        <x:v>START</x:v>
      </x:c>
      <x:c r="B4" s="41" t="n">
        <x:v>14</x:v>
      </x:c>
      <x:c r="C4" s="43" t="n">
        <x:f>Inputs!$C$16</x:f>
        <x:v>20</x:v>
      </x:c>
      <x:c r="D4" s="44" t="n">
        <x:f>B4*C4</x:f>
        <x:v>280</x:v>
      </x:c>
      <x:c r="E4" s="20" t="n">
        <x:v>0</x:v>
      </x:c>
      <x:c r="F4" s="20" t="n">
        <x:v>20</x:v>
      </x:c>
      <x:c r="G4" s="22" t="n">
        <x:v>0.1</x:v>
      </x:c>
      <x:c r="H4" s="44" t="n">
        <x:f>(D4+E4+F4)*(1+G4)</x:f>
        <x:v>330</x:v>
      </x:c>
      <x:c r="I4" s="47" t="n">
        <x:v>0.65</x:v>
      </x:c>
      <x:c r="J4" s="44" t="n">
        <x:f>IFERROR(H4/(1-I4),0)</x:f>
        <x:v>942.8571428571429</x:v>
      </x:c>
      <x:c r="K4" s="20" t="n">
        <x:v>400</x:v>
      </x:c>
    </x:row>
    <x:row r="5">
      <x:c r="A5" s="30" t="str">
        <x:v>PRO</x:v>
      </x:c>
      <x:c r="B5" s="41" t="n">
        <x:v>25</x:v>
      </x:c>
      <x:c r="C5" s="43" t="n">
        <x:f>Inputs!$C$16</x:f>
        <x:v>20</x:v>
      </x:c>
      <x:c r="D5" s="44" t="n">
        <x:f>B5*C5</x:f>
        <x:v>500</x:v>
      </x:c>
      <x:c r="E5" s="20" t="n">
        <x:v>50</x:v>
      </x:c>
      <x:c r="F5" s="20" t="n">
        <x:v>30</x:v>
      </x:c>
      <x:c r="G5" s="22" t="n">
        <x:v>0.1</x:v>
      </x:c>
      <x:c r="H5" s="44" t="n">
        <x:f>(D5+E5+F5)*(1+G5)</x:f>
        <x:v>638</x:v>
      </x:c>
      <x:c r="I5" s="47" t="n">
        <x:v>0.65</x:v>
      </x:c>
      <x:c r="J5" s="44" t="n">
        <x:f>IFERROR(H5/(1-I5),0)</x:f>
        <x:v>1822.857142857143</x:v>
      </x:c>
      <x:c r="K5" s="20" t="n">
        <x:v>650</x:v>
      </x:c>
    </x:row>
    <x:row r="6">
      <x:c r="A6" s="30" t="str">
        <x:v>ELITE</x:v>
      </x:c>
      <x:c r="B6" s="41" t="n">
        <x:v>55</x:v>
      </x:c>
      <x:c r="C6" s="43" t="n">
        <x:f>Inputs!$C$16</x:f>
        <x:v>20</x:v>
      </x:c>
      <x:c r="D6" s="44" t="n">
        <x:f>B6*C6</x:f>
        <x:v>1100</x:v>
      </x:c>
      <x:c r="E6" s="20" t="n">
        <x:v>150</x:v>
      </x:c>
      <x:c r="F6" s="20" t="n">
        <x:v>80</x:v>
      </x:c>
      <x:c r="G6" s="22" t="n">
        <x:v>0.15</x:v>
      </x:c>
      <x:c r="H6" s="44" t="n">
        <x:f>(D6+E6+F6)*(1+G6)</x:f>
        <x:v>1529.4999999999998</x:v>
      </x:c>
      <x:c r="I6" s="47" t="n">
        <x:v>0.6</x:v>
      </x:c>
      <x:c r="J6" s="44" t="n">
        <x:f>IFERROR(H6/(1-I6),0)</x:f>
        <x:v>3823.749999999999</x:v>
      </x:c>
      <x:c r="K6" s="20" t="n">
        <x:v>1250</x:v>
      </x:c>
    </x:row>
    <x:row r="7">
      <x:c r="A7" s="30" t="str">
        <x:v>Digital Menu</x:v>
      </x:c>
      <x:c r="B7" s="41" t="n">
        <x:v>30</x:v>
      </x:c>
      <x:c r="C7" s="43" t="n">
        <x:f>Inputs!$C$16</x:f>
        <x:v>20</x:v>
      </x:c>
      <x:c r="D7" s="44" t="n">
        <x:f>B7*C7</x:f>
        <x:v>600</x:v>
      </x:c>
      <x:c r="E7" s="20" t="n">
        <x:v>50</x:v>
      </x:c>
      <x:c r="F7" s="20" t="n">
        <x:v>30</x:v>
      </x:c>
      <x:c r="G7" s="22" t="n">
        <x:v>0.1</x:v>
      </x:c>
      <x:c r="H7" s="44" t="n">
        <x:f>(D7+E7+F7)*(1+G7)</x:f>
        <x:v>748.0000000000001</x:v>
      </x:c>
      <x:c r="I7" s="47" t="n">
        <x:v>0.65</x:v>
      </x:c>
      <x:c r="J7" s="44" t="n">
        <x:f>IFERROR(H7/(1-I7),0)</x:f>
        <x:v>2137.142857142858</x:v>
      </x:c>
      <x:c r="K7" s="20" t="n">
        <x:v>700</x:v>
      </x:c>
    </x:row>
    <x:row r="8">
      <x:c r="A8" s="30" t="str">
        <x:v>Restaurant OS</x:v>
      </x:c>
      <x:c r="B8" s="41" t="n">
        <x:v>120</x:v>
      </x:c>
      <x:c r="C8" s="43" t="n">
        <x:f>Inputs!$C$16</x:f>
        <x:v>20</x:v>
      </x:c>
      <x:c r="D8" s="44" t="n">
        <x:f>B8*C8</x:f>
        <x:v>2400</x:v>
      </x:c>
      <x:c r="E8" s="20" t="n">
        <x:v>500</x:v>
      </x:c>
      <x:c r="F8" s="20" t="n">
        <x:v>200</x:v>
      </x:c>
      <x:c r="G8" s="22" t="n">
        <x:v>0.2</x:v>
      </x:c>
      <x:c r="H8" s="44" t="n">
        <x:f>(D8+E8+F8)*(1+G8)</x:f>
        <x:v>3720</x:v>
      </x:c>
      <x:c r="I8" s="47" t="n">
        <x:v>0.55</x:v>
      </x:c>
      <x:c r="J8" s="44" t="n">
        <x:f>IFERROR(H8/(1-I8),0)</x:f>
        <x:v>8266.666666666668</x:v>
      </x:c>
      <x:c r="K8" s="20" t="n">
        <x:v>2500</x:v>
      </x:c>
    </x:row>
    <x:row r="9">
      <x:c r="A9" s="30" t="str">
        <x:v>Custom Project</x:v>
      </x:c>
      <x:c r="B9" s="41" t="n">
        <x:v>80</x:v>
      </x:c>
      <x:c r="C9" s="43" t="n">
        <x:f>Inputs!$C$16</x:f>
        <x:v>20</x:v>
      </x:c>
      <x:c r="D9" s="44" t="n">
        <x:f>B9*C9</x:f>
        <x:v>1600</x:v>
      </x:c>
      <x:c r="E9" s="20" t="n">
        <x:v>300</x:v>
      </x:c>
      <x:c r="F9" s="20" t="n">
        <x:v>100</x:v>
      </x:c>
      <x:c r="G9" s="22" t="n">
        <x:v>0.15</x:v>
      </x:c>
      <x:c r="H9" s="44" t="n">
        <x:f>(D9+E9+F9)*(1+G9)</x:f>
        <x:v>2300</x:v>
      </x:c>
      <x:c r="I9" s="47" t="n">
        <x:v>0.55</x:v>
      </x:c>
      <x:c r="J9" s="44" t="n">
        <x:f>IFERROR(H9/(1-I9),0)</x:f>
        <x:v>5111.111111111111</x:v>
      </x:c>
      <x:c r="K9" s="20" t="n">
        <x:v>3000</x:v>
      </x:c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</x:row>
    <x:row r="11">
      <x:c r="A11" s="50" t="str">
        <x:v>Margin check at package price</x:v>
      </x:c>
      <x:c r="B11" s="50"/>
      <x:c r="C11" s="50"/>
      <x:c r="D11" s="50"/>
      <x:c r="E11" s="50"/>
      <x:c r="F11" s="50"/>
      <x:c r="G11" s="50"/>
      <x:c r="H11" s="50"/>
      <x:c r="I11" s="50"/>
      <x:c r="J11" s="50"/>
      <x:c r="K11" s="50"/>
    </x:row>
    <x:row r="12">
      <x:c r="A12" s="53" t="str">
        <x:v>Project Type</x:v>
      </x:c>
      <x:c r="B12" s="53" t="str">
        <x:v>Gross Profit</x:v>
      </x:c>
      <x:c r="C12" s="53" t="str">
        <x:v>Gross Margin</x:v>
      </x:c>
      <x:c r="D12" s="30"/>
      <x:c r="E12" s="30"/>
      <x:c r="F12" s="30"/>
      <x:c r="G12" s="30"/>
      <x:c r="H12" s="30"/>
      <x:c r="I12" s="30"/>
      <x:c r="J12" s="30"/>
      <x:c r="K12" s="30"/>
    </x:row>
    <x:row r="13">
      <x:c r="A13" s="37" t="str">
        <x:f>A4</x:f>
        <x:v>START</x:v>
      </x:c>
      <x:c r="B13" s="44" t="n">
        <x:f>K4-H4</x:f>
        <x:v>70</x:v>
      </x:c>
      <x:c r="C13" s="47" t="n">
        <x:f>IFERROR(B13/K4,0)</x:f>
        <x:v>0.175</x:v>
      </x:c>
      <x:c r="D13" s="30"/>
      <x:c r="E13" s="30"/>
      <x:c r="F13" s="30"/>
      <x:c r="G13" s="30"/>
      <x:c r="H13" s="30"/>
      <x:c r="I13" s="30"/>
      <x:c r="J13" s="30"/>
      <x:c r="K13" s="30"/>
    </x:row>
    <x:row r="14">
      <x:c r="A14" s="37" t="str">
        <x:f>A5</x:f>
        <x:v>PRO</x:v>
      </x:c>
      <x:c r="B14" s="44" t="n">
        <x:f>K5-H5</x:f>
        <x:v>12</x:v>
      </x:c>
      <x:c r="C14" s="47" t="n">
        <x:f>IFERROR(B14/K5,0)</x:f>
        <x:v>0.018461538461538463</x:v>
      </x:c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7" t="str">
        <x:f>A6</x:f>
        <x:v>ELITE</x:v>
      </x:c>
      <x:c r="B15" s="44" t="n">
        <x:f>K6-H6</x:f>
        <x:v>-279.4999999999998</x:v>
      </x:c>
      <x:c r="C15" s="47" t="n">
        <x:f>IFERROR(B15/K6,0)</x:f>
        <x:v>-0.22359999999999983</x:v>
      </x:c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7" t="str">
        <x:f>A7</x:f>
        <x:v>Digital Menu</x:v>
      </x:c>
      <x:c r="B16" s="44" t="n">
        <x:f>K7-H7</x:f>
        <x:v>-48.000000000000114</x:v>
      </x:c>
      <x:c r="C16" s="47" t="n">
        <x:f>IFERROR(B16/K7,0)</x:f>
        <x:v>-0.06857142857142873</x:v>
      </x:c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7" t="str">
        <x:f>A8</x:f>
        <x:v>Restaurant OS</x:v>
      </x:c>
      <x:c r="B17" s="44" t="n">
        <x:f>K8-H8</x:f>
        <x:v>-1220</x:v>
      </x:c>
      <x:c r="C17" s="47" t="n">
        <x:f>IFERROR(B17/K8,0)</x:f>
        <x:v>-0.488</x:v>
      </x:c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7" t="str">
        <x:f>A9</x:f>
        <x:v>Custom Project</x:v>
      </x:c>
      <x:c r="B18" s="44" t="n">
        <x:f>K9-H9</x:f>
        <x:v>700</x:v>
      </x:c>
      <x:c r="C18" s="47" t="n">
        <x:f>IFERROR(B18/K9,0)</x:f>
        <x:v>0.23333333333333334</x:v>
      </x:c>
      <x:c r="D18" s="30"/>
      <x:c r="E18" s="30"/>
      <x:c r="F18" s="30"/>
      <x:c r="G18" s="30"/>
      <x:c r="H18" s="30"/>
      <x:c r="I18" s="30"/>
      <x:c r="J18" s="30"/>
      <x:c r="K18" s="30"/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  <x:col min="14" max="14" width="14" hidden="0" customWidth="1"/>
    <x:col min="15" max="15" width="14" hidden="0" customWidth="1"/>
    <x:col min="16" max="16" width="15" hidden="0" customWidth="1"/>
    <x:col min="17" max="17" width="15" hidden="0" customWidth="1"/>
    <x:col min="18" max="18" width="14" hidden="0" customWidth="1"/>
    <x:col min="19" max="19" width="15" hidden="0" customWidth="1"/>
    <x:col min="20" max="20" width="13" hidden="0" customWidth="1"/>
  </x:cols>
  <x:sheetData>
    <x:row r="1">
      <x:c r="A1" s="31" t="str">
        <x:v>12-Month Revenue, P&amp;L and Target Plan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</x:row>
    <x:row r="3">
      <x:c r="A3" s="34" t="str">
        <x:v>Month</x:v>
      </x:c>
      <x:c r="B3" s="34" t="str">
        <x:v>START Units</x:v>
      </x:c>
      <x:c r="C3" s="34" t="str">
        <x:v>PRO Units</x:v>
      </x:c>
      <x:c r="D3" s="34" t="str">
        <x:v>ELITE Units</x:v>
      </x:c>
      <x:c r="E3" s="34" t="str">
        <x:v>Menu Units</x:v>
      </x:c>
      <x:c r="F3" s="34" t="str">
        <x:v>Restaurant OS Units</x:v>
      </x:c>
      <x:c r="G3" s="34" t="str">
        <x:v>Project Revenue</x:v>
      </x:c>
      <x:c r="H3" s="34" t="str">
        <x:v>CARE Essential Clients</x:v>
      </x:c>
      <x:c r="I3" s="34" t="str">
        <x:v>CARE Growth Clients</x:v>
      </x:c>
      <x:c r="J3" s="34" t="str">
        <x:v>CARE Priority Clients</x:v>
      </x:c>
      <x:c r="K3" s="34" t="str">
        <x:v>MRR Revenue</x:v>
      </x:c>
      <x:c r="L3" s="34" t="str">
        <x:v>Total Revenue</x:v>
      </x:c>
      <x:c r="M3" s="34" t="str">
        <x:v>Direct Delivery Cost</x:v>
      </x:c>
      <x:c r="N3" s="34" t="str">
        <x:v>Gross Profit</x:v>
      </x:c>
      <x:c r="O3" s="34" t="str">
        <x:v>Fixed Costs</x:v>
      </x:c>
      <x:c r="P3" s="34" t="str">
        <x:v>Operating Profit</x:v>
      </x:c>
      <x:c r="Q3" s="34" t="str">
        <x:v>Planning Reserve</x:v>
      </x:c>
      <x:c r="R3" s="34" t="str">
        <x:v>Planning Net</x:v>
      </x:c>
      <x:c r="S3" s="34" t="str">
        <x:v>Target Variance</x:v>
      </x:c>
      <x:c r="T3" s="34" t="str">
        <x:v>Total Projects</x:v>
      </x:c>
    </x:row>
    <x:row r="4">
      <x:c r="A4" s="55" t="n">
        <x:v>46235</x:v>
      </x:c>
      <x:c r="B4" s="41" t="n">
        <x:v>2</x:v>
      </x:c>
      <x:c r="C4" s="41" t="n">
        <x:v>2</x:v>
      </x:c>
      <x:c r="D4" s="41" t="n">
        <x:v>0</x:v>
      </x:c>
      <x:c r="E4" s="41" t="n">
        <x:v>1</x:v>
      </x:c>
      <x:c r="F4" s="41" t="n">
        <x:v>0</x:v>
      </x:c>
      <x:c r="G4" s="43" t="n">
        <x:f>B4*Inputs!$C$8+C4*Inputs!$C$9+D4*Inputs!$C$10+E4*Inputs!$C$11+F4*Inputs!$C$12</x:f>
        <x:v>2800</x:v>
      </x:c>
      <x:c r="H4" s="20" t="n">
        <x:v>5</x:v>
      </x:c>
      <x:c r="I4" s="20" t="n">
        <x:v>2</x:v>
      </x:c>
      <x:c r="J4" s="20" t="n">
        <x:v>0</x:v>
      </x:c>
      <x:c r="K4" s="43" t="n">
        <x:f>H4*Inputs!$C$13+I4*Inputs!$C$14+J4*Inputs!$C$15</x:f>
        <x:v>443</x:v>
      </x:c>
      <x:c r="L4" s="43" t="n">
        <x:f>G4+K4</x:f>
        <x:v>3243</x:v>
      </x:c>
      <x:c r="M4" s="43" t="n">
        <x:f>B4*Inputs!$C$8*Inputs!$C$23+C4*Inputs!$C$9*Inputs!$C$24+D4*Inputs!$C$10*Inputs!$C$25+E4*Inputs!$C$11*Inputs!$C$26+F4*Inputs!$C$12*Inputs!$C$27</x:f>
        <x:v>700</x:v>
      </x:c>
      <x:c r="N4" s="43" t="n">
        <x:f>L4-M4</x:f>
        <x:v>2543</x:v>
      </x:c>
      <x:c r="O4" s="43" t="n">
        <x:f>SUM(Inputs!$C$17:$C$22)</x:f>
        <x:v>3400</x:v>
      </x:c>
      <x:c r="P4" s="43" t="n">
        <x:f>N4-O4</x:f>
        <x:v>-857</x:v>
      </x:c>
      <x:c r="Q4" s="43" t="n">
        <x:f>MAX(P4,0)*Inputs!$C$7</x:f>
        <x:v>0</x:v>
      </x:c>
      <x:c r="R4" s="43" t="n">
        <x:f>P4-Q4</x:f>
        <x:v>-857</x:v>
      </x:c>
      <x:c r="S4" s="43" t="n">
        <x:f>R4-Inputs!$C$4</x:f>
        <x:v>-7857</x:v>
      </x:c>
      <x:c r="T4" s="71" t="n">
        <x:f>SUM(B4:F4)</x:f>
        <x:v>5</x:v>
      </x:c>
    </x:row>
    <x:row r="5">
      <x:c r="A5" s="55" t="n">
        <x:v>46266</x:v>
      </x:c>
      <x:c r="B5" s="41" t="n">
        <x:v>2</x:v>
      </x:c>
      <x:c r="C5" s="41" t="n">
        <x:v>2</x:v>
      </x:c>
      <x:c r="D5" s="41" t="n">
        <x:v>1</x:v>
      </x:c>
      <x:c r="E5" s="41" t="n">
        <x:v>1</x:v>
      </x:c>
      <x:c r="F5" s="41" t="n">
        <x:v>0</x:v>
      </x:c>
      <x:c r="G5" s="43" t="n">
        <x:f>B5*Inputs!$C$8+C5*Inputs!$C$9+D5*Inputs!$C$10+E5*Inputs!$C$11+F5*Inputs!$C$12</x:f>
        <x:v>4050</x:v>
      </x:c>
      <x:c r="H5" s="20" t="n">
        <x:v>7</x:v>
      </x:c>
      <x:c r="I5" s="20" t="n">
        <x:v>3</x:v>
      </x:c>
      <x:c r="J5" s="20" t="n">
        <x:v>0</x:v>
      </x:c>
      <x:c r="K5" s="43" t="n">
        <x:f>H5*Inputs!$C$13+I5*Inputs!$C$14+J5*Inputs!$C$15</x:f>
        <x:v>640</x:v>
      </x:c>
      <x:c r="L5" s="43" t="n">
        <x:f>G5+K5</x:f>
        <x:v>4690</x:v>
      </x:c>
      <x:c r="M5" s="43" t="n">
        <x:f>B5*Inputs!$C$8*Inputs!$C$23+C5*Inputs!$C$9*Inputs!$C$24+D5*Inputs!$C$10*Inputs!$C$25+E5*Inputs!$C$11*Inputs!$C$26+F5*Inputs!$C$12*Inputs!$C$27</x:f>
        <x:v>1075</x:v>
      </x:c>
      <x:c r="N5" s="43" t="n">
        <x:f>L5-M5</x:f>
        <x:v>3615</x:v>
      </x:c>
      <x:c r="O5" s="43" t="n">
        <x:f>SUM(Inputs!$C$17:$C$22)</x:f>
        <x:v>3400</x:v>
      </x:c>
      <x:c r="P5" s="43" t="n">
        <x:f>N5-O5</x:f>
        <x:v>215</x:v>
      </x:c>
      <x:c r="Q5" s="43" t="n">
        <x:f>MAX(P5,0)*Inputs!$C$7</x:f>
        <x:v>32.25</x:v>
      </x:c>
      <x:c r="R5" s="43" t="n">
        <x:f>P5-Q5</x:f>
        <x:v>182.75</x:v>
      </x:c>
      <x:c r="S5" s="43" t="n">
        <x:f>R5-Inputs!$C$4</x:f>
        <x:v>-6817.25</x:v>
      </x:c>
      <x:c r="T5" s="71" t="n">
        <x:f>SUM(B5:F5)</x:f>
        <x:v>6</x:v>
      </x:c>
    </x:row>
    <x:row r="6">
      <x:c r="A6" s="55" t="n">
        <x:v>46296</x:v>
      </x:c>
      <x:c r="B6" s="41" t="n">
        <x:v>2</x:v>
      </x:c>
      <x:c r="C6" s="41" t="n">
        <x:v>3</x:v>
      </x:c>
      <x:c r="D6" s="41" t="n">
        <x:v>1</x:v>
      </x:c>
      <x:c r="E6" s="41" t="n">
        <x:v>1</x:v>
      </x:c>
      <x:c r="F6" s="41" t="n">
        <x:v>0</x:v>
      </x:c>
      <x:c r="G6" s="43" t="n">
        <x:f>B6*Inputs!$C$8+C6*Inputs!$C$9+D6*Inputs!$C$10+E6*Inputs!$C$11+F6*Inputs!$C$12</x:f>
        <x:v>4700</x:v>
      </x:c>
      <x:c r="H6" s="20" t="n">
        <x:v>9</x:v>
      </x:c>
      <x:c r="I6" s="20" t="n">
        <x:v>4</x:v>
      </x:c>
      <x:c r="J6" s="20" t="n">
        <x:v>1</x:v>
      </x:c>
      <x:c r="K6" s="43" t="n">
        <x:f>H6*Inputs!$C$13+I6*Inputs!$C$14+J6*Inputs!$C$15</x:f>
        <x:v>1036</x:v>
      </x:c>
      <x:c r="L6" s="43" t="n">
        <x:f>G6+K6</x:f>
        <x:v>5736</x:v>
      </x:c>
      <x:c r="M6" s="43" t="n">
        <x:f>B6*Inputs!$C$8*Inputs!$C$23+C6*Inputs!$C$9*Inputs!$C$24+D6*Inputs!$C$10*Inputs!$C$25+E6*Inputs!$C$11*Inputs!$C$26+F6*Inputs!$C$12*Inputs!$C$27</x:f>
        <x:v>1237.5</x:v>
      </x:c>
      <x:c r="N6" s="43" t="n">
        <x:f>L6-M6</x:f>
        <x:v>4498.5</x:v>
      </x:c>
      <x:c r="O6" s="43" t="n">
        <x:f>SUM(Inputs!$C$17:$C$22)</x:f>
        <x:v>3400</x:v>
      </x:c>
      <x:c r="P6" s="43" t="n">
        <x:f>N6-O6</x:f>
        <x:v>1098.5</x:v>
      </x:c>
      <x:c r="Q6" s="43" t="n">
        <x:f>MAX(P6,0)*Inputs!$C$7</x:f>
        <x:v>164.775</x:v>
      </x:c>
      <x:c r="R6" s="43" t="n">
        <x:f>P6-Q6</x:f>
        <x:v>933.725</x:v>
      </x:c>
      <x:c r="S6" s="43" t="n">
        <x:f>R6-Inputs!$C$4</x:f>
        <x:v>-6066.275</x:v>
      </x:c>
      <x:c r="T6" s="71" t="n">
        <x:f>SUM(B6:F6)</x:f>
        <x:v>7</x:v>
      </x:c>
    </x:row>
    <x:row r="7">
      <x:c r="A7" s="55" t="n">
        <x:v>46327</x:v>
      </x:c>
      <x:c r="B7" s="41" t="n">
        <x:v>2</x:v>
      </x:c>
      <x:c r="C7" s="41" t="n">
        <x:v>3</x:v>
      </x:c>
      <x:c r="D7" s="41" t="n">
        <x:v>1</x:v>
      </x:c>
      <x:c r="E7" s="41" t="n">
        <x:v>1</x:v>
      </x:c>
      <x:c r="F7" s="41" t="n">
        <x:v>1</x:v>
      </x:c>
      <x:c r="G7" s="43" t="n">
        <x:f>B7*Inputs!$C$8+C7*Inputs!$C$9+D7*Inputs!$C$10+E7*Inputs!$C$11+F7*Inputs!$C$12</x:f>
        <x:v>7200</x:v>
      </x:c>
      <x:c r="H7" s="20" t="n">
        <x:v>12</x:v>
      </x:c>
      <x:c r="I7" s="20" t="n">
        <x:v>5</x:v>
      </x:c>
      <x:c r="J7" s="20" t="n">
        <x:v>1</x:v>
      </x:c>
      <x:c r="K7" s="43" t="n">
        <x:f>H7*Inputs!$C$13+I7*Inputs!$C$14+J7*Inputs!$C$15</x:f>
        <x:v>1282</x:v>
      </x:c>
      <x:c r="L7" s="43" t="n">
        <x:f>G7+K7</x:f>
        <x:v>8482</x:v>
      </x:c>
      <x:c r="M7" s="43" t="n">
        <x:f>B7*Inputs!$C$8*Inputs!$C$23+C7*Inputs!$C$9*Inputs!$C$24+D7*Inputs!$C$10*Inputs!$C$25+E7*Inputs!$C$11*Inputs!$C$26+F7*Inputs!$C$12*Inputs!$C$27</x:f>
        <x:v>2237.5</x:v>
      </x:c>
      <x:c r="N7" s="43" t="n">
        <x:f>L7-M7</x:f>
        <x:v>6244.5</x:v>
      </x:c>
      <x:c r="O7" s="43" t="n">
        <x:f>SUM(Inputs!$C$17:$C$22)</x:f>
        <x:v>3400</x:v>
      </x:c>
      <x:c r="P7" s="43" t="n">
        <x:f>N7-O7</x:f>
        <x:v>2844.5</x:v>
      </x:c>
      <x:c r="Q7" s="43" t="n">
        <x:f>MAX(P7,0)*Inputs!$C$7</x:f>
        <x:v>426.675</x:v>
      </x:c>
      <x:c r="R7" s="43" t="n">
        <x:f>P7-Q7</x:f>
        <x:v>2417.825</x:v>
      </x:c>
      <x:c r="S7" s="43" t="n">
        <x:f>R7-Inputs!$C$4</x:f>
        <x:v>-4582.175</x:v>
      </x:c>
      <x:c r="T7" s="71" t="n">
        <x:f>SUM(B7:F7)</x:f>
        <x:v>8</x:v>
      </x:c>
    </x:row>
    <x:row r="8">
      <x:c r="A8" s="55" t="n">
        <x:v>46357</x:v>
      </x:c>
      <x:c r="B8" s="41" t="n">
        <x:v>1</x:v>
      </x:c>
      <x:c r="C8" s="41" t="n">
        <x:v>2</x:v>
      </x:c>
      <x:c r="D8" s="41" t="n">
        <x:v>1</x:v>
      </x:c>
      <x:c r="E8" s="41" t="n">
        <x:v>1</x:v>
      </x:c>
      <x:c r="F8" s="41" t="n">
        <x:v>0</x:v>
      </x:c>
      <x:c r="G8" s="43" t="n">
        <x:f>B8*Inputs!$C$8+C8*Inputs!$C$9+D8*Inputs!$C$10+E8*Inputs!$C$11+F8*Inputs!$C$12</x:f>
        <x:v>3650</x:v>
      </x:c>
      <x:c r="H8" s="20" t="n">
        <x:v>14</x:v>
      </x:c>
      <x:c r="I8" s="20" t="n">
        <x:v>6</x:v>
      </x:c>
      <x:c r="J8" s="20" t="n">
        <x:v>1</x:v>
      </x:c>
      <x:c r="K8" s="43" t="n">
        <x:f>H8*Inputs!$C$13+I8*Inputs!$C$14+J8*Inputs!$C$15</x:f>
        <x:v>1479</x:v>
      </x:c>
      <x:c r="L8" s="43" t="n">
        <x:f>G8+K8</x:f>
        <x:v>5129</x:v>
      </x:c>
      <x:c r="M8" s="43" t="n">
        <x:f>B8*Inputs!$C$8*Inputs!$C$23+C8*Inputs!$C$9*Inputs!$C$24+D8*Inputs!$C$10*Inputs!$C$25+E8*Inputs!$C$11*Inputs!$C$26+F8*Inputs!$C$12*Inputs!$C$27</x:f>
        <x:v>975</x:v>
      </x:c>
      <x:c r="N8" s="43" t="n">
        <x:f>L8-M8</x:f>
        <x:v>4154</x:v>
      </x:c>
      <x:c r="O8" s="43" t="n">
        <x:f>SUM(Inputs!$C$17:$C$22)</x:f>
        <x:v>3400</x:v>
      </x:c>
      <x:c r="P8" s="43" t="n">
        <x:f>N8-O8</x:f>
        <x:v>754</x:v>
      </x:c>
      <x:c r="Q8" s="43" t="n">
        <x:f>MAX(P8,0)*Inputs!$C$7</x:f>
        <x:v>113.1</x:v>
      </x:c>
      <x:c r="R8" s="43" t="n">
        <x:f>P8-Q8</x:f>
        <x:v>640.9</x:v>
      </x:c>
      <x:c r="S8" s="43" t="n">
        <x:f>R8-Inputs!$C$4</x:f>
        <x:v>-6359.1</x:v>
      </x:c>
      <x:c r="T8" s="71" t="n">
        <x:f>SUM(B8:F8)</x:f>
        <x:v>5</x:v>
      </x:c>
    </x:row>
    <x:row r="9">
      <x:c r="A9" s="55" t="n">
        <x:v>46388</x:v>
      </x:c>
      <x:c r="B9" s="41" t="n">
        <x:v>2</x:v>
      </x:c>
      <x:c r="C9" s="41" t="n">
        <x:v>2</x:v>
      </x:c>
      <x:c r="D9" s="41" t="n">
        <x:v>1</x:v>
      </x:c>
      <x:c r="E9" s="41" t="n">
        <x:v>1</x:v>
      </x:c>
      <x:c r="F9" s="41" t="n">
        <x:v>0</x:v>
      </x:c>
      <x:c r="G9" s="43" t="n">
        <x:f>B9*Inputs!$C$8+C9*Inputs!$C$9+D9*Inputs!$C$10+E9*Inputs!$C$11+F9*Inputs!$C$12</x:f>
        <x:v>4050</x:v>
      </x:c>
      <x:c r="H9" s="20" t="n">
        <x:v>17</x:v>
      </x:c>
      <x:c r="I9" s="20" t="n">
        <x:v>7</x:v>
      </x:c>
      <x:c r="J9" s="20" t="n">
        <x:v>2</x:v>
      </x:c>
      <x:c r="K9" s="43" t="n">
        <x:f>H9*Inputs!$C$13+I9*Inputs!$C$14+J9*Inputs!$C$15</x:f>
        <x:v>1924</x:v>
      </x:c>
      <x:c r="L9" s="43" t="n">
        <x:f>G9+K9</x:f>
        <x:v>5974</x:v>
      </x:c>
      <x:c r="M9" s="43" t="n">
        <x:f>B9*Inputs!$C$8*Inputs!$C$23+C9*Inputs!$C$9*Inputs!$C$24+D9*Inputs!$C$10*Inputs!$C$25+E9*Inputs!$C$11*Inputs!$C$26+F9*Inputs!$C$12*Inputs!$C$27</x:f>
        <x:v>1075</x:v>
      </x:c>
      <x:c r="N9" s="43" t="n">
        <x:f>L9-M9</x:f>
        <x:v>4899</x:v>
      </x:c>
      <x:c r="O9" s="43" t="n">
        <x:f>SUM(Inputs!$C$17:$C$22)</x:f>
        <x:v>3400</x:v>
      </x:c>
      <x:c r="P9" s="43" t="n">
        <x:f>N9-O9</x:f>
        <x:v>1499</x:v>
      </x:c>
      <x:c r="Q9" s="43" t="n">
        <x:f>MAX(P9,0)*Inputs!$C$7</x:f>
        <x:v>224.85</x:v>
      </x:c>
      <x:c r="R9" s="43" t="n">
        <x:f>P9-Q9</x:f>
        <x:v>1274.15</x:v>
      </x:c>
      <x:c r="S9" s="43" t="n">
        <x:f>R9-Inputs!$C$4</x:f>
        <x:v>-5725.85</x:v>
      </x:c>
      <x:c r="T9" s="71" t="n">
        <x:f>SUM(B9:F9)</x:f>
        <x:v>6</x:v>
      </x:c>
    </x:row>
    <x:row r="10">
      <x:c r="A10" s="55" t="n">
        <x:v>46419</x:v>
      </x:c>
      <x:c r="B10" s="41" t="n">
        <x:v>2</x:v>
      </x:c>
      <x:c r="C10" s="41" t="n">
        <x:v>3</x:v>
      </x:c>
      <x:c r="D10" s="41" t="n">
        <x:v>1</x:v>
      </x:c>
      <x:c r="E10" s="41" t="n">
        <x:v>1</x:v>
      </x:c>
      <x:c r="F10" s="41" t="n">
        <x:v>1</x:v>
      </x:c>
      <x:c r="G10" s="43" t="n">
        <x:f>B10*Inputs!$C$8+C10*Inputs!$C$9+D10*Inputs!$C$10+E10*Inputs!$C$11+F10*Inputs!$C$12</x:f>
        <x:v>7200</x:v>
      </x:c>
      <x:c r="H10" s="20" t="n">
        <x:v>20</x:v>
      </x:c>
      <x:c r="I10" s="20" t="n">
        <x:v>9</x:v>
      </x:c>
      <x:c r="J10" s="20" t="n">
        <x:v>2</x:v>
      </x:c>
      <x:c r="K10" s="43" t="n">
        <x:f>H10*Inputs!$C$13+I10*Inputs!$C$14+J10*Inputs!$C$15</x:f>
        <x:v>2269</x:v>
      </x:c>
      <x:c r="L10" s="43" t="n">
        <x:f>G10+K10</x:f>
        <x:v>9469</x:v>
      </x:c>
      <x:c r="M10" s="43" t="n">
        <x:f>B10*Inputs!$C$8*Inputs!$C$23+C10*Inputs!$C$9*Inputs!$C$24+D10*Inputs!$C$10*Inputs!$C$25+E10*Inputs!$C$11*Inputs!$C$26+F10*Inputs!$C$12*Inputs!$C$27</x:f>
        <x:v>2237.5</x:v>
      </x:c>
      <x:c r="N10" s="43" t="n">
        <x:f>L10-M10</x:f>
        <x:v>7231.5</x:v>
      </x:c>
      <x:c r="O10" s="43" t="n">
        <x:f>SUM(Inputs!$C$17:$C$22)</x:f>
        <x:v>3400</x:v>
      </x:c>
      <x:c r="P10" s="43" t="n">
        <x:f>N10-O10</x:f>
        <x:v>3831.5</x:v>
      </x:c>
      <x:c r="Q10" s="43" t="n">
        <x:f>MAX(P10,0)*Inputs!$C$7</x:f>
        <x:v>574.725</x:v>
      </x:c>
      <x:c r="R10" s="43" t="n">
        <x:f>P10-Q10</x:f>
        <x:v>3256.775</x:v>
      </x:c>
      <x:c r="S10" s="43" t="n">
        <x:f>R10-Inputs!$C$4</x:f>
        <x:v>-3743.225</x:v>
      </x:c>
      <x:c r="T10" s="71" t="n">
        <x:f>SUM(B10:F10)</x:f>
        <x:v>8</x:v>
      </x:c>
    </x:row>
    <x:row r="11">
      <x:c r="A11" s="55" t="n">
        <x:v>46447</x:v>
      </x:c>
      <x:c r="B11" s="41" t="n">
        <x:v>2</x:v>
      </x:c>
      <x:c r="C11" s="41" t="n">
        <x:v>3</x:v>
      </x:c>
      <x:c r="D11" s="41" t="n">
        <x:v>1</x:v>
      </x:c>
      <x:c r="E11" s="41" t="n">
        <x:v>2</x:v>
      </x:c>
      <x:c r="F11" s="41" t="n">
        <x:v>0</x:v>
      </x:c>
      <x:c r="G11" s="43" t="n">
        <x:f>B11*Inputs!$C$8+C11*Inputs!$C$9+D11*Inputs!$C$10+E11*Inputs!$C$11+F11*Inputs!$C$12</x:f>
        <x:v>5400</x:v>
      </x:c>
      <x:c r="H11" s="20" t="n">
        <x:v>23</x:v>
      </x:c>
      <x:c r="I11" s="20" t="n">
        <x:v>11</x:v>
      </x:c>
      <x:c r="J11" s="20" t="n">
        <x:v>3</x:v>
      </x:c>
      <x:c r="K11" s="43" t="n">
        <x:f>H11*Inputs!$C$13+I11*Inputs!$C$14+J11*Inputs!$C$15</x:f>
        <x:v>2813</x:v>
      </x:c>
      <x:c r="L11" s="43" t="n">
        <x:f>G11+K11</x:f>
        <x:v>8213</x:v>
      </x:c>
      <x:c r="M11" s="43" t="n">
        <x:f>B11*Inputs!$C$8*Inputs!$C$23+C11*Inputs!$C$9*Inputs!$C$24+D11*Inputs!$C$10*Inputs!$C$25+E11*Inputs!$C$11*Inputs!$C$26+F11*Inputs!$C$12*Inputs!$C$27</x:f>
        <x:v>1412.5</x:v>
      </x:c>
      <x:c r="N11" s="43" t="n">
        <x:f>L11-M11</x:f>
        <x:v>6800.5</x:v>
      </x:c>
      <x:c r="O11" s="43" t="n">
        <x:f>SUM(Inputs!$C$17:$C$22)</x:f>
        <x:v>3400</x:v>
      </x:c>
      <x:c r="P11" s="43" t="n">
        <x:f>N11-O11</x:f>
        <x:v>3400.5</x:v>
      </x:c>
      <x:c r="Q11" s="43" t="n">
        <x:f>MAX(P11,0)*Inputs!$C$7</x:f>
        <x:v>510.075</x:v>
      </x:c>
      <x:c r="R11" s="43" t="n">
        <x:f>P11-Q11</x:f>
        <x:v>2890.425</x:v>
      </x:c>
      <x:c r="S11" s="43" t="n">
        <x:f>R11-Inputs!$C$4</x:f>
        <x:v>-4109.575</x:v>
      </x:c>
      <x:c r="T11" s="71" t="n">
        <x:f>SUM(B11:F11)</x:f>
        <x:v>8</x:v>
      </x:c>
    </x:row>
    <x:row r="12">
      <x:c r="A12" s="55" t="n">
        <x:v>46478</x:v>
      </x:c>
      <x:c r="B12" s="41" t="n">
        <x:v>2</x:v>
      </x:c>
      <x:c r="C12" s="41" t="n">
        <x:v>3</x:v>
      </x:c>
      <x:c r="D12" s="41" t="n">
        <x:v>1</x:v>
      </x:c>
      <x:c r="E12" s="41" t="n">
        <x:v>1</x:v>
      </x:c>
      <x:c r="F12" s="41" t="n">
        <x:v>1</x:v>
      </x:c>
      <x:c r="G12" s="43" t="n">
        <x:f>B12*Inputs!$C$8+C12*Inputs!$C$9+D12*Inputs!$C$10+E12*Inputs!$C$11+F12*Inputs!$C$12</x:f>
        <x:v>7200</x:v>
      </x:c>
      <x:c r="H12" s="20" t="n">
        <x:v>27</x:v>
      </x:c>
      <x:c r="I12" s="20" t="n">
        <x:v>13</x:v>
      </x:c>
      <x:c r="J12" s="20" t="n">
        <x:v>3</x:v>
      </x:c>
      <x:c r="K12" s="43" t="n">
        <x:f>H12*Inputs!$C$13+I12*Inputs!$C$14+J12*Inputs!$C$15</x:f>
        <x:v>3207</x:v>
      </x:c>
      <x:c r="L12" s="43" t="n">
        <x:f>G12+K12</x:f>
        <x:v>10407</x:v>
      </x:c>
      <x:c r="M12" s="43" t="n">
        <x:f>B12*Inputs!$C$8*Inputs!$C$23+C12*Inputs!$C$9*Inputs!$C$24+D12*Inputs!$C$10*Inputs!$C$25+E12*Inputs!$C$11*Inputs!$C$26+F12*Inputs!$C$12*Inputs!$C$27</x:f>
        <x:v>2237.5</x:v>
      </x:c>
      <x:c r="N12" s="43" t="n">
        <x:f>L12-M12</x:f>
        <x:v>8169.5</x:v>
      </x:c>
      <x:c r="O12" s="43" t="n">
        <x:f>SUM(Inputs!$C$17:$C$22)</x:f>
        <x:v>3400</x:v>
      </x:c>
      <x:c r="P12" s="43" t="n">
        <x:f>N12-O12</x:f>
        <x:v>4769.5</x:v>
      </x:c>
      <x:c r="Q12" s="43" t="n">
        <x:f>MAX(P12,0)*Inputs!$C$7</x:f>
        <x:v>715.425</x:v>
      </x:c>
      <x:c r="R12" s="43" t="n">
        <x:f>P12-Q12</x:f>
        <x:v>4054.075</x:v>
      </x:c>
      <x:c r="S12" s="43" t="n">
        <x:f>R12-Inputs!$C$4</x:f>
        <x:v>-2945.925</x:v>
      </x:c>
      <x:c r="T12" s="71" t="n">
        <x:f>SUM(B12:F12)</x:f>
        <x:v>8</x:v>
      </x:c>
    </x:row>
    <x:row r="13">
      <x:c r="A13" s="55" t="n">
        <x:v>46508</x:v>
      </x:c>
      <x:c r="B13" s="41" t="n">
        <x:v>3</x:v>
      </x:c>
      <x:c r="C13" s="41" t="n">
        <x:v>3</x:v>
      </x:c>
      <x:c r="D13" s="41" t="n">
        <x:v>1</x:v>
      </x:c>
      <x:c r="E13" s="41" t="n">
        <x:v>1</x:v>
      </x:c>
      <x:c r="F13" s="41" t="n">
        <x:v>1</x:v>
      </x:c>
      <x:c r="G13" s="43" t="n">
        <x:f>B13*Inputs!$C$8+C13*Inputs!$C$9+D13*Inputs!$C$10+E13*Inputs!$C$11+F13*Inputs!$C$12</x:f>
        <x:v>7600</x:v>
      </x:c>
      <x:c r="H13" s="20" t="n">
        <x:v>31</x:v>
      </x:c>
      <x:c r="I13" s="20" t="n">
        <x:v>16</x:v>
      </x:c>
      <x:c r="J13" s="20" t="n">
        <x:v>4</x:v>
      </x:c>
      <x:c r="K13" s="43" t="n">
        <x:f>H13*Inputs!$C$13+I13*Inputs!$C$14+J13*Inputs!$C$15</x:f>
        <x:v>3899</x:v>
      </x:c>
      <x:c r="L13" s="43" t="n">
        <x:f>G13+K13</x:f>
        <x:v>11499</x:v>
      </x:c>
      <x:c r="M13" s="43" t="n">
        <x:f>B13*Inputs!$C$8*Inputs!$C$23+C13*Inputs!$C$9*Inputs!$C$24+D13*Inputs!$C$10*Inputs!$C$25+E13*Inputs!$C$11*Inputs!$C$26+F13*Inputs!$C$12*Inputs!$C$27</x:f>
        <x:v>2337.5</x:v>
      </x:c>
      <x:c r="N13" s="43" t="n">
        <x:f>L13-M13</x:f>
        <x:v>9161.5</x:v>
      </x:c>
      <x:c r="O13" s="43" t="n">
        <x:f>SUM(Inputs!$C$17:$C$22)</x:f>
        <x:v>3400</x:v>
      </x:c>
      <x:c r="P13" s="43" t="n">
        <x:f>N13-O13</x:f>
        <x:v>5761.5</x:v>
      </x:c>
      <x:c r="Q13" s="43" t="n">
        <x:f>MAX(P13,0)*Inputs!$C$7</x:f>
        <x:v>864.225</x:v>
      </x:c>
      <x:c r="R13" s="43" t="n">
        <x:f>P13-Q13</x:f>
        <x:v>4897.275</x:v>
      </x:c>
      <x:c r="S13" s="43" t="n">
        <x:f>R13-Inputs!$C$4</x:f>
        <x:v>-2102.7250000000004</x:v>
      </x:c>
      <x:c r="T13" s="71" t="n">
        <x:f>SUM(B13:F13)</x:f>
        <x:v>9</x:v>
      </x:c>
    </x:row>
    <x:row r="14">
      <x:c r="A14" s="55" t="n">
        <x:v>46539</x:v>
      </x:c>
      <x:c r="B14" s="41" t="n">
        <x:v>2</x:v>
      </x:c>
      <x:c r="C14" s="41" t="n">
        <x:v>4</x:v>
      </x:c>
      <x:c r="D14" s="41" t="n">
        <x:v>1</x:v>
      </x:c>
      <x:c r="E14" s="41" t="n">
        <x:v>2</x:v>
      </x:c>
      <x:c r="F14" s="41" t="n">
        <x:v>1</x:v>
      </x:c>
      <x:c r="G14" s="43" t="n">
        <x:f>B14*Inputs!$C$8+C14*Inputs!$C$9+D14*Inputs!$C$10+E14*Inputs!$C$11+F14*Inputs!$C$12</x:f>
        <x:v>8550</x:v>
      </x:c>
      <x:c r="H14" s="20" t="n">
        <x:v>36</x:v>
      </x:c>
      <x:c r="I14" s="20" t="n">
        <x:v>19</x:v>
      </x:c>
      <x:c r="J14" s="20" t="n">
        <x:v>5</x:v>
      </x:c>
      <x:c r="K14" s="43" t="n">
        <x:f>H14*Inputs!$C$13+I14*Inputs!$C$14+J14*Inputs!$C$15</x:f>
        <x:v>4640</x:v>
      </x:c>
      <x:c r="L14" s="43" t="n">
        <x:f>G14+K14</x:f>
        <x:v>13190</x:v>
      </x:c>
      <x:c r="M14" s="43" t="n">
        <x:f>B14*Inputs!$C$8*Inputs!$C$23+C14*Inputs!$C$9*Inputs!$C$24+D14*Inputs!$C$10*Inputs!$C$25+E14*Inputs!$C$11*Inputs!$C$26+F14*Inputs!$C$12*Inputs!$C$27</x:f>
        <x:v>2575</x:v>
      </x:c>
      <x:c r="N14" s="43" t="n">
        <x:f>L14-M14</x:f>
        <x:v>10615</x:v>
      </x:c>
      <x:c r="O14" s="43" t="n">
        <x:f>SUM(Inputs!$C$17:$C$22)</x:f>
        <x:v>3400</x:v>
      </x:c>
      <x:c r="P14" s="43" t="n">
        <x:f>N14-O14</x:f>
        <x:v>7215</x:v>
      </x:c>
      <x:c r="Q14" s="43" t="n">
        <x:f>MAX(P14,0)*Inputs!$C$7</x:f>
        <x:v>1082.25</x:v>
      </x:c>
      <x:c r="R14" s="43" t="n">
        <x:f>P14-Q14</x:f>
        <x:v>6132.75</x:v>
      </x:c>
      <x:c r="S14" s="43" t="n">
        <x:f>R14-Inputs!$C$4</x:f>
        <x:v>-867.25</x:v>
      </x:c>
      <x:c r="T14" s="71" t="n">
        <x:f>SUM(B14:F14)</x:f>
        <x:v>10</x:v>
      </x:c>
    </x:row>
    <x:row r="15">
      <x:c r="A15" s="55" t="n">
        <x:v>46569</x:v>
      </x:c>
      <x:c r="B15" s="41" t="n">
        <x:v>3</x:v>
      </x:c>
      <x:c r="C15" s="41" t="n">
        <x:v>4</x:v>
      </x:c>
      <x:c r="D15" s="41" t="n">
        <x:v>2</x:v>
      </x:c>
      <x:c r="E15" s="41" t="n">
        <x:v>2</x:v>
      </x:c>
      <x:c r="F15" s="41" t="n">
        <x:v>1</x:v>
      </x:c>
      <x:c r="G15" s="43" t="n">
        <x:f>B15*Inputs!$C$8+C15*Inputs!$C$9+D15*Inputs!$C$10+E15*Inputs!$C$11+F15*Inputs!$C$12</x:f>
        <x:v>10200</x:v>
      </x:c>
      <x:c r="H15" s="20" t="n">
        <x:v>42</x:v>
      </x:c>
      <x:c r="I15" s="20" t="n">
        <x:v>22</x:v>
      </x:c>
      <x:c r="J15" s="20" t="n">
        <x:v>6</x:v>
      </x:c>
      <x:c r="K15" s="43" t="n">
        <x:f>H15*Inputs!$C$13+I15*Inputs!$C$14+J15*Inputs!$C$15</x:f>
        <x:v>5430</x:v>
      </x:c>
      <x:c r="L15" s="43" t="n">
        <x:f>G15+K15</x:f>
        <x:v>15630</x:v>
      </x:c>
      <x:c r="M15" s="43" t="n">
        <x:f>B15*Inputs!$C$8*Inputs!$C$23+C15*Inputs!$C$9*Inputs!$C$24+D15*Inputs!$C$10*Inputs!$C$25+E15*Inputs!$C$11*Inputs!$C$26+F15*Inputs!$C$12*Inputs!$C$27</x:f>
        <x:v>3050</x:v>
      </x:c>
      <x:c r="N15" s="43" t="n">
        <x:f>L15-M15</x:f>
        <x:v>12580</x:v>
      </x:c>
      <x:c r="O15" s="43" t="n">
        <x:f>SUM(Inputs!$C$17:$C$22)</x:f>
        <x:v>3400</x:v>
      </x:c>
      <x:c r="P15" s="43" t="n">
        <x:f>N15-O15</x:f>
        <x:v>9180</x:v>
      </x:c>
      <x:c r="Q15" s="43" t="n">
        <x:f>MAX(P15,0)*Inputs!$C$7</x:f>
        <x:v>1377</x:v>
      </x:c>
      <x:c r="R15" s="43" t="n">
        <x:f>P15-Q15</x:f>
        <x:v>7803</x:v>
      </x:c>
      <x:c r="S15" s="43" t="n">
        <x:f>R15-Inputs!$C$4</x:f>
        <x:v>803</x:v>
      </x:c>
      <x:c r="T15" s="71" t="n">
        <x:f>SUM(B15:F15)</x:f>
        <x:v>12</x:v>
      </x:c>
    </x:row>
    <x:row r="16">
      <x:c r="A16" s="30"/>
      <x:c r="B16" s="61"/>
      <x:c r="C16" s="61"/>
      <x:c r="D16" s="61"/>
      <x:c r="E16" s="61"/>
      <x:c r="F16" s="61"/>
      <x:c r="G16" s="43"/>
      <x:c r="H16" s="65"/>
      <x:c r="I16" s="65"/>
      <x:c r="J16" s="65"/>
      <x:c r="K16" s="43"/>
      <x:c r="L16" s="43"/>
      <x:c r="M16" s="43"/>
      <x:c r="N16" s="43"/>
      <x:c r="O16" s="43"/>
      <x:c r="P16" s="43"/>
      <x:c r="Q16" s="43"/>
      <x:c r="R16" s="43"/>
      <x:c r="S16" s="43"/>
      <x:c r="T16" s="71"/>
    </x:row>
    <x:row r="17">
      <x:c r="A17" s="50" t="str">
        <x:v>TOTAL / AVERAGE</x:v>
      </x:c>
      <x:c r="B17" s="62" t="n">
        <x:f>SUM(B4:B15)</x:f>
        <x:v>25</x:v>
      </x:c>
      <x:c r="C17" s="62" t="n">
        <x:f>SUM(C4:C15)</x:f>
        <x:v>34</x:v>
      </x:c>
      <x:c r="D17" s="62" t="n">
        <x:f>SUM(D4:D15)</x:f>
        <x:v>12</x:v>
      </x:c>
      <x:c r="E17" s="62" t="n">
        <x:f>SUM(E4:E15)</x:f>
        <x:v>15</x:v>
      </x:c>
      <x:c r="F17" s="62" t="n">
        <x:f>SUM(F4:F15)</x:f>
        <x:v>6</x:v>
      </x:c>
      <x:c r="G17" s="66" t="n">
        <x:f>SUM(G4:G15)</x:f>
        <x:v>72600</x:v>
      </x:c>
      <x:c r="H17" s="67" t="n">
        <x:f>H15</x:f>
        <x:v>42</x:v>
      </x:c>
      <x:c r="I17" s="67" t="n">
        <x:f>I15</x:f>
        <x:v>22</x:v>
      </x:c>
      <x:c r="J17" s="67" t="n">
        <x:f>J15</x:f>
        <x:v>6</x:v>
      </x:c>
      <x:c r="K17" s="66" t="n">
        <x:f>SUM(K4:K15)</x:f>
        <x:v>29062</x:v>
      </x:c>
      <x:c r="L17" s="66" t="n">
        <x:f>SUM(L4:L15)</x:f>
        <x:v>101662</x:v>
      </x:c>
      <x:c r="M17" s="66" t="n">
        <x:f>SUM(M4:M15)</x:f>
        <x:v>21150</x:v>
      </x:c>
      <x:c r="N17" s="66" t="n">
        <x:f>SUM(N4:N15)</x:f>
        <x:v>80512</x:v>
      </x:c>
      <x:c r="O17" s="66" t="n">
        <x:f>SUM(O4:O15)</x:f>
        <x:v>40800</x:v>
      </x:c>
      <x:c r="P17" s="66" t="n">
        <x:f>SUM(P4:P15)</x:f>
        <x:v>39712</x:v>
      </x:c>
      <x:c r="Q17" s="66" t="n">
        <x:f>SUM(Q4:Q15)</x:f>
        <x:v>6085.35</x:v>
      </x:c>
      <x:c r="R17" s="66" t="n">
        <x:f>SUM(R4:R15)</x:f>
        <x:v>33626.65</x:v>
      </x:c>
      <x:c r="S17" s="66" t="n">
        <x:f>AVERAGE(S4:S15)</x:f>
        <x:v>-4197.779166666666</x:v>
      </x:c>
      <x:c r="T17" s="72" t="n">
        <x:f>SUM(T4:T15)</x:f>
        <x:v>92</x:v>
      </x:c>
    </x:row>
  </x:sheetData>
  <x:mergeCells>
    <x:mergeCell ref="A1:T1"/>
  </x:mergeCells>
  <x:conditionalFormatting sqref="S4:S15">
    <x:cfRule type="expression" dxfId="0" priority="1">
      <x:formula>S4&lt;0</x:formula>
    </x:cfRule>
    <x:cfRule type="expression" dxfId="1" priority="2">
      <x:formula>S4&gt;=0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17" hidden="0" customWidth="1"/>
    <x:col min="4" max="4" width="14" hidden="0" customWidth="1"/>
    <x:col min="5" max="5" width="14" hidden="0" customWidth="1"/>
    <x:col min="6" max="6" width="12" hidden="0" customWidth="1"/>
    <x:col min="7" max="7" width="13" hidden="0" customWidth="1"/>
    <x:col min="8" max="8" width="14" hidden="0" customWidth="1"/>
    <x:col min="9" max="9" width="14" hidden="0" customWidth="1"/>
    <x:col min="10" max="10" width="15" hidden="0" customWidth="1"/>
    <x:col min="11" max="11" width="16" hidden="0" customWidth="1"/>
    <x:col min="12" max="12" width="14" hidden="0" customWidth="1"/>
    <x:col min="13" max="13" width="13" hidden="0" customWidth="1"/>
    <x:col min="14" max="14" width="13" hidden="0" customWidth="1"/>
  </x:cols>
  <x:sheetData>
    <x:row r="1">
      <x:c r="A1" s="31" t="str">
        <x:v>Project Profitability Tracker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</x:row>
    <x:row r="3">
      <x:c r="A3" s="34" t="str">
        <x:v>Project ID</x:v>
      </x:c>
      <x:c r="B3" s="34" t="str">
        <x:v>Client</x:v>
      </x:c>
      <x:c r="C3" s="34" t="str">
        <x:v>Project Type</x:v>
      </x:c>
      <x:c r="D3" s="34" t="str">
        <x:v>Sale Price</x:v>
      </x:c>
      <x:c r="E3" s="34" t="str">
        <x:v>Estimated Hours</x:v>
      </x:c>
      <x:c r="F3" s="34" t="str">
        <x:v>Actual Hours</x:v>
      </x:c>
      <x:c r="G3" s="34" t="str">
        <x:v>Hourly Cost</x:v>
      </x:c>
      <x:c r="H3" s="34" t="str">
        <x:v>External Costs</x:v>
      </x:c>
      <x:c r="I3" s="34" t="str">
        <x:v>Software/API</x:v>
      </x:c>
      <x:c r="J3" s="34" t="str">
        <x:v>Other Direct Cost</x:v>
      </x:c>
      <x:c r="K3" s="34" t="str">
        <x:v>Total Direct Cost</x:v>
      </x:c>
      <x:c r="L3" s="34" t="str">
        <x:v>Gross Profit</x:v>
      </x:c>
      <x:c r="M3" s="34" t="str">
        <x:v>Gross Margin</x:v>
      </x:c>
      <x:c r="N3" s="34" t="str">
        <x:v>Status</x:v>
      </x:c>
    </x:row>
    <x:row r="4">
      <x:c r="A4" s="18" t="str">
        <x:v>EXAMPLE-001</x:v>
      </x:c>
      <x:c r="B4" s="18" t="str">
        <x:v>Примерен клиент</x:v>
      </x:c>
      <x:c r="C4" s="18" t="str">
        <x:v>PRO</x:v>
      </x:c>
      <x:c r="D4" s="20" t="n">
        <x:v>650</x:v>
      </x:c>
      <x:c r="E4" s="75" t="n">
        <x:v>25</x:v>
      </x:c>
      <x:c r="F4" s="75" t="n">
        <x:v>24</x:v>
      </x:c>
      <x:c r="G4" s="43" t="n">
        <x:f>Inputs!$C$16</x:f>
        <x:v>20</x:v>
      </x:c>
      <x:c r="H4" s="20" t="n">
        <x:v>50</x:v>
      </x:c>
      <x:c r="I4" s="20" t="n">
        <x:v>30</x:v>
      </x:c>
      <x:c r="J4" s="20" t="n">
        <x:v>0</x:v>
      </x:c>
      <x:c r="K4" s="44" t="n">
        <x:f>IF(A4="","",F4*G4+H4+I4+J4)</x:f>
        <x:v>560</x:v>
      </x:c>
      <x:c r="L4" s="44" t="n">
        <x:f>IF(A4="","",D4-K4)</x:f>
        <x:v>90</x:v>
      </x:c>
      <x:c r="M4" s="47" t="n">
        <x:f>IFERROR(L4/D4,"")</x:f>
        <x:v>0.13846153846153847</x:v>
      </x:c>
      <x:c r="N4" s="18" t="str">
        <x:v>Пример</x:v>
      </x:c>
    </x:row>
    <x:row r="5">
      <x:c r="A5" s="18"/>
      <x:c r="B5" s="18"/>
      <x:c r="C5" s="18"/>
      <x:c r="D5" s="20"/>
      <x:c r="E5" s="75"/>
      <x:c r="F5" s="75"/>
      <x:c r="G5" s="43" t="n">
        <x:f>Inputs!$C$16</x:f>
        <x:v>20</x:v>
      </x:c>
      <x:c r="H5" s="20"/>
      <x:c r="I5" s="20"/>
      <x:c r="J5" s="20"/>
      <x:c r="K5" s="44" t="str">
        <x:f>IF(A5="","",F5*G5+H5+I5+J5)</x:f>
      </x:c>
      <x:c r="L5" s="44" t="str">
        <x:f>IF(A5="","",D5-K5)</x:f>
      </x:c>
      <x:c r="M5" s="47" t="str">
        <x:f>IFERROR(L5/D5,"")</x:f>
      </x:c>
      <x:c r="N5" s="18"/>
    </x:row>
    <x:row r="6">
      <x:c r="A6" s="18"/>
      <x:c r="B6" s="18"/>
      <x:c r="C6" s="18"/>
      <x:c r="D6" s="20"/>
      <x:c r="E6" s="75"/>
      <x:c r="F6" s="75"/>
      <x:c r="G6" s="43" t="n">
        <x:f>Inputs!$C$16</x:f>
        <x:v>20</x:v>
      </x:c>
      <x:c r="H6" s="20"/>
      <x:c r="I6" s="20"/>
      <x:c r="J6" s="20"/>
      <x:c r="K6" s="44" t="str">
        <x:f>IF(A6="","",F6*G6+H6+I6+J6)</x:f>
      </x:c>
      <x:c r="L6" s="44" t="str">
        <x:f>IF(A6="","",D6-K6)</x:f>
      </x:c>
      <x:c r="M6" s="47" t="str">
        <x:f>IFERROR(L6/D6,"")</x:f>
      </x:c>
      <x:c r="N6" s="18"/>
    </x:row>
    <x:row r="7">
      <x:c r="A7" s="18"/>
      <x:c r="B7" s="18"/>
      <x:c r="C7" s="18"/>
      <x:c r="D7" s="20"/>
      <x:c r="E7" s="75"/>
      <x:c r="F7" s="75"/>
      <x:c r="G7" s="43" t="n">
        <x:f>Inputs!$C$16</x:f>
        <x:v>20</x:v>
      </x:c>
      <x:c r="H7" s="20"/>
      <x:c r="I7" s="20"/>
      <x:c r="J7" s="20"/>
      <x:c r="K7" s="44" t="str">
        <x:f>IF(A7="","",F7*G7+H7+I7+J7)</x:f>
      </x:c>
      <x:c r="L7" s="44" t="str">
        <x:f>IF(A7="","",D7-K7)</x:f>
      </x:c>
      <x:c r="M7" s="47" t="str">
        <x:f>IFERROR(L7/D7,"")</x:f>
      </x:c>
      <x:c r="N7" s="18"/>
    </x:row>
    <x:row r="8">
      <x:c r="A8" s="18"/>
      <x:c r="B8" s="18"/>
      <x:c r="C8" s="18"/>
      <x:c r="D8" s="20"/>
      <x:c r="E8" s="75"/>
      <x:c r="F8" s="75"/>
      <x:c r="G8" s="43" t="n">
        <x:f>Inputs!$C$16</x:f>
        <x:v>20</x:v>
      </x:c>
      <x:c r="H8" s="20"/>
      <x:c r="I8" s="20"/>
      <x:c r="J8" s="20"/>
      <x:c r="K8" s="44" t="str">
        <x:f>IF(A8="","",F8*G8+H8+I8+J8)</x:f>
      </x:c>
      <x:c r="L8" s="44" t="str">
        <x:f>IF(A8="","",D8-K8)</x:f>
      </x:c>
      <x:c r="M8" s="47" t="str">
        <x:f>IFERROR(L8/D8,"")</x:f>
      </x:c>
      <x:c r="N8" s="18"/>
    </x:row>
    <x:row r="9">
      <x:c r="A9" s="18"/>
      <x:c r="B9" s="18"/>
      <x:c r="C9" s="18"/>
      <x:c r="D9" s="20"/>
      <x:c r="E9" s="75"/>
      <x:c r="F9" s="75"/>
      <x:c r="G9" s="43" t="n">
        <x:f>Inputs!$C$16</x:f>
        <x:v>20</x:v>
      </x:c>
      <x:c r="H9" s="20"/>
      <x:c r="I9" s="20"/>
      <x:c r="J9" s="20"/>
      <x:c r="K9" s="44" t="str">
        <x:f>IF(A9="","",F9*G9+H9+I9+J9)</x:f>
      </x:c>
      <x:c r="L9" s="44" t="str">
        <x:f>IF(A9="","",D9-K9)</x:f>
      </x:c>
      <x:c r="M9" s="47" t="str">
        <x:f>IFERROR(L9/D9,"")</x:f>
      </x:c>
      <x:c r="N9" s="18"/>
    </x:row>
    <x:row r="10">
      <x:c r="A10" s="18"/>
      <x:c r="B10" s="18"/>
      <x:c r="C10" s="18"/>
      <x:c r="D10" s="20"/>
      <x:c r="E10" s="75"/>
      <x:c r="F10" s="75"/>
      <x:c r="G10" s="43" t="n">
        <x:f>Inputs!$C$16</x:f>
        <x:v>20</x:v>
      </x:c>
      <x:c r="H10" s="20"/>
      <x:c r="I10" s="20"/>
      <x:c r="J10" s="20"/>
      <x:c r="K10" s="44" t="str">
        <x:f>IF(A10="","",F10*G10+H10+I10+J10)</x:f>
      </x:c>
      <x:c r="L10" s="44" t="str">
        <x:f>IF(A10="","",D10-K10)</x:f>
      </x:c>
      <x:c r="M10" s="47" t="str">
        <x:f>IFERROR(L10/D10,"")</x:f>
      </x:c>
      <x:c r="N10" s="18"/>
    </x:row>
    <x:row r="11">
      <x:c r="A11" s="18"/>
      <x:c r="B11" s="18"/>
      <x:c r="C11" s="18"/>
      <x:c r="D11" s="20"/>
      <x:c r="E11" s="75"/>
      <x:c r="F11" s="75"/>
      <x:c r="G11" s="43" t="n">
        <x:f>Inputs!$C$16</x:f>
        <x:v>20</x:v>
      </x:c>
      <x:c r="H11" s="20"/>
      <x:c r="I11" s="20"/>
      <x:c r="J11" s="20"/>
      <x:c r="K11" s="44" t="str">
        <x:f>IF(A11="","",F11*G11+H11+I11+J11)</x:f>
      </x:c>
      <x:c r="L11" s="44" t="str">
        <x:f>IF(A11="","",D11-K11)</x:f>
      </x:c>
      <x:c r="M11" s="47" t="str">
        <x:f>IFERROR(L11/D11,"")</x:f>
      </x:c>
      <x:c r="N11" s="18"/>
    </x:row>
    <x:row r="12">
      <x:c r="A12" s="18"/>
      <x:c r="B12" s="18"/>
      <x:c r="C12" s="18"/>
      <x:c r="D12" s="20"/>
      <x:c r="E12" s="75"/>
      <x:c r="F12" s="75"/>
      <x:c r="G12" s="43" t="n">
        <x:f>Inputs!$C$16</x:f>
        <x:v>20</x:v>
      </x:c>
      <x:c r="H12" s="20"/>
      <x:c r="I12" s="20"/>
      <x:c r="J12" s="20"/>
      <x:c r="K12" s="44" t="str">
        <x:f>IF(A12="","",F12*G12+H12+I12+J12)</x:f>
      </x:c>
      <x:c r="L12" s="44" t="str">
        <x:f>IF(A12="","",D12-K12)</x:f>
      </x:c>
      <x:c r="M12" s="47" t="str">
        <x:f>IFERROR(L12/D12,"")</x:f>
      </x:c>
      <x:c r="N12" s="18"/>
    </x:row>
    <x:row r="13">
      <x:c r="A13" s="18"/>
      <x:c r="B13" s="18"/>
      <x:c r="C13" s="18"/>
      <x:c r="D13" s="20"/>
      <x:c r="E13" s="75"/>
      <x:c r="F13" s="75"/>
      <x:c r="G13" s="43" t="n">
        <x:f>Inputs!$C$16</x:f>
        <x:v>20</x:v>
      </x:c>
      <x:c r="H13" s="20"/>
      <x:c r="I13" s="20"/>
      <x:c r="J13" s="20"/>
      <x:c r="K13" s="44" t="str">
        <x:f>IF(A13="","",F13*G13+H13+I13+J13)</x:f>
      </x:c>
      <x:c r="L13" s="44" t="str">
        <x:f>IF(A13="","",D13-K13)</x:f>
      </x:c>
      <x:c r="M13" s="47" t="str">
        <x:f>IFERROR(L13/D13,"")</x:f>
      </x:c>
      <x:c r="N13" s="18"/>
    </x:row>
    <x:row r="14">
      <x:c r="A14" s="18"/>
      <x:c r="B14" s="18"/>
      <x:c r="C14" s="18"/>
      <x:c r="D14" s="20"/>
      <x:c r="E14" s="75"/>
      <x:c r="F14" s="75"/>
      <x:c r="G14" s="43" t="n">
        <x:f>Inputs!$C$16</x:f>
        <x:v>20</x:v>
      </x:c>
      <x:c r="H14" s="20"/>
      <x:c r="I14" s="20"/>
      <x:c r="J14" s="20"/>
      <x:c r="K14" s="44" t="str">
        <x:f>IF(A14="","",F14*G14+H14+I14+J14)</x:f>
      </x:c>
      <x:c r="L14" s="44" t="str">
        <x:f>IF(A14="","",D14-K14)</x:f>
      </x:c>
      <x:c r="M14" s="47" t="str">
        <x:f>IFERROR(L14/D14,"")</x:f>
      </x:c>
      <x:c r="N14" s="18"/>
    </x:row>
    <x:row r="15">
      <x:c r="A15" s="18"/>
      <x:c r="B15" s="18"/>
      <x:c r="C15" s="18"/>
      <x:c r="D15" s="20"/>
      <x:c r="E15" s="75"/>
      <x:c r="F15" s="75"/>
      <x:c r="G15" s="43" t="n">
        <x:f>Inputs!$C$16</x:f>
        <x:v>20</x:v>
      </x:c>
      <x:c r="H15" s="20"/>
      <x:c r="I15" s="20"/>
      <x:c r="J15" s="20"/>
      <x:c r="K15" s="44" t="str">
        <x:f>IF(A15="","",F15*G15+H15+I15+J15)</x:f>
      </x:c>
      <x:c r="L15" s="44" t="str">
        <x:f>IF(A15="","",D15-K15)</x:f>
      </x:c>
      <x:c r="M15" s="47" t="str">
        <x:f>IFERROR(L15/D15,"")</x:f>
      </x:c>
      <x:c r="N15" s="18"/>
    </x:row>
    <x:row r="16">
      <x:c r="A16" s="18"/>
      <x:c r="B16" s="18"/>
      <x:c r="C16" s="18"/>
      <x:c r="D16" s="20"/>
      <x:c r="E16" s="75"/>
      <x:c r="F16" s="75"/>
      <x:c r="G16" s="43" t="n">
        <x:f>Inputs!$C$16</x:f>
        <x:v>20</x:v>
      </x:c>
      <x:c r="H16" s="20"/>
      <x:c r="I16" s="20"/>
      <x:c r="J16" s="20"/>
      <x:c r="K16" s="44" t="str">
        <x:f>IF(A16="","",F16*G16+H16+I16+J16)</x:f>
      </x:c>
      <x:c r="L16" s="44" t="str">
        <x:f>IF(A16="","",D16-K16)</x:f>
      </x:c>
      <x:c r="M16" s="47" t="str">
        <x:f>IFERROR(L16/D16,"")</x:f>
      </x:c>
      <x:c r="N16" s="18"/>
    </x:row>
    <x:row r="17">
      <x:c r="A17" s="18"/>
      <x:c r="B17" s="18"/>
      <x:c r="C17" s="18"/>
      <x:c r="D17" s="20"/>
      <x:c r="E17" s="75"/>
      <x:c r="F17" s="75"/>
      <x:c r="G17" s="43" t="n">
        <x:f>Inputs!$C$16</x:f>
        <x:v>20</x:v>
      </x:c>
      <x:c r="H17" s="20"/>
      <x:c r="I17" s="20"/>
      <x:c r="J17" s="20"/>
      <x:c r="K17" s="44" t="str">
        <x:f>IF(A17="","",F17*G17+H17+I17+J17)</x:f>
      </x:c>
      <x:c r="L17" s="44" t="str">
        <x:f>IF(A17="","",D17-K17)</x:f>
      </x:c>
      <x:c r="M17" s="47" t="str">
        <x:f>IFERROR(L17/D17,"")</x:f>
      </x:c>
      <x:c r="N17" s="18"/>
    </x:row>
    <x:row r="18">
      <x:c r="A18" s="18"/>
      <x:c r="B18" s="18"/>
      <x:c r="C18" s="18"/>
      <x:c r="D18" s="20"/>
      <x:c r="E18" s="75"/>
      <x:c r="F18" s="75"/>
      <x:c r="G18" s="43" t="n">
        <x:f>Inputs!$C$16</x:f>
        <x:v>20</x:v>
      </x:c>
      <x:c r="H18" s="20"/>
      <x:c r="I18" s="20"/>
      <x:c r="J18" s="20"/>
      <x:c r="K18" s="44" t="str">
        <x:f>IF(A18="","",F18*G18+H18+I18+J18)</x:f>
      </x:c>
      <x:c r="L18" s="44" t="str">
        <x:f>IF(A18="","",D18-K18)</x:f>
      </x:c>
      <x:c r="M18" s="47" t="str">
        <x:f>IFERROR(L18/D18,"")</x:f>
      </x:c>
      <x:c r="N18" s="18"/>
    </x:row>
    <x:row r="19">
      <x:c r="A19" s="18"/>
      <x:c r="B19" s="18"/>
      <x:c r="C19" s="18"/>
      <x:c r="D19" s="20"/>
      <x:c r="E19" s="75"/>
      <x:c r="F19" s="75"/>
      <x:c r="G19" s="43" t="n">
        <x:f>Inputs!$C$16</x:f>
        <x:v>20</x:v>
      </x:c>
      <x:c r="H19" s="20"/>
      <x:c r="I19" s="20"/>
      <x:c r="J19" s="20"/>
      <x:c r="K19" s="44" t="str">
        <x:f>IF(A19="","",F19*G19+H19+I19+J19)</x:f>
      </x:c>
      <x:c r="L19" s="44" t="str">
        <x:f>IF(A19="","",D19-K19)</x:f>
      </x:c>
      <x:c r="M19" s="47" t="str">
        <x:f>IFERROR(L19/D19,"")</x:f>
      </x:c>
      <x:c r="N19" s="18"/>
    </x:row>
    <x:row r="20">
      <x:c r="A20" s="18"/>
      <x:c r="B20" s="18"/>
      <x:c r="C20" s="18"/>
      <x:c r="D20" s="20"/>
      <x:c r="E20" s="75"/>
      <x:c r="F20" s="75"/>
      <x:c r="G20" s="43" t="n">
        <x:f>Inputs!$C$16</x:f>
        <x:v>20</x:v>
      </x:c>
      <x:c r="H20" s="20"/>
      <x:c r="I20" s="20"/>
      <x:c r="J20" s="20"/>
      <x:c r="K20" s="44" t="str">
        <x:f>IF(A20="","",F20*G20+H20+I20+J20)</x:f>
      </x:c>
      <x:c r="L20" s="44" t="str">
        <x:f>IF(A20="","",D20-K20)</x:f>
      </x:c>
      <x:c r="M20" s="47" t="str">
        <x:f>IFERROR(L20/D20,"")</x:f>
      </x:c>
      <x:c r="N20" s="18"/>
    </x:row>
    <x:row r="21">
      <x:c r="A21" s="18"/>
      <x:c r="B21" s="18"/>
      <x:c r="C21" s="18"/>
      <x:c r="D21" s="20"/>
      <x:c r="E21" s="75"/>
      <x:c r="F21" s="75"/>
      <x:c r="G21" s="43" t="n">
        <x:f>Inputs!$C$16</x:f>
        <x:v>20</x:v>
      </x:c>
      <x:c r="H21" s="20"/>
      <x:c r="I21" s="20"/>
      <x:c r="J21" s="20"/>
      <x:c r="K21" s="44" t="str">
        <x:f>IF(A21="","",F21*G21+H21+I21+J21)</x:f>
      </x:c>
      <x:c r="L21" s="44" t="str">
        <x:f>IF(A21="","",D21-K21)</x:f>
      </x:c>
      <x:c r="M21" s="47" t="str">
        <x:f>IFERROR(L21/D21,"")</x:f>
      </x:c>
      <x:c r="N21" s="18"/>
    </x:row>
    <x:row r="22">
      <x:c r="A22" s="18"/>
      <x:c r="B22" s="18"/>
      <x:c r="C22" s="18"/>
      <x:c r="D22" s="20"/>
      <x:c r="E22" s="75"/>
      <x:c r="F22" s="75"/>
      <x:c r="G22" s="43" t="n">
        <x:f>Inputs!$C$16</x:f>
        <x:v>20</x:v>
      </x:c>
      <x:c r="H22" s="20"/>
      <x:c r="I22" s="20"/>
      <x:c r="J22" s="20"/>
      <x:c r="K22" s="44" t="str">
        <x:f>IF(A22="","",F22*G22+H22+I22+J22)</x:f>
      </x:c>
      <x:c r="L22" s="44" t="str">
        <x:f>IF(A22="","",D22-K22)</x:f>
      </x:c>
      <x:c r="M22" s="47" t="str">
        <x:f>IFERROR(L22/D22,"")</x:f>
      </x:c>
      <x:c r="N22" s="18"/>
    </x:row>
    <x:row r="23">
      <x:c r="A23" s="18"/>
      <x:c r="B23" s="18"/>
      <x:c r="C23" s="18"/>
      <x:c r="D23" s="20"/>
      <x:c r="E23" s="75"/>
      <x:c r="F23" s="75"/>
      <x:c r="G23" s="43" t="n">
        <x:f>Inputs!$C$16</x:f>
        <x:v>20</x:v>
      </x:c>
      <x:c r="H23" s="20"/>
      <x:c r="I23" s="20"/>
      <x:c r="J23" s="20"/>
      <x:c r="K23" s="44" t="str">
        <x:f>IF(A23="","",F23*G23+H23+I23+J23)</x:f>
      </x:c>
      <x:c r="L23" s="44" t="str">
        <x:f>IF(A23="","",D23-K23)</x:f>
      </x:c>
      <x:c r="M23" s="47" t="str">
        <x:f>IFERROR(L23/D23,"")</x:f>
      </x:c>
      <x:c r="N23" s="18"/>
    </x:row>
    <x:row r="24">
      <x:c r="A24" s="18"/>
      <x:c r="B24" s="18"/>
      <x:c r="C24" s="18"/>
      <x:c r="D24" s="20"/>
      <x:c r="E24" s="75"/>
      <x:c r="F24" s="75"/>
      <x:c r="G24" s="43" t="n">
        <x:f>Inputs!$C$16</x:f>
        <x:v>20</x:v>
      </x:c>
      <x:c r="H24" s="20"/>
      <x:c r="I24" s="20"/>
      <x:c r="J24" s="20"/>
      <x:c r="K24" s="44" t="str">
        <x:f>IF(A24="","",F24*G24+H24+I24+J24)</x:f>
      </x:c>
      <x:c r="L24" s="44" t="str">
        <x:f>IF(A24="","",D24-K24)</x:f>
      </x:c>
      <x:c r="M24" s="47" t="str">
        <x:f>IFERROR(L24/D24,"")</x:f>
      </x:c>
      <x:c r="N24" s="18"/>
    </x:row>
    <x:row r="25">
      <x:c r="A25" s="18"/>
      <x:c r="B25" s="18"/>
      <x:c r="C25" s="18"/>
      <x:c r="D25" s="20"/>
      <x:c r="E25" s="75"/>
      <x:c r="F25" s="75"/>
      <x:c r="G25" s="43" t="n">
        <x:f>Inputs!$C$16</x:f>
        <x:v>20</x:v>
      </x:c>
      <x:c r="H25" s="20"/>
      <x:c r="I25" s="20"/>
      <x:c r="J25" s="20"/>
      <x:c r="K25" s="44" t="str">
        <x:f>IF(A25="","",F25*G25+H25+I25+J25)</x:f>
      </x:c>
      <x:c r="L25" s="44" t="str">
        <x:f>IF(A25="","",D25-K25)</x:f>
      </x:c>
      <x:c r="M25" s="47" t="str">
        <x:f>IFERROR(L25/D25,"")</x:f>
      </x:c>
      <x:c r="N25" s="18"/>
    </x:row>
    <x:row r="26">
      <x:c r="A26" s="18"/>
      <x:c r="B26" s="18"/>
      <x:c r="C26" s="18"/>
      <x:c r="D26" s="20"/>
      <x:c r="E26" s="75"/>
      <x:c r="F26" s="75"/>
      <x:c r="G26" s="43" t="n">
        <x:f>Inputs!$C$16</x:f>
        <x:v>20</x:v>
      </x:c>
      <x:c r="H26" s="20"/>
      <x:c r="I26" s="20"/>
      <x:c r="J26" s="20"/>
      <x:c r="K26" s="44" t="str">
        <x:f>IF(A26="","",F26*G26+H26+I26+J26)</x:f>
      </x:c>
      <x:c r="L26" s="44" t="str">
        <x:f>IF(A26="","",D26-K26)</x:f>
      </x:c>
      <x:c r="M26" s="47" t="str">
        <x:f>IFERROR(L26/D26,"")</x:f>
      </x:c>
      <x:c r="N26" s="18"/>
    </x:row>
    <x:row r="27">
      <x:c r="A27" s="18"/>
      <x:c r="B27" s="18"/>
      <x:c r="C27" s="18"/>
      <x:c r="D27" s="20"/>
      <x:c r="E27" s="75"/>
      <x:c r="F27" s="75"/>
      <x:c r="G27" s="43" t="n">
        <x:f>Inputs!$C$16</x:f>
        <x:v>20</x:v>
      </x:c>
      <x:c r="H27" s="20"/>
      <x:c r="I27" s="20"/>
      <x:c r="J27" s="20"/>
      <x:c r="K27" s="44" t="str">
        <x:f>IF(A27="","",F27*G27+H27+I27+J27)</x:f>
      </x:c>
      <x:c r="L27" s="44" t="str">
        <x:f>IF(A27="","",D27-K27)</x:f>
      </x:c>
      <x:c r="M27" s="47" t="str">
        <x:f>IFERROR(L27/D27,"")</x:f>
      </x:c>
      <x:c r="N27" s="18"/>
    </x:row>
    <x:row r="28">
      <x:c r="A28" s="18"/>
      <x:c r="B28" s="18"/>
      <x:c r="C28" s="18"/>
      <x:c r="D28" s="20"/>
      <x:c r="E28" s="75"/>
      <x:c r="F28" s="75"/>
      <x:c r="G28" s="43" t="n">
        <x:f>Inputs!$C$16</x:f>
        <x:v>20</x:v>
      </x:c>
      <x:c r="H28" s="20"/>
      <x:c r="I28" s="20"/>
      <x:c r="J28" s="20"/>
      <x:c r="K28" s="44" t="str">
        <x:f>IF(A28="","",F28*G28+H28+I28+J28)</x:f>
      </x:c>
      <x:c r="L28" s="44" t="str">
        <x:f>IF(A28="","",D28-K28)</x:f>
      </x:c>
      <x:c r="M28" s="47" t="str">
        <x:f>IFERROR(L28/D28,"")</x:f>
      </x:c>
      <x:c r="N28" s="18"/>
    </x:row>
    <x:row r="29">
      <x:c r="A29" s="18"/>
      <x:c r="B29" s="18"/>
      <x:c r="C29" s="18"/>
      <x:c r="D29" s="20"/>
      <x:c r="E29" s="75"/>
      <x:c r="F29" s="75"/>
      <x:c r="G29" s="43" t="n">
        <x:f>Inputs!$C$16</x:f>
        <x:v>20</x:v>
      </x:c>
      <x:c r="H29" s="20"/>
      <x:c r="I29" s="20"/>
      <x:c r="J29" s="20"/>
      <x:c r="K29" s="44" t="str">
        <x:f>IF(A29="","",F29*G29+H29+I29+J29)</x:f>
      </x:c>
      <x:c r="L29" s="44" t="str">
        <x:f>IF(A29="","",D29-K29)</x:f>
      </x:c>
      <x:c r="M29" s="47" t="str">
        <x:f>IFERROR(L29/D29,"")</x:f>
      </x:c>
      <x:c r="N29" s="18"/>
    </x:row>
    <x:row r="30">
      <x:c r="A30" s="18"/>
      <x:c r="B30" s="18"/>
      <x:c r="C30" s="18"/>
      <x:c r="D30" s="20"/>
      <x:c r="E30" s="75"/>
      <x:c r="F30" s="75"/>
      <x:c r="G30" s="43" t="n">
        <x:f>Inputs!$C$16</x:f>
        <x:v>20</x:v>
      </x:c>
      <x:c r="H30" s="20"/>
      <x:c r="I30" s="20"/>
      <x:c r="J30" s="20"/>
      <x:c r="K30" s="44" t="str">
        <x:f>IF(A30="","",F30*G30+H30+I30+J30)</x:f>
      </x:c>
      <x:c r="L30" s="44" t="str">
        <x:f>IF(A30="","",D30-K30)</x:f>
      </x:c>
      <x:c r="M30" s="47" t="str">
        <x:f>IFERROR(L30/D30,"")</x:f>
      </x:c>
      <x:c r="N30" s="18"/>
    </x:row>
    <x:row r="31">
      <x:c r="A31" s="18"/>
      <x:c r="B31" s="18"/>
      <x:c r="C31" s="18"/>
      <x:c r="D31" s="20"/>
      <x:c r="E31" s="75"/>
      <x:c r="F31" s="75"/>
      <x:c r="G31" s="43" t="n">
        <x:f>Inputs!$C$16</x:f>
        <x:v>20</x:v>
      </x:c>
      <x:c r="H31" s="20"/>
      <x:c r="I31" s="20"/>
      <x:c r="J31" s="20"/>
      <x:c r="K31" s="44" t="str">
        <x:f>IF(A31="","",F31*G31+H31+I31+J31)</x:f>
      </x:c>
      <x:c r="L31" s="44" t="str">
        <x:f>IF(A31="","",D31-K31)</x:f>
      </x:c>
      <x:c r="M31" s="47" t="str">
        <x:f>IFERROR(L31/D31,"")</x:f>
      </x:c>
      <x:c r="N31" s="18"/>
    </x:row>
    <x:row r="32">
      <x:c r="A32" s="18"/>
      <x:c r="B32" s="18"/>
      <x:c r="C32" s="18"/>
      <x:c r="D32" s="20"/>
      <x:c r="E32" s="75"/>
      <x:c r="F32" s="75"/>
      <x:c r="G32" s="43" t="n">
        <x:f>Inputs!$C$16</x:f>
        <x:v>20</x:v>
      </x:c>
      <x:c r="H32" s="20"/>
      <x:c r="I32" s="20"/>
      <x:c r="J32" s="20"/>
      <x:c r="K32" s="44" t="str">
        <x:f>IF(A32="","",F32*G32+H32+I32+J32)</x:f>
      </x:c>
      <x:c r="L32" s="44" t="str">
        <x:f>IF(A32="","",D32-K32)</x:f>
      </x:c>
      <x:c r="M32" s="47" t="str">
        <x:f>IFERROR(L32/D32,"")</x:f>
      </x:c>
      <x:c r="N32" s="18"/>
    </x:row>
    <x:row r="33">
      <x:c r="A33" s="18"/>
      <x:c r="B33" s="18"/>
      <x:c r="C33" s="18"/>
      <x:c r="D33" s="20"/>
      <x:c r="E33" s="75"/>
      <x:c r="F33" s="75"/>
      <x:c r="G33" s="43" t="n">
        <x:f>Inputs!$C$16</x:f>
        <x:v>20</x:v>
      </x:c>
      <x:c r="H33" s="20"/>
      <x:c r="I33" s="20"/>
      <x:c r="J33" s="20"/>
      <x:c r="K33" s="44" t="str">
        <x:f>IF(A33="","",F33*G33+H33+I33+J33)</x:f>
      </x:c>
      <x:c r="L33" s="44" t="str">
        <x:f>IF(A33="","",D33-K33)</x:f>
      </x:c>
      <x:c r="M33" s="47" t="str">
        <x:f>IFERROR(L33/D33,"")</x:f>
      </x:c>
      <x:c r="N33" s="18"/>
    </x:row>
    <x:row r="34">
      <x:c r="A34" s="18"/>
      <x:c r="B34" s="18"/>
      <x:c r="C34" s="18"/>
      <x:c r="D34" s="20"/>
      <x:c r="E34" s="75"/>
      <x:c r="F34" s="75"/>
      <x:c r="G34" s="43" t="n">
        <x:f>Inputs!$C$16</x:f>
        <x:v>20</x:v>
      </x:c>
      <x:c r="H34" s="20"/>
      <x:c r="I34" s="20"/>
      <x:c r="J34" s="20"/>
      <x:c r="K34" s="44" t="str">
        <x:f>IF(A34="","",F34*G34+H34+I34+J34)</x:f>
      </x:c>
      <x:c r="L34" s="44" t="str">
        <x:f>IF(A34="","",D34-K34)</x:f>
      </x:c>
      <x:c r="M34" s="47" t="str">
        <x:f>IFERROR(L34/D34,"")</x:f>
      </x:c>
      <x:c r="N34" s="18"/>
    </x:row>
    <x:row r="35">
      <x:c r="A35" s="18"/>
      <x:c r="B35" s="18"/>
      <x:c r="C35" s="18"/>
      <x:c r="D35" s="20"/>
      <x:c r="E35" s="75"/>
      <x:c r="F35" s="75"/>
      <x:c r="G35" s="43" t="n">
        <x:f>Inputs!$C$16</x:f>
        <x:v>20</x:v>
      </x:c>
      <x:c r="H35" s="20"/>
      <x:c r="I35" s="20"/>
      <x:c r="J35" s="20"/>
      <x:c r="K35" s="44" t="str">
        <x:f>IF(A35="","",F35*G35+H35+I35+J35)</x:f>
      </x:c>
      <x:c r="L35" s="44" t="str">
        <x:f>IF(A35="","",D35-K35)</x:f>
      </x:c>
      <x:c r="M35" s="47" t="str">
        <x:f>IFERROR(L35/D35,"")</x:f>
      </x:c>
      <x:c r="N35" s="18"/>
    </x:row>
    <x:row r="36">
      <x:c r="A36" s="18"/>
      <x:c r="B36" s="18"/>
      <x:c r="C36" s="18"/>
      <x:c r="D36" s="20"/>
      <x:c r="E36" s="75"/>
      <x:c r="F36" s="75"/>
      <x:c r="G36" s="43" t="n">
        <x:f>Inputs!$C$16</x:f>
        <x:v>20</x:v>
      </x:c>
      <x:c r="H36" s="20"/>
      <x:c r="I36" s="20"/>
      <x:c r="J36" s="20"/>
      <x:c r="K36" s="44" t="str">
        <x:f>IF(A36="","",F36*G36+H36+I36+J36)</x:f>
      </x:c>
      <x:c r="L36" s="44" t="str">
        <x:f>IF(A36="","",D36-K36)</x:f>
      </x:c>
      <x:c r="M36" s="47" t="str">
        <x:f>IFERROR(L36/D36,"")</x:f>
      </x:c>
      <x:c r="N36" s="18"/>
    </x:row>
    <x:row r="37">
      <x:c r="A37" s="18"/>
      <x:c r="B37" s="18"/>
      <x:c r="C37" s="18"/>
      <x:c r="D37" s="20"/>
      <x:c r="E37" s="75"/>
      <x:c r="F37" s="75"/>
      <x:c r="G37" s="43" t="n">
        <x:f>Inputs!$C$16</x:f>
        <x:v>20</x:v>
      </x:c>
      <x:c r="H37" s="20"/>
      <x:c r="I37" s="20"/>
      <x:c r="J37" s="20"/>
      <x:c r="K37" s="44" t="str">
        <x:f>IF(A37="","",F37*G37+H37+I37+J37)</x:f>
      </x:c>
      <x:c r="L37" s="44" t="str">
        <x:f>IF(A37="","",D37-K37)</x:f>
      </x:c>
      <x:c r="M37" s="47" t="str">
        <x:f>IFERROR(L37/D37,"")</x:f>
      </x:c>
      <x:c r="N37" s="18"/>
    </x:row>
    <x:row r="38">
      <x:c r="A38" s="18"/>
      <x:c r="B38" s="18"/>
      <x:c r="C38" s="18"/>
      <x:c r="D38" s="20"/>
      <x:c r="E38" s="75"/>
      <x:c r="F38" s="75"/>
      <x:c r="G38" s="43" t="n">
        <x:f>Inputs!$C$16</x:f>
        <x:v>20</x:v>
      </x:c>
      <x:c r="H38" s="20"/>
      <x:c r="I38" s="20"/>
      <x:c r="J38" s="20"/>
      <x:c r="K38" s="44" t="str">
        <x:f>IF(A38="","",F38*G38+H38+I38+J38)</x:f>
      </x:c>
      <x:c r="L38" s="44" t="str">
        <x:f>IF(A38="","",D38-K38)</x:f>
      </x:c>
      <x:c r="M38" s="47" t="str">
        <x:f>IFERROR(L38/D38,"")</x:f>
      </x:c>
      <x:c r="N38" s="18"/>
    </x:row>
    <x:row r="39">
      <x:c r="A39" s="18"/>
      <x:c r="B39" s="18"/>
      <x:c r="C39" s="18"/>
      <x:c r="D39" s="20"/>
      <x:c r="E39" s="75"/>
      <x:c r="F39" s="75"/>
      <x:c r="G39" s="43" t="n">
        <x:f>Inputs!$C$16</x:f>
        <x:v>20</x:v>
      </x:c>
      <x:c r="H39" s="20"/>
      <x:c r="I39" s="20"/>
      <x:c r="J39" s="20"/>
      <x:c r="K39" s="44" t="str">
        <x:f>IF(A39="","",F39*G39+H39+I39+J39)</x:f>
      </x:c>
      <x:c r="L39" s="44" t="str">
        <x:f>IF(A39="","",D39-K39)</x:f>
      </x:c>
      <x:c r="M39" s="47" t="str">
        <x:f>IFERROR(L39/D39,"")</x:f>
      </x:c>
      <x:c r="N39" s="18"/>
    </x:row>
    <x:row r="40">
      <x:c r="A40" s="18"/>
      <x:c r="B40" s="18"/>
      <x:c r="C40" s="18"/>
      <x:c r="D40" s="20"/>
      <x:c r="E40" s="75"/>
      <x:c r="F40" s="75"/>
      <x:c r="G40" s="43" t="n">
        <x:f>Inputs!$C$16</x:f>
        <x:v>20</x:v>
      </x:c>
      <x:c r="H40" s="20"/>
      <x:c r="I40" s="20"/>
      <x:c r="J40" s="20"/>
      <x:c r="K40" s="44" t="str">
        <x:f>IF(A40="","",F40*G40+H40+I40+J40)</x:f>
      </x:c>
      <x:c r="L40" s="44" t="str">
        <x:f>IF(A40="","",D40-K40)</x:f>
      </x:c>
      <x:c r="M40" s="47" t="str">
        <x:f>IFERROR(L40/D40,"")</x:f>
      </x:c>
      <x:c r="N40" s="18"/>
    </x:row>
    <x:row r="41">
      <x:c r="A41" s="18"/>
      <x:c r="B41" s="18"/>
      <x:c r="C41" s="18"/>
      <x:c r="D41" s="20"/>
      <x:c r="E41" s="75"/>
      <x:c r="F41" s="75"/>
      <x:c r="G41" s="43" t="n">
        <x:f>Inputs!$C$16</x:f>
        <x:v>20</x:v>
      </x:c>
      <x:c r="H41" s="20"/>
      <x:c r="I41" s="20"/>
      <x:c r="J41" s="20"/>
      <x:c r="K41" s="44" t="str">
        <x:f>IF(A41="","",F41*G41+H41+I41+J41)</x:f>
      </x:c>
      <x:c r="L41" s="44" t="str">
        <x:f>IF(A41="","",D41-K41)</x:f>
      </x:c>
      <x:c r="M41" s="47" t="str">
        <x:f>IFERROR(L41/D41,"")</x:f>
      </x:c>
      <x:c r="N41" s="18"/>
    </x:row>
    <x:row r="42">
      <x:c r="A42" s="18"/>
      <x:c r="B42" s="18"/>
      <x:c r="C42" s="18"/>
      <x:c r="D42" s="20"/>
      <x:c r="E42" s="75"/>
      <x:c r="F42" s="75"/>
      <x:c r="G42" s="43" t="n">
        <x:f>Inputs!$C$16</x:f>
        <x:v>20</x:v>
      </x:c>
      <x:c r="H42" s="20"/>
      <x:c r="I42" s="20"/>
      <x:c r="J42" s="20"/>
      <x:c r="K42" s="44" t="str">
        <x:f>IF(A42="","",F42*G42+H42+I42+J42)</x:f>
      </x:c>
      <x:c r="L42" s="44" t="str">
        <x:f>IF(A42="","",D42-K42)</x:f>
      </x:c>
      <x:c r="M42" s="47" t="str">
        <x:f>IFERROR(L42/D42,"")</x:f>
      </x:c>
      <x:c r="N42" s="18"/>
    </x:row>
    <x:row r="43">
      <x:c r="A43" s="18"/>
      <x:c r="B43" s="18"/>
      <x:c r="C43" s="18"/>
      <x:c r="D43" s="20"/>
      <x:c r="E43" s="75"/>
      <x:c r="F43" s="75"/>
      <x:c r="G43" s="43" t="n">
        <x:f>Inputs!$C$16</x:f>
        <x:v>20</x:v>
      </x:c>
      <x:c r="H43" s="20"/>
      <x:c r="I43" s="20"/>
      <x:c r="J43" s="20"/>
      <x:c r="K43" s="44" t="str">
        <x:f>IF(A43="","",F43*G43+H43+I43+J43)</x:f>
      </x:c>
      <x:c r="L43" s="44" t="str">
        <x:f>IF(A43="","",D43-K43)</x:f>
      </x:c>
      <x:c r="M43" s="47" t="str">
        <x:f>IFERROR(L43/D43,"")</x:f>
      </x:c>
      <x:c r="N43" s="18"/>
    </x:row>
    <x:row r="44">
      <x:c r="A44" s="18"/>
      <x:c r="B44" s="18"/>
      <x:c r="C44" s="18"/>
      <x:c r="D44" s="20"/>
      <x:c r="E44" s="75"/>
      <x:c r="F44" s="75"/>
      <x:c r="G44" s="43" t="n">
        <x:f>Inputs!$C$16</x:f>
        <x:v>20</x:v>
      </x:c>
      <x:c r="H44" s="20"/>
      <x:c r="I44" s="20"/>
      <x:c r="J44" s="20"/>
      <x:c r="K44" s="44" t="str">
        <x:f>IF(A44="","",F44*G44+H44+I44+J44)</x:f>
      </x:c>
      <x:c r="L44" s="44" t="str">
        <x:f>IF(A44="","",D44-K44)</x:f>
      </x:c>
      <x:c r="M44" s="47" t="str">
        <x:f>IFERROR(L44/D44,"")</x:f>
      </x:c>
      <x:c r="N44" s="18"/>
    </x:row>
    <x:row r="45">
      <x:c r="A45" s="18"/>
      <x:c r="B45" s="18"/>
      <x:c r="C45" s="18"/>
      <x:c r="D45" s="20"/>
      <x:c r="E45" s="75"/>
      <x:c r="F45" s="75"/>
      <x:c r="G45" s="43" t="n">
        <x:f>Inputs!$C$16</x:f>
        <x:v>20</x:v>
      </x:c>
      <x:c r="H45" s="20"/>
      <x:c r="I45" s="20"/>
      <x:c r="J45" s="20"/>
      <x:c r="K45" s="44" t="str">
        <x:f>IF(A45="","",F45*G45+H45+I45+J45)</x:f>
      </x:c>
      <x:c r="L45" s="44" t="str">
        <x:f>IF(A45="","",D45-K45)</x:f>
      </x:c>
      <x:c r="M45" s="47" t="str">
        <x:f>IFERROR(L45/D45,"")</x:f>
      </x:c>
      <x:c r="N45" s="18"/>
    </x:row>
    <x:row r="46">
      <x:c r="A46" s="18"/>
      <x:c r="B46" s="18"/>
      <x:c r="C46" s="18"/>
      <x:c r="D46" s="20"/>
      <x:c r="E46" s="75"/>
      <x:c r="F46" s="75"/>
      <x:c r="G46" s="43" t="n">
        <x:f>Inputs!$C$16</x:f>
        <x:v>20</x:v>
      </x:c>
      <x:c r="H46" s="20"/>
      <x:c r="I46" s="20"/>
      <x:c r="J46" s="20"/>
      <x:c r="K46" s="44" t="str">
        <x:f>IF(A46="","",F46*G46+H46+I46+J46)</x:f>
      </x:c>
      <x:c r="L46" s="44" t="str">
        <x:f>IF(A46="","",D46-K46)</x:f>
      </x:c>
      <x:c r="M46" s="47" t="str">
        <x:f>IFERROR(L46/D46,"")</x:f>
      </x:c>
      <x:c r="N46" s="18"/>
    </x:row>
    <x:row r="47">
      <x:c r="A47" s="18"/>
      <x:c r="B47" s="18"/>
      <x:c r="C47" s="18"/>
      <x:c r="D47" s="20"/>
      <x:c r="E47" s="75"/>
      <x:c r="F47" s="75"/>
      <x:c r="G47" s="43" t="n">
        <x:f>Inputs!$C$16</x:f>
        <x:v>20</x:v>
      </x:c>
      <x:c r="H47" s="20"/>
      <x:c r="I47" s="20"/>
      <x:c r="J47" s="20"/>
      <x:c r="K47" s="44" t="str">
        <x:f>IF(A47="","",F47*G47+H47+I47+J47)</x:f>
      </x:c>
      <x:c r="L47" s="44" t="str">
        <x:f>IF(A47="","",D47-K47)</x:f>
      </x:c>
      <x:c r="M47" s="47" t="str">
        <x:f>IFERROR(L47/D47,"")</x:f>
      </x:c>
      <x:c r="N47" s="18"/>
    </x:row>
    <x:row r="48">
      <x:c r="A48" s="18"/>
      <x:c r="B48" s="18"/>
      <x:c r="C48" s="18"/>
      <x:c r="D48" s="20"/>
      <x:c r="E48" s="75"/>
      <x:c r="F48" s="75"/>
      <x:c r="G48" s="43" t="n">
        <x:f>Inputs!$C$16</x:f>
        <x:v>20</x:v>
      </x:c>
      <x:c r="H48" s="20"/>
      <x:c r="I48" s="20"/>
      <x:c r="J48" s="20"/>
      <x:c r="K48" s="44" t="str">
        <x:f>IF(A48="","",F48*G48+H48+I48+J48)</x:f>
      </x:c>
      <x:c r="L48" s="44" t="str">
        <x:f>IF(A48="","",D48-K48)</x:f>
      </x:c>
      <x:c r="M48" s="47" t="str">
        <x:f>IFERROR(L48/D48,"")</x:f>
      </x:c>
      <x:c r="N48" s="18"/>
    </x:row>
    <x:row r="49">
      <x:c r="A49" s="18"/>
      <x:c r="B49" s="18"/>
      <x:c r="C49" s="18"/>
      <x:c r="D49" s="20"/>
      <x:c r="E49" s="75"/>
      <x:c r="F49" s="75"/>
      <x:c r="G49" s="43" t="n">
        <x:f>Inputs!$C$16</x:f>
        <x:v>20</x:v>
      </x:c>
      <x:c r="H49" s="20"/>
      <x:c r="I49" s="20"/>
      <x:c r="J49" s="20"/>
      <x:c r="K49" s="44" t="str">
        <x:f>IF(A49="","",F49*G49+H49+I49+J49)</x:f>
      </x:c>
      <x:c r="L49" s="44" t="str">
        <x:f>IF(A49="","",D49-K49)</x:f>
      </x:c>
      <x:c r="M49" s="47" t="str">
        <x:f>IFERROR(L49/D49,"")</x:f>
      </x:c>
      <x:c r="N49" s="18"/>
    </x:row>
    <x:row r="50">
      <x:c r="A50" s="18"/>
      <x:c r="B50" s="18"/>
      <x:c r="C50" s="18"/>
      <x:c r="D50" s="20"/>
      <x:c r="E50" s="75"/>
      <x:c r="F50" s="75"/>
      <x:c r="G50" s="43" t="n">
        <x:f>Inputs!$C$16</x:f>
        <x:v>20</x:v>
      </x:c>
      <x:c r="H50" s="20"/>
      <x:c r="I50" s="20"/>
      <x:c r="J50" s="20"/>
      <x:c r="K50" s="44" t="str">
        <x:f>IF(A50="","",F50*G50+H50+I50+J50)</x:f>
      </x:c>
      <x:c r="L50" s="44" t="str">
        <x:f>IF(A50="","",D50-K50)</x:f>
      </x:c>
      <x:c r="M50" s="47" t="str">
        <x:f>IFERROR(L50/D50,"")</x:f>
      </x:c>
      <x:c r="N50" s="18"/>
    </x:row>
    <x:row r="51">
      <x:c r="A51" s="18"/>
      <x:c r="B51" s="18"/>
      <x:c r="C51" s="18"/>
      <x:c r="D51" s="20"/>
      <x:c r="E51" s="75"/>
      <x:c r="F51" s="75"/>
      <x:c r="G51" s="43" t="n">
        <x:f>Inputs!$C$16</x:f>
        <x:v>20</x:v>
      </x:c>
      <x:c r="H51" s="20"/>
      <x:c r="I51" s="20"/>
      <x:c r="J51" s="20"/>
      <x:c r="K51" s="44" t="str">
        <x:f>IF(A51="","",F51*G51+H51+I51+J51)</x:f>
      </x:c>
      <x:c r="L51" s="44" t="str">
        <x:f>IF(A51="","",D51-K51)</x:f>
      </x:c>
      <x:c r="M51" s="47" t="str">
        <x:f>IFERROR(L51/D51,"")</x:f>
      </x:c>
      <x:c r="N51" s="18"/>
    </x:row>
    <x:row r="52">
      <x:c r="A52" s="18"/>
      <x:c r="B52" s="18"/>
      <x:c r="C52" s="18"/>
      <x:c r="D52" s="20"/>
      <x:c r="E52" s="75"/>
      <x:c r="F52" s="75"/>
      <x:c r="G52" s="43" t="n">
        <x:f>Inputs!$C$16</x:f>
        <x:v>20</x:v>
      </x:c>
      <x:c r="H52" s="20"/>
      <x:c r="I52" s="20"/>
      <x:c r="J52" s="20"/>
      <x:c r="K52" s="44" t="str">
        <x:f>IF(A52="","",F52*G52+H52+I52+J52)</x:f>
      </x:c>
      <x:c r="L52" s="44" t="str">
        <x:f>IF(A52="","",D52-K52)</x:f>
      </x:c>
      <x:c r="M52" s="47" t="str">
        <x:f>IFERROR(L52/D52,"")</x:f>
      </x:c>
      <x:c r="N52" s="18"/>
    </x:row>
    <x:row r="53">
      <x:c r="A53" s="18"/>
      <x:c r="B53" s="18"/>
      <x:c r="C53" s="18"/>
      <x:c r="D53" s="20"/>
      <x:c r="E53" s="75"/>
      <x:c r="F53" s="75"/>
      <x:c r="G53" s="43" t="n">
        <x:f>Inputs!$C$16</x:f>
        <x:v>20</x:v>
      </x:c>
      <x:c r="H53" s="20"/>
      <x:c r="I53" s="20"/>
      <x:c r="J53" s="20"/>
      <x:c r="K53" s="44" t="str">
        <x:f>IF(A53="","",F53*G53+H53+I53+J53)</x:f>
      </x:c>
      <x:c r="L53" s="44" t="str">
        <x:f>IF(A53="","",D53-K53)</x:f>
      </x:c>
      <x:c r="M53" s="47" t="str">
        <x:f>IFERROR(L53/D53,"")</x:f>
      </x:c>
      <x:c r="N53" s="18"/>
    </x:row>
  </x:sheetData>
  <x:mergeCells>
    <x:mergeCell ref="A1:N1"/>
  </x:mergeCells>
  <x:conditionalFormatting sqref="M4:M53">
    <x:cfRule type="expression" dxfId="2" priority="1">
      <x:formula>M4&lt;0.5</x:formula>
    </x:cfRule>
    <x:cfRule type="expression" dxfId="3" priority="2">
      <x:formula>M4&gt;=0.6</x:formula>
    </x:cfRule>
  </x:conditionalFormatting>
  <x:dataValidations count="2">
    <x:dataValidation type="list" sqref="N4:N53">
      <x:formula1>"Пример,Planned,Active,Complete,Cancelled"</x:formula1>
    </x:dataValidation>
    <x:dataValidation type="list" sqref="C4:C53">
      <x:formula1>"START,PRO,ELITE,Digital Menu,Restaurant OS,Custom"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  <x:col min="6" max="6" width="16" hidden="0" customWidth="1"/>
    <x:col min="7" max="7" width="12" hidden="0" customWidth="1"/>
    <x:col min="8" max="8" width="17" hidden="0" customWidth="1"/>
    <x:col min="9" max="9" width="17" hidden="0" customWidth="1"/>
    <x:col min="10" max="10" width="14" hidden="0" customWidth="1"/>
  </x:cols>
  <x:sheetData>
    <x:row r="1">
      <x:c r="A1" s="31" t="str">
        <x:v>12-Month Cash Flow Plan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4" t="str">
        <x:v>Month</x:v>
      </x:c>
      <x:c r="B3" s="34" t="str">
        <x:v>Opening Cash</x:v>
      </x:c>
      <x:c r="C3" s="34" t="str">
        <x:v>Collections</x:v>
      </x:c>
      <x:c r="D3" s="34" t="str">
        <x:v>Direct Delivery Cash</x:v>
      </x:c>
      <x:c r="E3" s="34" t="str">
        <x:v>Fixed Costs</x:v>
      </x:c>
      <x:c r="F3" s="34" t="str">
        <x:v>Planning Reserve</x:v>
      </x:c>
      <x:c r="G3" s="34" t="str">
        <x:v>Capex</x:v>
      </x:c>
      <x:c r="H3" s="34" t="str">
        <x:v>Owner Withdrawals</x:v>
      </x:c>
      <x:c r="I3" s="34" t="str">
        <x:v>Net Cash Movement</x:v>
      </x:c>
      <x:c r="J3" s="34" t="str">
        <x:v>Closing Cash</x:v>
      </x:c>
    </x:row>
    <x:row r="4">
      <x:c r="A4" s="77" t="n">
        <x:f>'Monthly Plan'!A4</x:f>
        <x:v>46235</x:v>
      </x:c>
      <x:c r="B4" s="43" t="n">
        <x:f>Inputs!$C$5</x:f>
        <x:v>3000</x:v>
      </x:c>
      <x:c r="C4" s="43" t="n">
        <x:f>'Monthly Plan'!L4*Inputs!$C$6</x:f>
        <x:v>2918.7000000000003</x:v>
      </x:c>
      <x:c r="D4" s="43" t="n">
        <x:f>'Monthly Plan'!M4</x:f>
        <x:v>700</x:v>
      </x:c>
      <x:c r="E4" s="43" t="n">
        <x:f>'Monthly Plan'!O4</x:f>
        <x:v>3400</x:v>
      </x:c>
      <x:c r="F4" s="43" t="n">
        <x:f>'Monthly Plan'!Q4</x:f>
        <x:v>0</x:v>
      </x:c>
      <x:c r="G4" s="20" t="n">
        <x:v>0</x:v>
      </x:c>
      <x:c r="H4" s="20" t="n">
        <x:v>0</x:v>
      </x:c>
      <x:c r="I4" s="44" t="n">
        <x:f>C4-D4-E4-F4-G4-H4</x:f>
        <x:v>-1181.2999999999997</x:v>
      </x:c>
      <x:c r="J4" s="44" t="n">
        <x:f>B4+I4</x:f>
        <x:v>1818.7000000000003</x:v>
      </x:c>
    </x:row>
    <x:row r="5">
      <x:c r="A5" s="77" t="n">
        <x:f>'Monthly Plan'!A5</x:f>
        <x:v>46266</x:v>
      </x:c>
      <x:c r="B5" s="43" t="n">
        <x:f>J4</x:f>
        <x:v>1818.7000000000003</x:v>
      </x:c>
      <x:c r="C5" s="43" t="n">
        <x:f>'Monthly Plan'!L5*Inputs!$C$6</x:f>
        <x:v>4221</x:v>
      </x:c>
      <x:c r="D5" s="43" t="n">
        <x:f>'Monthly Plan'!M5</x:f>
        <x:v>1075</x:v>
      </x:c>
      <x:c r="E5" s="43" t="n">
        <x:f>'Monthly Plan'!O5</x:f>
        <x:v>3400</x:v>
      </x:c>
      <x:c r="F5" s="43" t="n">
        <x:f>'Monthly Plan'!Q5</x:f>
        <x:v>32.25</x:v>
      </x:c>
      <x:c r="G5" s="20" t="n">
        <x:v>0</x:v>
      </x:c>
      <x:c r="H5" s="20" t="n">
        <x:v>0</x:v>
      </x:c>
      <x:c r="I5" s="44" t="n">
        <x:f>C5-D5-E5-F5-G5-H5</x:f>
        <x:v>-286.25</x:v>
      </x:c>
      <x:c r="J5" s="44" t="n">
        <x:f>B5+I5</x:f>
        <x:v>1532.4500000000003</x:v>
      </x:c>
    </x:row>
    <x:row r="6">
      <x:c r="A6" s="77" t="n">
        <x:f>'Monthly Plan'!A6</x:f>
        <x:v>46296</x:v>
      </x:c>
      <x:c r="B6" s="43" t="n">
        <x:f>J5</x:f>
        <x:v>1532.4500000000003</x:v>
      </x:c>
      <x:c r="C6" s="43" t="n">
        <x:f>'Monthly Plan'!L6*Inputs!$C$6</x:f>
        <x:v>5162.400000000001</x:v>
      </x:c>
      <x:c r="D6" s="43" t="n">
        <x:f>'Monthly Plan'!M6</x:f>
        <x:v>1237.5</x:v>
      </x:c>
      <x:c r="E6" s="43" t="n">
        <x:f>'Monthly Plan'!O6</x:f>
        <x:v>3400</x:v>
      </x:c>
      <x:c r="F6" s="43" t="n">
        <x:f>'Monthly Plan'!Q6</x:f>
        <x:v>164.775</x:v>
      </x:c>
      <x:c r="G6" s="20" t="n">
        <x:v>0</x:v>
      </x:c>
      <x:c r="H6" s="20" t="n">
        <x:v>0</x:v>
      </x:c>
      <x:c r="I6" s="44" t="n">
        <x:f>C6-D6-E6-F6-G6-H6</x:f>
        <x:v>360.12500000000057</x:v>
      </x:c>
      <x:c r="J6" s="44" t="n">
        <x:f>B6+I6</x:f>
        <x:v>1892.5750000000007</x:v>
      </x:c>
    </x:row>
    <x:row r="7">
      <x:c r="A7" s="77" t="n">
        <x:f>'Monthly Plan'!A7</x:f>
        <x:v>46327</x:v>
      </x:c>
      <x:c r="B7" s="43" t="n">
        <x:f>J6</x:f>
        <x:v>1892.5750000000007</x:v>
      </x:c>
      <x:c r="C7" s="43" t="n">
        <x:f>'Monthly Plan'!L7*Inputs!$C$6</x:f>
        <x:v>7633.8</x:v>
      </x:c>
      <x:c r="D7" s="43" t="n">
        <x:f>'Monthly Plan'!M7</x:f>
        <x:v>2237.5</x:v>
      </x:c>
      <x:c r="E7" s="43" t="n">
        <x:f>'Monthly Plan'!O7</x:f>
        <x:v>3400</x:v>
      </x:c>
      <x:c r="F7" s="43" t="n">
        <x:f>'Monthly Plan'!Q7</x:f>
        <x:v>426.675</x:v>
      </x:c>
      <x:c r="G7" s="20" t="n">
        <x:v>0</x:v>
      </x:c>
      <x:c r="H7" s="20" t="n">
        <x:v>0</x:v>
      </x:c>
      <x:c r="I7" s="44" t="n">
        <x:f>C7-D7-E7-F7-G7-H7</x:f>
        <x:v>1569.6250000000002</x:v>
      </x:c>
      <x:c r="J7" s="44" t="n">
        <x:f>B7+I7</x:f>
        <x:v>3462.2000000000007</x:v>
      </x:c>
    </x:row>
    <x:row r="8">
      <x:c r="A8" s="77" t="n">
        <x:f>'Monthly Plan'!A8</x:f>
        <x:v>46357</x:v>
      </x:c>
      <x:c r="B8" s="43" t="n">
        <x:f>J7</x:f>
        <x:v>3462.2000000000007</x:v>
      </x:c>
      <x:c r="C8" s="43" t="n">
        <x:f>'Monthly Plan'!L8*Inputs!$C$6</x:f>
        <x:v>4616.1</x:v>
      </x:c>
      <x:c r="D8" s="43" t="n">
        <x:f>'Monthly Plan'!M8</x:f>
        <x:v>975</x:v>
      </x:c>
      <x:c r="E8" s="43" t="n">
        <x:f>'Monthly Plan'!O8</x:f>
        <x:v>3400</x:v>
      </x:c>
      <x:c r="F8" s="43" t="n">
        <x:f>'Monthly Plan'!Q8</x:f>
        <x:v>113.1</x:v>
      </x:c>
      <x:c r="G8" s="20" t="n">
        <x:v>0</x:v>
      </x:c>
      <x:c r="H8" s="20" t="n">
        <x:v>0</x:v>
      </x:c>
      <x:c r="I8" s="44" t="n">
        <x:f>C8-D8-E8-F8-G8-H8</x:f>
        <x:v>128.00000000000037</x:v>
      </x:c>
      <x:c r="J8" s="44" t="n">
        <x:f>B8+I8</x:f>
        <x:v>3590.200000000001</x:v>
      </x:c>
    </x:row>
    <x:row r="9">
      <x:c r="A9" s="77" t="n">
        <x:f>'Monthly Plan'!A9</x:f>
        <x:v>46388</x:v>
      </x:c>
      <x:c r="B9" s="43" t="n">
        <x:f>J8</x:f>
        <x:v>3590.200000000001</x:v>
      </x:c>
      <x:c r="C9" s="43" t="n">
        <x:f>'Monthly Plan'!L9*Inputs!$C$6</x:f>
        <x:v>5376.6</x:v>
      </x:c>
      <x:c r="D9" s="43" t="n">
        <x:f>'Monthly Plan'!M9</x:f>
        <x:v>1075</x:v>
      </x:c>
      <x:c r="E9" s="43" t="n">
        <x:f>'Monthly Plan'!O9</x:f>
        <x:v>3400</x:v>
      </x:c>
      <x:c r="F9" s="43" t="n">
        <x:f>'Monthly Plan'!Q9</x:f>
        <x:v>224.85</x:v>
      </x:c>
      <x:c r="G9" s="20" t="n">
        <x:v>0</x:v>
      </x:c>
      <x:c r="H9" s="20" t="n">
        <x:v>0</x:v>
      </x:c>
      <x:c r="I9" s="44" t="n">
        <x:f>C9-D9-E9-F9-G9-H9</x:f>
        <x:v>676.7500000000003</x:v>
      </x:c>
      <x:c r="J9" s="44" t="n">
        <x:f>B9+I9</x:f>
        <x:v>4266.950000000002</x:v>
      </x:c>
    </x:row>
    <x:row r="10">
      <x:c r="A10" s="77" t="n">
        <x:f>'Monthly Plan'!A10</x:f>
        <x:v>46419</x:v>
      </x:c>
      <x:c r="B10" s="43" t="n">
        <x:f>J9</x:f>
        <x:v>4266.950000000002</x:v>
      </x:c>
      <x:c r="C10" s="43" t="n">
        <x:f>'Monthly Plan'!L10*Inputs!$C$6</x:f>
        <x:v>8522.1</x:v>
      </x:c>
      <x:c r="D10" s="43" t="n">
        <x:f>'Monthly Plan'!M10</x:f>
        <x:v>2237.5</x:v>
      </x:c>
      <x:c r="E10" s="43" t="n">
        <x:f>'Monthly Plan'!O10</x:f>
        <x:v>3400</x:v>
      </x:c>
      <x:c r="F10" s="43" t="n">
        <x:f>'Monthly Plan'!Q10</x:f>
        <x:v>574.725</x:v>
      </x:c>
      <x:c r="G10" s="20" t="n">
        <x:v>0</x:v>
      </x:c>
      <x:c r="H10" s="20" t="n">
        <x:v>0</x:v>
      </x:c>
      <x:c r="I10" s="44" t="n">
        <x:f>C10-D10-E10-F10-G10-H10</x:f>
        <x:v>2309.8750000000005</x:v>
      </x:c>
      <x:c r="J10" s="44" t="n">
        <x:f>B10+I10</x:f>
        <x:v>6576.825000000003</x:v>
      </x:c>
    </x:row>
    <x:row r="11">
      <x:c r="A11" s="77" t="n">
        <x:f>'Monthly Plan'!A11</x:f>
        <x:v>46447</x:v>
      </x:c>
      <x:c r="B11" s="43" t="n">
        <x:f>J10</x:f>
        <x:v>6576.825000000003</x:v>
      </x:c>
      <x:c r="C11" s="43" t="n">
        <x:f>'Monthly Plan'!L11*Inputs!$C$6</x:f>
        <x:v>7391.7</x:v>
      </x:c>
      <x:c r="D11" s="43" t="n">
        <x:f>'Monthly Plan'!M11</x:f>
        <x:v>1412.5</x:v>
      </x:c>
      <x:c r="E11" s="43" t="n">
        <x:f>'Monthly Plan'!O11</x:f>
        <x:v>3400</x:v>
      </x:c>
      <x:c r="F11" s="43" t="n">
        <x:f>'Monthly Plan'!Q11</x:f>
        <x:v>510.075</x:v>
      </x:c>
      <x:c r="G11" s="20" t="n">
        <x:v>0</x:v>
      </x:c>
      <x:c r="H11" s="20" t="n">
        <x:v>0</x:v>
      </x:c>
      <x:c r="I11" s="44" t="n">
        <x:f>C11-D11-E11-F11-G11-H11</x:f>
        <x:v>2069.125</x:v>
      </x:c>
      <x:c r="J11" s="44" t="n">
        <x:f>B11+I11</x:f>
        <x:v>8645.950000000003</x:v>
      </x:c>
    </x:row>
    <x:row r="12">
      <x:c r="A12" s="77" t="n">
        <x:f>'Monthly Plan'!A12</x:f>
        <x:v>46478</x:v>
      </x:c>
      <x:c r="B12" s="43" t="n">
        <x:f>J11</x:f>
        <x:v>8645.950000000003</x:v>
      </x:c>
      <x:c r="C12" s="43" t="n">
        <x:f>'Monthly Plan'!L12*Inputs!$C$6</x:f>
        <x:v>9366.300000000001</x:v>
      </x:c>
      <x:c r="D12" s="43" t="n">
        <x:f>'Monthly Plan'!M12</x:f>
        <x:v>2237.5</x:v>
      </x:c>
      <x:c r="E12" s="43" t="n">
        <x:f>'Monthly Plan'!O12</x:f>
        <x:v>3400</x:v>
      </x:c>
      <x:c r="F12" s="43" t="n">
        <x:f>'Monthly Plan'!Q12</x:f>
        <x:v>715.425</x:v>
      </x:c>
      <x:c r="G12" s="20" t="n">
        <x:v>0</x:v>
      </x:c>
      <x:c r="H12" s="20" t="n">
        <x:v>0</x:v>
      </x:c>
      <x:c r="I12" s="44" t="n">
        <x:f>C12-D12-E12-F12-G12-H12</x:f>
        <x:v>3013.375000000001</x:v>
      </x:c>
      <x:c r="J12" s="44" t="n">
        <x:f>B12+I12</x:f>
        <x:v>11659.325000000004</x:v>
      </x:c>
    </x:row>
    <x:row r="13">
      <x:c r="A13" s="77" t="n">
        <x:f>'Monthly Plan'!A13</x:f>
        <x:v>46508</x:v>
      </x:c>
      <x:c r="B13" s="43" t="n">
        <x:f>J12</x:f>
        <x:v>11659.325000000004</x:v>
      </x:c>
      <x:c r="C13" s="43" t="n">
        <x:f>'Monthly Plan'!L13*Inputs!$C$6</x:f>
        <x:v>10349.1</x:v>
      </x:c>
      <x:c r="D13" s="43" t="n">
        <x:f>'Monthly Plan'!M13</x:f>
        <x:v>2337.5</x:v>
      </x:c>
      <x:c r="E13" s="43" t="n">
        <x:f>'Monthly Plan'!O13</x:f>
        <x:v>3400</x:v>
      </x:c>
      <x:c r="F13" s="43" t="n">
        <x:f>'Monthly Plan'!Q13</x:f>
        <x:v>864.225</x:v>
      </x:c>
      <x:c r="G13" s="20" t="n">
        <x:v>0</x:v>
      </x:c>
      <x:c r="H13" s="20" t="n">
        <x:v>0</x:v>
      </x:c>
      <x:c r="I13" s="44" t="n">
        <x:f>C13-D13-E13-F13-G13-H13</x:f>
        <x:v>3747.3750000000005</x:v>
      </x:c>
      <x:c r="J13" s="44" t="n">
        <x:f>B13+I13</x:f>
        <x:v>15406.700000000004</x:v>
      </x:c>
    </x:row>
    <x:row r="14">
      <x:c r="A14" s="77" t="n">
        <x:f>'Monthly Plan'!A14</x:f>
        <x:v>46539</x:v>
      </x:c>
      <x:c r="B14" s="43" t="n">
        <x:f>J13</x:f>
        <x:v>15406.700000000004</x:v>
      </x:c>
      <x:c r="C14" s="43" t="n">
        <x:f>'Monthly Plan'!L14*Inputs!$C$6</x:f>
        <x:v>11871</x:v>
      </x:c>
      <x:c r="D14" s="43" t="n">
        <x:f>'Monthly Plan'!M14</x:f>
        <x:v>2575</x:v>
      </x:c>
      <x:c r="E14" s="43" t="n">
        <x:f>'Monthly Plan'!O14</x:f>
        <x:v>3400</x:v>
      </x:c>
      <x:c r="F14" s="43" t="n">
        <x:f>'Monthly Plan'!Q14</x:f>
        <x:v>1082.25</x:v>
      </x:c>
      <x:c r="G14" s="20" t="n">
        <x:v>0</x:v>
      </x:c>
      <x:c r="H14" s="20" t="n">
        <x:v>0</x:v>
      </x:c>
      <x:c r="I14" s="44" t="n">
        <x:f>C14-D14-E14-F14-G14-H14</x:f>
        <x:v>4813.75</x:v>
      </x:c>
      <x:c r="J14" s="44" t="n">
        <x:f>B14+I14</x:f>
        <x:v>20220.450000000004</x:v>
      </x:c>
    </x:row>
    <x:row r="15">
      <x:c r="A15" s="77" t="n">
        <x:f>'Monthly Plan'!A15</x:f>
        <x:v>46569</x:v>
      </x:c>
      <x:c r="B15" s="43" t="n">
        <x:f>J14</x:f>
        <x:v>20220.450000000004</x:v>
      </x:c>
      <x:c r="C15" s="43" t="n">
        <x:f>'Monthly Plan'!L15*Inputs!$C$6</x:f>
        <x:v>14067</x:v>
      </x:c>
      <x:c r="D15" s="43" t="n">
        <x:f>'Monthly Plan'!M15</x:f>
        <x:v>3050</x:v>
      </x:c>
      <x:c r="E15" s="43" t="n">
        <x:f>'Monthly Plan'!O15</x:f>
        <x:v>3400</x:v>
      </x:c>
      <x:c r="F15" s="43" t="n">
        <x:f>'Monthly Plan'!Q15</x:f>
        <x:v>1377</x:v>
      </x:c>
      <x:c r="G15" s="20" t="n">
        <x:v>0</x:v>
      </x:c>
      <x:c r="H15" s="20" t="n">
        <x:v>0</x:v>
      </x:c>
      <x:c r="I15" s="44" t="n">
        <x:f>C15-D15-E15-F15-G15-H15</x:f>
        <x:v>6240</x:v>
      </x:c>
      <x:c r="J15" s="44" t="n">
        <x:f>B15+I15</x:f>
        <x:v>26460.450000000004</x:v>
      </x:c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</x:row>
    <x:row r="17">
      <x:c r="A17" s="50" t="str">
        <x:v>TOTAL</x:v>
      </x:c>
      <x:c r="B17" s="67"/>
      <x:c r="C17" s="67" t="n">
        <x:f>SUM(C4:C15)</x:f>
        <x:v>91495.8</x:v>
      </x:c>
      <x:c r="D17" s="67" t="n">
        <x:f>SUM(D4:D15)</x:f>
        <x:v>21150</x:v>
      </x:c>
      <x:c r="E17" s="67" t="n">
        <x:f>SUM(E4:E15)</x:f>
        <x:v>40800</x:v>
      </x:c>
      <x:c r="F17" s="67" t="n">
        <x:f>SUM(F4:F15)</x:f>
        <x:v>6085.35</x:v>
      </x:c>
      <x:c r="G17" s="67" t="n">
        <x:f>SUM(G4:G15)</x:f>
        <x:v>0</x:v>
      </x:c>
      <x:c r="H17" s="67" t="n">
        <x:f>SUM(H4:H15)</x:f>
        <x:v>0</x:v>
      </x:c>
      <x:c r="I17" s="67" t="n">
        <x:f>SUM(I4:I15)</x:f>
        <x:v>23460.450000000004</x:v>
      </x:c>
      <x:c r="J17" s="67" t="n">
        <x:f>J15</x:f>
        <x:v>26460.450000000004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28" hidden="0" customWidth="1"/>
  </x:cols>
  <x:sheetData>
    <x:row r="1">
      <x:c r="A1" s="31" t="str">
        <x:v>Accounts Receivable &amp; Collections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</x:row>
    <x:row r="3">
      <x:c r="A3" s="34" t="str">
        <x:v>Invoice ID</x:v>
      </x:c>
      <x:c r="B3" s="34" t="str">
        <x:v>Client</x:v>
      </x:c>
      <x:c r="C3" s="34" t="str">
        <x:v>Project</x:v>
      </x:c>
      <x:c r="D3" s="34" t="str">
        <x:v>Invoice Date</x:v>
      </x:c>
      <x:c r="E3" s="34" t="str">
        <x:v>Due Date</x:v>
      </x:c>
      <x:c r="F3" s="34" t="str">
        <x:v>Amount</x:v>
      </x:c>
      <x:c r="G3" s="34" t="str">
        <x:v>Collected</x:v>
      </x:c>
      <x:c r="H3" s="34" t="str">
        <x:v>Balance</x:v>
      </x:c>
      <x:c r="I3" s="34" t="str">
        <x:v>Days Overdue</x:v>
      </x:c>
      <x:c r="J3" s="34" t="str">
        <x:v>Status</x:v>
      </x:c>
      <x:c r="K3" s="34" t="str">
        <x:v>Next Action</x:v>
      </x:c>
    </x:row>
    <x:row r="4">
      <x:c r="A4" s="18" t="str">
        <x:v>EXAMPLE-INV</x:v>
      </x:c>
      <x:c r="B4" s="18" t="str">
        <x:v>Примерен клиент</x:v>
      </x:c>
      <x:c r="C4" s="18" t="str">
        <x:v>PRO Website</x:v>
      </x:c>
      <x:c r="D4" s="79" t="n">
        <x:v>46235</x:v>
      </x:c>
      <x:c r="E4" s="79" t="n">
        <x:v>46242</x:v>
      </x:c>
      <x:c r="F4" s="20" t="n">
        <x:v>325</x:v>
      </x:c>
      <x:c r="G4" s="20" t="n">
        <x:v>0</x:v>
      </x:c>
      <x:c r="H4" s="44" t="n">
        <x:f>IF(A4="","",F4-G4)</x:f>
        <x:v>325</x:v>
      </x:c>
      <x:c r="I4" s="71" t="n">
        <x:f>IF(OR(A4="",H4&lt;=0),0,MAX(TODAY()-E4,0))</x:f>
        <x:v>0</x:v>
      </x:c>
      <x:c r="J4" s="18" t="str">
        <x:v>Пример</x:v>
      </x:c>
      <x:c r="K4" s="18" t="str">
        <x:v>Remove or replace example</x:v>
      </x:c>
    </x:row>
    <x:row r="5">
      <x:c r="A5" s="18"/>
      <x:c r="B5" s="18"/>
      <x:c r="C5" s="18"/>
      <x:c r="D5" s="79"/>
      <x:c r="E5" s="79"/>
      <x:c r="F5" s="20"/>
      <x:c r="G5" s="20"/>
      <x:c r="H5" s="44" t="str">
        <x:f>IF(A5="","",F5-G5)</x:f>
      </x:c>
      <x:c r="I5" s="71" t="n">
        <x:f>IF(OR(A5="",H5&lt;=0),0,MAX(TODAY()-E5,0))</x:f>
        <x:v>0</x:v>
      </x:c>
      <x:c r="J5" s="18"/>
      <x:c r="K5" s="18"/>
    </x:row>
    <x:row r="6">
      <x:c r="A6" s="18"/>
      <x:c r="B6" s="18"/>
      <x:c r="C6" s="18"/>
      <x:c r="D6" s="79"/>
      <x:c r="E6" s="79"/>
      <x:c r="F6" s="20"/>
      <x:c r="G6" s="20"/>
      <x:c r="H6" s="44" t="str">
        <x:f>IF(A6="","",F6-G6)</x:f>
      </x:c>
      <x:c r="I6" s="71" t="n">
        <x:f>IF(OR(A6="",H6&lt;=0),0,MAX(TODAY()-E6,0))</x:f>
        <x:v>0</x:v>
      </x:c>
      <x:c r="J6" s="18"/>
      <x:c r="K6" s="18"/>
    </x:row>
    <x:row r="7">
      <x:c r="A7" s="18"/>
      <x:c r="B7" s="18"/>
      <x:c r="C7" s="18"/>
      <x:c r="D7" s="79"/>
      <x:c r="E7" s="79"/>
      <x:c r="F7" s="20"/>
      <x:c r="G7" s="20"/>
      <x:c r="H7" s="44" t="str">
        <x:f>IF(A7="","",F7-G7)</x:f>
      </x:c>
      <x:c r="I7" s="71" t="n">
        <x:f>IF(OR(A7="",H7&lt;=0),0,MAX(TODAY()-E7,0))</x:f>
        <x:v>0</x:v>
      </x:c>
      <x:c r="J7" s="18"/>
      <x:c r="K7" s="18"/>
    </x:row>
    <x:row r="8">
      <x:c r="A8" s="18"/>
      <x:c r="B8" s="18"/>
      <x:c r="C8" s="18"/>
      <x:c r="D8" s="79"/>
      <x:c r="E8" s="79"/>
      <x:c r="F8" s="20"/>
      <x:c r="G8" s="20"/>
      <x:c r="H8" s="44" t="str">
        <x:f>IF(A8="","",F8-G8)</x:f>
      </x:c>
      <x:c r="I8" s="71" t="n">
        <x:f>IF(OR(A8="",H8&lt;=0),0,MAX(TODAY()-E8,0))</x:f>
        <x:v>0</x:v>
      </x:c>
      <x:c r="J8" s="18"/>
      <x:c r="K8" s="18"/>
    </x:row>
    <x:row r="9">
      <x:c r="A9" s="18"/>
      <x:c r="B9" s="18"/>
      <x:c r="C9" s="18"/>
      <x:c r="D9" s="79"/>
      <x:c r="E9" s="79"/>
      <x:c r="F9" s="20"/>
      <x:c r="G9" s="20"/>
      <x:c r="H9" s="44" t="str">
        <x:f>IF(A9="","",F9-G9)</x:f>
      </x:c>
      <x:c r="I9" s="71" t="n">
        <x:f>IF(OR(A9="",H9&lt;=0),0,MAX(TODAY()-E9,0))</x:f>
        <x:v>0</x:v>
      </x:c>
      <x:c r="J9" s="18"/>
      <x:c r="K9" s="18"/>
    </x:row>
    <x:row r="10">
      <x:c r="A10" s="18"/>
      <x:c r="B10" s="18"/>
      <x:c r="C10" s="18"/>
      <x:c r="D10" s="79"/>
      <x:c r="E10" s="79"/>
      <x:c r="F10" s="20"/>
      <x:c r="G10" s="20"/>
      <x:c r="H10" s="44" t="str">
        <x:f>IF(A10="","",F10-G10)</x:f>
      </x:c>
      <x:c r="I10" s="71" t="n">
        <x:f>IF(OR(A10="",H10&lt;=0),0,MAX(TODAY()-E10,0))</x:f>
        <x:v>0</x:v>
      </x:c>
      <x:c r="J10" s="18"/>
      <x:c r="K10" s="18"/>
    </x:row>
    <x:row r="11">
      <x:c r="A11" s="18"/>
      <x:c r="B11" s="18"/>
      <x:c r="C11" s="18"/>
      <x:c r="D11" s="79"/>
      <x:c r="E11" s="79"/>
      <x:c r="F11" s="20"/>
      <x:c r="G11" s="20"/>
      <x:c r="H11" s="44" t="str">
        <x:f>IF(A11="","",F11-G11)</x:f>
      </x:c>
      <x:c r="I11" s="71" t="n">
        <x:f>IF(OR(A11="",H11&lt;=0),0,MAX(TODAY()-E11,0))</x:f>
        <x:v>0</x:v>
      </x:c>
      <x:c r="J11" s="18"/>
      <x:c r="K11" s="18"/>
    </x:row>
    <x:row r="12">
      <x:c r="A12" s="18"/>
      <x:c r="B12" s="18"/>
      <x:c r="C12" s="18"/>
      <x:c r="D12" s="79"/>
      <x:c r="E12" s="79"/>
      <x:c r="F12" s="20"/>
      <x:c r="G12" s="20"/>
      <x:c r="H12" s="44" t="str">
        <x:f>IF(A12="","",F12-G12)</x:f>
      </x:c>
      <x:c r="I12" s="71" t="n">
        <x:f>IF(OR(A12="",H12&lt;=0),0,MAX(TODAY()-E12,0))</x:f>
        <x:v>0</x:v>
      </x:c>
      <x:c r="J12" s="18"/>
      <x:c r="K12" s="18"/>
    </x:row>
    <x:row r="13">
      <x:c r="A13" s="18"/>
      <x:c r="B13" s="18"/>
      <x:c r="C13" s="18"/>
      <x:c r="D13" s="79"/>
      <x:c r="E13" s="79"/>
      <x:c r="F13" s="20"/>
      <x:c r="G13" s="20"/>
      <x:c r="H13" s="44" t="str">
        <x:f>IF(A13="","",F13-G13)</x:f>
      </x:c>
      <x:c r="I13" s="71" t="n">
        <x:f>IF(OR(A13="",H13&lt;=0),0,MAX(TODAY()-E13,0))</x:f>
        <x:v>0</x:v>
      </x:c>
      <x:c r="J13" s="18"/>
      <x:c r="K13" s="18"/>
    </x:row>
    <x:row r="14">
      <x:c r="A14" s="18"/>
      <x:c r="B14" s="18"/>
      <x:c r="C14" s="18"/>
      <x:c r="D14" s="79"/>
      <x:c r="E14" s="79"/>
      <x:c r="F14" s="20"/>
      <x:c r="G14" s="20"/>
      <x:c r="H14" s="44" t="str">
        <x:f>IF(A14="","",F14-G14)</x:f>
      </x:c>
      <x:c r="I14" s="71" t="n">
        <x:f>IF(OR(A14="",H14&lt;=0),0,MAX(TODAY()-E14,0))</x:f>
        <x:v>0</x:v>
      </x:c>
      <x:c r="J14" s="18"/>
      <x:c r="K14" s="18"/>
    </x:row>
    <x:row r="15">
      <x:c r="A15" s="18"/>
      <x:c r="B15" s="18"/>
      <x:c r="C15" s="18"/>
      <x:c r="D15" s="79"/>
      <x:c r="E15" s="79"/>
      <x:c r="F15" s="20"/>
      <x:c r="G15" s="20"/>
      <x:c r="H15" s="44" t="str">
        <x:f>IF(A15="","",F15-G15)</x:f>
      </x:c>
      <x:c r="I15" s="71" t="n">
        <x:f>IF(OR(A15="",H15&lt;=0),0,MAX(TODAY()-E15,0))</x:f>
        <x:v>0</x:v>
      </x:c>
      <x:c r="J15" s="18"/>
      <x:c r="K15" s="18"/>
    </x:row>
    <x:row r="16">
      <x:c r="A16" s="18"/>
      <x:c r="B16" s="18"/>
      <x:c r="C16" s="18"/>
      <x:c r="D16" s="79"/>
      <x:c r="E16" s="79"/>
      <x:c r="F16" s="20"/>
      <x:c r="G16" s="20"/>
      <x:c r="H16" s="44" t="str">
        <x:f>IF(A16="","",F16-G16)</x:f>
      </x:c>
      <x:c r="I16" s="71" t="n">
        <x:f>IF(OR(A16="",H16&lt;=0),0,MAX(TODAY()-E16,0))</x:f>
        <x:v>0</x:v>
      </x:c>
      <x:c r="J16" s="18"/>
      <x:c r="K16" s="18"/>
    </x:row>
    <x:row r="17">
      <x:c r="A17" s="18"/>
      <x:c r="B17" s="18"/>
      <x:c r="C17" s="18"/>
      <x:c r="D17" s="79"/>
      <x:c r="E17" s="79"/>
      <x:c r="F17" s="20"/>
      <x:c r="G17" s="20"/>
      <x:c r="H17" s="44" t="str">
        <x:f>IF(A17="","",F17-G17)</x:f>
      </x:c>
      <x:c r="I17" s="71" t="n">
        <x:f>IF(OR(A17="",H17&lt;=0),0,MAX(TODAY()-E17,0))</x:f>
        <x:v>0</x:v>
      </x:c>
      <x:c r="J17" s="18"/>
      <x:c r="K17" s="18"/>
    </x:row>
    <x:row r="18">
      <x:c r="A18" s="18"/>
      <x:c r="B18" s="18"/>
      <x:c r="C18" s="18"/>
      <x:c r="D18" s="79"/>
      <x:c r="E18" s="79"/>
      <x:c r="F18" s="20"/>
      <x:c r="G18" s="20"/>
      <x:c r="H18" s="44" t="str">
        <x:f>IF(A18="","",F18-G18)</x:f>
      </x:c>
      <x:c r="I18" s="71" t="n">
        <x:f>IF(OR(A18="",H18&lt;=0),0,MAX(TODAY()-E18,0))</x:f>
        <x:v>0</x:v>
      </x:c>
      <x:c r="J18" s="18"/>
      <x:c r="K18" s="18"/>
    </x:row>
    <x:row r="19">
      <x:c r="A19" s="18"/>
      <x:c r="B19" s="18"/>
      <x:c r="C19" s="18"/>
      <x:c r="D19" s="79"/>
      <x:c r="E19" s="79"/>
      <x:c r="F19" s="20"/>
      <x:c r="G19" s="20"/>
      <x:c r="H19" s="44" t="str">
        <x:f>IF(A19="","",F19-G19)</x:f>
      </x:c>
      <x:c r="I19" s="71" t="n">
        <x:f>IF(OR(A19="",H19&lt;=0),0,MAX(TODAY()-E19,0))</x:f>
        <x:v>0</x:v>
      </x:c>
      <x:c r="J19" s="18"/>
      <x:c r="K19" s="18"/>
    </x:row>
    <x:row r="20">
      <x:c r="A20" s="18"/>
      <x:c r="B20" s="18"/>
      <x:c r="C20" s="18"/>
      <x:c r="D20" s="79"/>
      <x:c r="E20" s="79"/>
      <x:c r="F20" s="20"/>
      <x:c r="G20" s="20"/>
      <x:c r="H20" s="44" t="str">
        <x:f>IF(A20="","",F20-G20)</x:f>
      </x:c>
      <x:c r="I20" s="71" t="n">
        <x:f>IF(OR(A20="",H20&lt;=0),0,MAX(TODAY()-E20,0))</x:f>
        <x:v>0</x:v>
      </x:c>
      <x:c r="J20" s="18"/>
      <x:c r="K20" s="18"/>
    </x:row>
    <x:row r="21">
      <x:c r="A21" s="18"/>
      <x:c r="B21" s="18"/>
      <x:c r="C21" s="18"/>
      <x:c r="D21" s="79"/>
      <x:c r="E21" s="79"/>
      <x:c r="F21" s="20"/>
      <x:c r="G21" s="20"/>
      <x:c r="H21" s="44" t="str">
        <x:f>IF(A21="","",F21-G21)</x:f>
      </x:c>
      <x:c r="I21" s="71" t="n">
        <x:f>IF(OR(A21="",H21&lt;=0),0,MAX(TODAY()-E21,0))</x:f>
        <x:v>0</x:v>
      </x:c>
      <x:c r="J21" s="18"/>
      <x:c r="K21" s="18"/>
    </x:row>
    <x:row r="22">
      <x:c r="A22" s="18"/>
      <x:c r="B22" s="18"/>
      <x:c r="C22" s="18"/>
      <x:c r="D22" s="79"/>
      <x:c r="E22" s="79"/>
      <x:c r="F22" s="20"/>
      <x:c r="G22" s="20"/>
      <x:c r="H22" s="44" t="str">
        <x:f>IF(A22="","",F22-G22)</x:f>
      </x:c>
      <x:c r="I22" s="71" t="n">
        <x:f>IF(OR(A22="",H22&lt;=0),0,MAX(TODAY()-E22,0))</x:f>
        <x:v>0</x:v>
      </x:c>
      <x:c r="J22" s="18"/>
      <x:c r="K22" s="18"/>
    </x:row>
    <x:row r="23">
      <x:c r="A23" s="18"/>
      <x:c r="B23" s="18"/>
      <x:c r="C23" s="18"/>
      <x:c r="D23" s="79"/>
      <x:c r="E23" s="79"/>
      <x:c r="F23" s="20"/>
      <x:c r="G23" s="20"/>
      <x:c r="H23" s="44" t="str">
        <x:f>IF(A23="","",F23-G23)</x:f>
      </x:c>
      <x:c r="I23" s="71" t="n">
        <x:f>IF(OR(A23="",H23&lt;=0),0,MAX(TODAY()-E23,0))</x:f>
        <x:v>0</x:v>
      </x:c>
      <x:c r="J23" s="18"/>
      <x:c r="K23" s="18"/>
    </x:row>
    <x:row r="24">
      <x:c r="A24" s="18"/>
      <x:c r="B24" s="18"/>
      <x:c r="C24" s="18"/>
      <x:c r="D24" s="79"/>
      <x:c r="E24" s="79"/>
      <x:c r="F24" s="20"/>
      <x:c r="G24" s="20"/>
      <x:c r="H24" s="44" t="str">
        <x:f>IF(A24="","",F24-G24)</x:f>
      </x:c>
      <x:c r="I24" s="71" t="n">
        <x:f>IF(OR(A24="",H24&lt;=0),0,MAX(TODAY()-E24,0))</x:f>
        <x:v>0</x:v>
      </x:c>
      <x:c r="J24" s="18"/>
      <x:c r="K24" s="18"/>
    </x:row>
    <x:row r="25">
      <x:c r="A25" s="18"/>
      <x:c r="B25" s="18"/>
      <x:c r="C25" s="18"/>
      <x:c r="D25" s="79"/>
      <x:c r="E25" s="79"/>
      <x:c r="F25" s="20"/>
      <x:c r="G25" s="20"/>
      <x:c r="H25" s="44" t="str">
        <x:f>IF(A25="","",F25-G25)</x:f>
      </x:c>
      <x:c r="I25" s="71" t="n">
        <x:f>IF(OR(A25="",H25&lt;=0),0,MAX(TODAY()-E25,0))</x:f>
        <x:v>0</x:v>
      </x:c>
      <x:c r="J25" s="18"/>
      <x:c r="K25" s="18"/>
    </x:row>
    <x:row r="26">
      <x:c r="A26" s="18"/>
      <x:c r="B26" s="18"/>
      <x:c r="C26" s="18"/>
      <x:c r="D26" s="79"/>
      <x:c r="E26" s="79"/>
      <x:c r="F26" s="20"/>
      <x:c r="G26" s="20"/>
      <x:c r="H26" s="44" t="str">
        <x:f>IF(A26="","",F26-G26)</x:f>
      </x:c>
      <x:c r="I26" s="71" t="n">
        <x:f>IF(OR(A26="",H26&lt;=0),0,MAX(TODAY()-E26,0))</x:f>
        <x:v>0</x:v>
      </x:c>
      <x:c r="J26" s="18"/>
      <x:c r="K26" s="18"/>
    </x:row>
    <x:row r="27">
      <x:c r="A27" s="18"/>
      <x:c r="B27" s="18"/>
      <x:c r="C27" s="18"/>
      <x:c r="D27" s="79"/>
      <x:c r="E27" s="79"/>
      <x:c r="F27" s="20"/>
      <x:c r="G27" s="20"/>
      <x:c r="H27" s="44" t="str">
        <x:f>IF(A27="","",F27-G27)</x:f>
      </x:c>
      <x:c r="I27" s="71" t="n">
        <x:f>IF(OR(A27="",H27&lt;=0),0,MAX(TODAY()-E27,0))</x:f>
        <x:v>0</x:v>
      </x:c>
      <x:c r="J27" s="18"/>
      <x:c r="K27" s="18"/>
    </x:row>
    <x:row r="28">
      <x:c r="A28" s="18"/>
      <x:c r="B28" s="18"/>
      <x:c r="C28" s="18"/>
      <x:c r="D28" s="79"/>
      <x:c r="E28" s="79"/>
      <x:c r="F28" s="20"/>
      <x:c r="G28" s="20"/>
      <x:c r="H28" s="44" t="str">
        <x:f>IF(A28="","",F28-G28)</x:f>
      </x:c>
      <x:c r="I28" s="71" t="n">
        <x:f>IF(OR(A28="",H28&lt;=0),0,MAX(TODAY()-E28,0))</x:f>
        <x:v>0</x:v>
      </x:c>
      <x:c r="J28" s="18"/>
      <x:c r="K28" s="18"/>
    </x:row>
    <x:row r="29">
      <x:c r="A29" s="18"/>
      <x:c r="B29" s="18"/>
      <x:c r="C29" s="18"/>
      <x:c r="D29" s="79"/>
      <x:c r="E29" s="79"/>
      <x:c r="F29" s="20"/>
      <x:c r="G29" s="20"/>
      <x:c r="H29" s="44" t="str">
        <x:f>IF(A29="","",F29-G29)</x:f>
      </x:c>
      <x:c r="I29" s="71" t="n">
        <x:f>IF(OR(A29="",H29&lt;=0),0,MAX(TODAY()-E29,0))</x:f>
        <x:v>0</x:v>
      </x:c>
      <x:c r="J29" s="18"/>
      <x:c r="K29" s="18"/>
    </x:row>
    <x:row r="30">
      <x:c r="A30" s="18"/>
      <x:c r="B30" s="18"/>
      <x:c r="C30" s="18"/>
      <x:c r="D30" s="79"/>
      <x:c r="E30" s="79"/>
      <x:c r="F30" s="20"/>
      <x:c r="G30" s="20"/>
      <x:c r="H30" s="44" t="str">
        <x:f>IF(A30="","",F30-G30)</x:f>
      </x:c>
      <x:c r="I30" s="71" t="n">
        <x:f>IF(OR(A30="",H30&lt;=0),0,MAX(TODAY()-E30,0))</x:f>
        <x:v>0</x:v>
      </x:c>
      <x:c r="J30" s="18"/>
      <x:c r="K30" s="18"/>
    </x:row>
    <x:row r="31">
      <x:c r="A31" s="18"/>
      <x:c r="B31" s="18"/>
      <x:c r="C31" s="18"/>
      <x:c r="D31" s="79"/>
      <x:c r="E31" s="79"/>
      <x:c r="F31" s="20"/>
      <x:c r="G31" s="20"/>
      <x:c r="H31" s="44" t="str">
        <x:f>IF(A31="","",F31-G31)</x:f>
      </x:c>
      <x:c r="I31" s="71" t="n">
        <x:f>IF(OR(A31="",H31&lt;=0),0,MAX(TODAY()-E31,0))</x:f>
        <x:v>0</x:v>
      </x:c>
      <x:c r="J31" s="18"/>
      <x:c r="K31" s="18"/>
    </x:row>
    <x:row r="32">
      <x:c r="A32" s="18"/>
      <x:c r="B32" s="18"/>
      <x:c r="C32" s="18"/>
      <x:c r="D32" s="79"/>
      <x:c r="E32" s="79"/>
      <x:c r="F32" s="20"/>
      <x:c r="G32" s="20"/>
      <x:c r="H32" s="44" t="str">
        <x:f>IF(A32="","",F32-G32)</x:f>
      </x:c>
      <x:c r="I32" s="71" t="n">
        <x:f>IF(OR(A32="",H32&lt;=0),0,MAX(TODAY()-E32,0))</x:f>
        <x:v>0</x:v>
      </x:c>
      <x:c r="J32" s="18"/>
      <x:c r="K32" s="18"/>
    </x:row>
    <x:row r="33">
      <x:c r="A33" s="18"/>
      <x:c r="B33" s="18"/>
      <x:c r="C33" s="18"/>
      <x:c r="D33" s="79"/>
      <x:c r="E33" s="79"/>
      <x:c r="F33" s="20"/>
      <x:c r="G33" s="20"/>
      <x:c r="H33" s="44" t="str">
        <x:f>IF(A33="","",F33-G33)</x:f>
      </x:c>
      <x:c r="I33" s="71" t="n">
        <x:f>IF(OR(A33="",H33&lt;=0),0,MAX(TODAY()-E33,0))</x:f>
        <x:v>0</x:v>
      </x:c>
      <x:c r="J33" s="18"/>
      <x:c r="K33" s="18"/>
    </x:row>
    <x:row r="34">
      <x:c r="A34" s="18"/>
      <x:c r="B34" s="18"/>
      <x:c r="C34" s="18"/>
      <x:c r="D34" s="79"/>
      <x:c r="E34" s="79"/>
      <x:c r="F34" s="20"/>
      <x:c r="G34" s="20"/>
      <x:c r="H34" s="44" t="str">
        <x:f>IF(A34="","",F34-G34)</x:f>
      </x:c>
      <x:c r="I34" s="71" t="n">
        <x:f>IF(OR(A34="",H34&lt;=0),0,MAX(TODAY()-E34,0))</x:f>
        <x:v>0</x:v>
      </x:c>
      <x:c r="J34" s="18"/>
      <x:c r="K34" s="18"/>
    </x:row>
    <x:row r="35">
      <x:c r="A35" s="18"/>
      <x:c r="B35" s="18"/>
      <x:c r="C35" s="18"/>
      <x:c r="D35" s="79"/>
      <x:c r="E35" s="79"/>
      <x:c r="F35" s="20"/>
      <x:c r="G35" s="20"/>
      <x:c r="H35" s="44" t="str">
        <x:f>IF(A35="","",F35-G35)</x:f>
      </x:c>
      <x:c r="I35" s="71" t="n">
        <x:f>IF(OR(A35="",H35&lt;=0),0,MAX(TODAY()-E35,0))</x:f>
        <x:v>0</x:v>
      </x:c>
      <x:c r="J35" s="18"/>
      <x:c r="K35" s="18"/>
    </x:row>
    <x:row r="36">
      <x:c r="A36" s="18"/>
      <x:c r="B36" s="18"/>
      <x:c r="C36" s="18"/>
      <x:c r="D36" s="79"/>
      <x:c r="E36" s="79"/>
      <x:c r="F36" s="20"/>
      <x:c r="G36" s="20"/>
      <x:c r="H36" s="44" t="str">
        <x:f>IF(A36="","",F36-G36)</x:f>
      </x:c>
      <x:c r="I36" s="71" t="n">
        <x:f>IF(OR(A36="",H36&lt;=0),0,MAX(TODAY()-E36,0))</x:f>
        <x:v>0</x:v>
      </x:c>
      <x:c r="J36" s="18"/>
      <x:c r="K36" s="18"/>
    </x:row>
    <x:row r="37">
      <x:c r="A37" s="18"/>
      <x:c r="B37" s="18"/>
      <x:c r="C37" s="18"/>
      <x:c r="D37" s="79"/>
      <x:c r="E37" s="79"/>
      <x:c r="F37" s="20"/>
      <x:c r="G37" s="20"/>
      <x:c r="H37" s="44" t="str">
        <x:f>IF(A37="","",F37-G37)</x:f>
      </x:c>
      <x:c r="I37" s="71" t="n">
        <x:f>IF(OR(A37="",H37&lt;=0),0,MAX(TODAY()-E37,0))</x:f>
        <x:v>0</x:v>
      </x:c>
      <x:c r="J37" s="18"/>
      <x:c r="K37" s="18"/>
    </x:row>
    <x:row r="38">
      <x:c r="A38" s="18"/>
      <x:c r="B38" s="18"/>
      <x:c r="C38" s="18"/>
      <x:c r="D38" s="79"/>
      <x:c r="E38" s="79"/>
      <x:c r="F38" s="20"/>
      <x:c r="G38" s="20"/>
      <x:c r="H38" s="44" t="str">
        <x:f>IF(A38="","",F38-G38)</x:f>
      </x:c>
      <x:c r="I38" s="71" t="n">
        <x:f>IF(OR(A38="",H38&lt;=0),0,MAX(TODAY()-E38,0))</x:f>
        <x:v>0</x:v>
      </x:c>
      <x:c r="J38" s="18"/>
      <x:c r="K38" s="18"/>
    </x:row>
    <x:row r="39">
      <x:c r="A39" s="18"/>
      <x:c r="B39" s="18"/>
      <x:c r="C39" s="18"/>
      <x:c r="D39" s="79"/>
      <x:c r="E39" s="79"/>
      <x:c r="F39" s="20"/>
      <x:c r="G39" s="20"/>
      <x:c r="H39" s="44" t="str">
        <x:f>IF(A39="","",F39-G39)</x:f>
      </x:c>
      <x:c r="I39" s="71" t="n">
        <x:f>IF(OR(A39="",H39&lt;=0),0,MAX(TODAY()-E39,0))</x:f>
        <x:v>0</x:v>
      </x:c>
      <x:c r="J39" s="18"/>
      <x:c r="K39" s="18"/>
    </x:row>
    <x:row r="40">
      <x:c r="A40" s="18"/>
      <x:c r="B40" s="18"/>
      <x:c r="C40" s="18"/>
      <x:c r="D40" s="79"/>
      <x:c r="E40" s="79"/>
      <x:c r="F40" s="20"/>
      <x:c r="G40" s="20"/>
      <x:c r="H40" s="44" t="str">
        <x:f>IF(A40="","",F40-G40)</x:f>
      </x:c>
      <x:c r="I40" s="71" t="n">
        <x:f>IF(OR(A40="",H40&lt;=0),0,MAX(TODAY()-E40,0))</x:f>
        <x:v>0</x:v>
      </x:c>
      <x:c r="J40" s="18"/>
      <x:c r="K40" s="18"/>
    </x:row>
    <x:row r="41">
      <x:c r="A41" s="18"/>
      <x:c r="B41" s="18"/>
      <x:c r="C41" s="18"/>
      <x:c r="D41" s="79"/>
      <x:c r="E41" s="79"/>
      <x:c r="F41" s="20"/>
      <x:c r="G41" s="20"/>
      <x:c r="H41" s="44" t="str">
        <x:f>IF(A41="","",F41-G41)</x:f>
      </x:c>
      <x:c r="I41" s="71" t="n">
        <x:f>IF(OR(A41="",H41&lt;=0),0,MAX(TODAY()-E41,0))</x:f>
        <x:v>0</x:v>
      </x:c>
      <x:c r="J41" s="18"/>
      <x:c r="K41" s="18"/>
    </x:row>
    <x:row r="42">
      <x:c r="A42" s="18"/>
      <x:c r="B42" s="18"/>
      <x:c r="C42" s="18"/>
      <x:c r="D42" s="79"/>
      <x:c r="E42" s="79"/>
      <x:c r="F42" s="20"/>
      <x:c r="G42" s="20"/>
      <x:c r="H42" s="44" t="str">
        <x:f>IF(A42="","",F42-G42)</x:f>
      </x:c>
      <x:c r="I42" s="71" t="n">
        <x:f>IF(OR(A42="",H42&lt;=0),0,MAX(TODAY()-E42,0))</x:f>
        <x:v>0</x:v>
      </x:c>
      <x:c r="J42" s="18"/>
      <x:c r="K42" s="18"/>
    </x:row>
    <x:row r="43">
      <x:c r="A43" s="18"/>
      <x:c r="B43" s="18"/>
      <x:c r="C43" s="18"/>
      <x:c r="D43" s="79"/>
      <x:c r="E43" s="79"/>
      <x:c r="F43" s="20"/>
      <x:c r="G43" s="20"/>
      <x:c r="H43" s="44" t="str">
        <x:f>IF(A43="","",F43-G43)</x:f>
      </x:c>
      <x:c r="I43" s="71" t="n">
        <x:f>IF(OR(A43="",H43&lt;=0),0,MAX(TODAY()-E43,0))</x:f>
        <x:v>0</x:v>
      </x:c>
      <x:c r="J43" s="18"/>
      <x:c r="K43" s="18"/>
    </x:row>
    <x:row r="44">
      <x:c r="A44" s="18"/>
      <x:c r="B44" s="18"/>
      <x:c r="C44" s="18"/>
      <x:c r="D44" s="79"/>
      <x:c r="E44" s="79"/>
      <x:c r="F44" s="20"/>
      <x:c r="G44" s="20"/>
      <x:c r="H44" s="44" t="str">
        <x:f>IF(A44="","",F44-G44)</x:f>
      </x:c>
      <x:c r="I44" s="71" t="n">
        <x:f>IF(OR(A44="",H44&lt;=0),0,MAX(TODAY()-E44,0))</x:f>
        <x:v>0</x:v>
      </x:c>
      <x:c r="J44" s="18"/>
      <x:c r="K44" s="18"/>
    </x:row>
    <x:row r="45">
      <x:c r="A45" s="18"/>
      <x:c r="B45" s="18"/>
      <x:c r="C45" s="18"/>
      <x:c r="D45" s="79"/>
      <x:c r="E45" s="79"/>
      <x:c r="F45" s="20"/>
      <x:c r="G45" s="20"/>
      <x:c r="H45" s="44" t="str">
        <x:f>IF(A45="","",F45-G45)</x:f>
      </x:c>
      <x:c r="I45" s="71" t="n">
        <x:f>IF(OR(A45="",H45&lt;=0),0,MAX(TODAY()-E45,0))</x:f>
        <x:v>0</x:v>
      </x:c>
      <x:c r="J45" s="18"/>
      <x:c r="K45" s="18"/>
    </x:row>
    <x:row r="46">
      <x:c r="A46" s="18"/>
      <x:c r="B46" s="18"/>
      <x:c r="C46" s="18"/>
      <x:c r="D46" s="79"/>
      <x:c r="E46" s="79"/>
      <x:c r="F46" s="20"/>
      <x:c r="G46" s="20"/>
      <x:c r="H46" s="44" t="str">
        <x:f>IF(A46="","",F46-G46)</x:f>
      </x:c>
      <x:c r="I46" s="71" t="n">
        <x:f>IF(OR(A46="",H46&lt;=0),0,MAX(TODAY()-E46,0))</x:f>
        <x:v>0</x:v>
      </x:c>
      <x:c r="J46" s="18"/>
      <x:c r="K46" s="18"/>
    </x:row>
    <x:row r="47">
      <x:c r="A47" s="18"/>
      <x:c r="B47" s="18"/>
      <x:c r="C47" s="18"/>
      <x:c r="D47" s="79"/>
      <x:c r="E47" s="79"/>
      <x:c r="F47" s="20"/>
      <x:c r="G47" s="20"/>
      <x:c r="H47" s="44" t="str">
        <x:f>IF(A47="","",F47-G47)</x:f>
      </x:c>
      <x:c r="I47" s="71" t="n">
        <x:f>IF(OR(A47="",H47&lt;=0),0,MAX(TODAY()-E47,0))</x:f>
        <x:v>0</x:v>
      </x:c>
      <x:c r="J47" s="18"/>
      <x:c r="K47" s="18"/>
    </x:row>
    <x:row r="48">
      <x:c r="A48" s="18"/>
      <x:c r="B48" s="18"/>
      <x:c r="C48" s="18"/>
      <x:c r="D48" s="79"/>
      <x:c r="E48" s="79"/>
      <x:c r="F48" s="20"/>
      <x:c r="G48" s="20"/>
      <x:c r="H48" s="44" t="str">
        <x:f>IF(A48="","",F48-G48)</x:f>
      </x:c>
      <x:c r="I48" s="71" t="n">
        <x:f>IF(OR(A48="",H48&lt;=0),0,MAX(TODAY()-E48,0))</x:f>
        <x:v>0</x:v>
      </x:c>
      <x:c r="J48" s="18"/>
      <x:c r="K48" s="18"/>
    </x:row>
    <x:row r="49">
      <x:c r="A49" s="18"/>
      <x:c r="B49" s="18"/>
      <x:c r="C49" s="18"/>
      <x:c r="D49" s="79"/>
      <x:c r="E49" s="79"/>
      <x:c r="F49" s="20"/>
      <x:c r="G49" s="20"/>
      <x:c r="H49" s="44" t="str">
        <x:f>IF(A49="","",F49-G49)</x:f>
      </x:c>
      <x:c r="I49" s="71" t="n">
        <x:f>IF(OR(A49="",H49&lt;=0),0,MAX(TODAY()-E49,0))</x:f>
        <x:v>0</x:v>
      </x:c>
      <x:c r="J49" s="18"/>
      <x:c r="K49" s="18"/>
    </x:row>
    <x:row r="50">
      <x:c r="A50" s="18"/>
      <x:c r="B50" s="18"/>
      <x:c r="C50" s="18"/>
      <x:c r="D50" s="79"/>
      <x:c r="E50" s="79"/>
      <x:c r="F50" s="20"/>
      <x:c r="G50" s="20"/>
      <x:c r="H50" s="44" t="str">
        <x:f>IF(A50="","",F50-G50)</x:f>
      </x:c>
      <x:c r="I50" s="71" t="n">
        <x:f>IF(OR(A50="",H50&lt;=0),0,MAX(TODAY()-E50,0))</x:f>
        <x:v>0</x:v>
      </x:c>
      <x:c r="J50" s="18"/>
      <x:c r="K50" s="18"/>
    </x:row>
    <x:row r="51">
      <x:c r="A51" s="18"/>
      <x:c r="B51" s="18"/>
      <x:c r="C51" s="18"/>
      <x:c r="D51" s="79"/>
      <x:c r="E51" s="79"/>
      <x:c r="F51" s="20"/>
      <x:c r="G51" s="20"/>
      <x:c r="H51" s="44" t="str">
        <x:f>IF(A51="","",F51-G51)</x:f>
      </x:c>
      <x:c r="I51" s="71" t="n">
        <x:f>IF(OR(A51="",H51&lt;=0),0,MAX(TODAY()-E51,0))</x:f>
        <x:v>0</x:v>
      </x:c>
      <x:c r="J51" s="18"/>
      <x:c r="K51" s="18"/>
    </x:row>
    <x:row r="52">
      <x:c r="A52" s="18"/>
      <x:c r="B52" s="18"/>
      <x:c r="C52" s="18"/>
      <x:c r="D52" s="79"/>
      <x:c r="E52" s="79"/>
      <x:c r="F52" s="20"/>
      <x:c r="G52" s="20"/>
      <x:c r="H52" s="44" t="str">
        <x:f>IF(A52="","",F52-G52)</x:f>
      </x:c>
      <x:c r="I52" s="71" t="n">
        <x:f>IF(OR(A52="",H52&lt;=0),0,MAX(TODAY()-E52,0))</x:f>
        <x:v>0</x:v>
      </x:c>
      <x:c r="J52" s="18"/>
      <x:c r="K52" s="18"/>
    </x:row>
    <x:row r="53">
      <x:c r="A53" s="18"/>
      <x:c r="B53" s="18"/>
      <x:c r="C53" s="18"/>
      <x:c r="D53" s="79"/>
      <x:c r="E53" s="79"/>
      <x:c r="F53" s="20"/>
      <x:c r="G53" s="20"/>
      <x:c r="H53" s="44" t="str">
        <x:f>IF(A53="","",F53-G53)</x:f>
      </x:c>
      <x:c r="I53" s="71" t="n">
        <x:f>IF(OR(A53="",H53&lt;=0),0,MAX(TODAY()-E53,0))</x:f>
        <x:v>0</x:v>
      </x:c>
      <x:c r="J53" s="18"/>
      <x:c r="K53" s="18"/>
    </x:row>
  </x:sheetData>
  <x:mergeCells>
    <x:mergeCell ref="A1:K1"/>
  </x:mergeCells>
  <x:conditionalFormatting sqref="I4:I53">
    <x:cfRule type="expression" dxfId="4" priority="1">
      <x:formula>I4&gt;0</x:formula>
    </x:cfRule>
  </x:conditionalFormatting>
  <x:dataValidations count="1">
    <x:dataValidation type="list" sqref="J4:J53">
      <x:formula1>"Пример,Open,Partial,Paid,Overdue,Disputed,Written Off"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3" t="str">
        <x:v>WEBFORGE — Financial &amp; Operating KPI Dashboard</x:v>
      </x:c>
      <x:c r="B1" s="3"/>
      <x:c r="C1" s="3"/>
      <x:c r="D1" s="3"/>
      <x:c r="E1" s="3"/>
      <x:c r="F1" s="3"/>
      <x:c r="G1" s="3"/>
      <x:c r="H1" s="3"/>
    </x:row>
    <x:row r="2">
      <x:c r="J2" s="11" t="str">
        <x:v>Month</x:v>
      </x:c>
      <x:c r="K2" s="11" t="str">
        <x:v>Total Revenue</x:v>
      </x:c>
      <x:c r="L2" s="11" t="str">
        <x:v>Planning Net</x:v>
      </x:c>
    </x:row>
    <x:row r="3">
      <x:c r="A3" s="11" t="str">
        <x:v>KPI</x:v>
      </x:c>
      <x:c r="B3" s="11" t="str">
        <x:v>Value</x:v>
      </x:c>
      <x:c r="D3" s="11" t="str">
        <x:v>Management Notes</x:v>
      </x:c>
      <x:c r="E3" s="11"/>
      <x:c r="F3" s="11"/>
      <x:c r="G3" s="11"/>
      <x:c r="H3" s="11"/>
      <x:c r="J3" s="77" t="n">
        <x:f>'Monthly Plan'!A4</x:f>
        <x:v>46235</x:v>
      </x:c>
      <x:c r="K3" s="43" t="n">
        <x:f>'Monthly Plan'!L4</x:f>
        <x:v>3243</x:v>
      </x:c>
      <x:c r="L3" s="43" t="n">
        <x:f>'Monthly Plan'!R4</x:f>
        <x:v>-857</x:v>
      </x:c>
    </x:row>
    <x:row r="4">
      <x:c r="A4" s="30" t="str">
        <x:v>12-Month Revenue</x:v>
      </x:c>
      <x:c r="B4" s="43" t="n">
        <x:f>SUM('Monthly Plan'!L4:L15)</x:f>
        <x:v>101662</x:v>
      </x:c>
      <x:c r="D4" s="92" t="str">
        <x:v>Model is for planning, not statutory accounting.
Blue font = editable hardcoded input.
Green font = formula linked to another worksheet.
Black font = calculation on the same worksheet.
Planning reserve is not a tax calculation.
Replace example rows before production use.</x:v>
      </x:c>
      <x:c r="E4" s="92"/>
      <x:c r="F4" s="92"/>
      <x:c r="G4" s="92"/>
      <x:c r="H4" s="92"/>
      <x:c r="J4" s="77" t="n">
        <x:f>'Monthly Plan'!A5</x:f>
        <x:v>46266</x:v>
      </x:c>
      <x:c r="K4" s="43" t="n">
        <x:f>'Monthly Plan'!L5</x:f>
        <x:v>4690</x:v>
      </x:c>
      <x:c r="L4" s="43" t="n">
        <x:f>'Monthly Plan'!R5</x:f>
        <x:v>182.75</x:v>
      </x:c>
    </x:row>
    <x:row r="5">
      <x:c r="A5" s="30" t="str">
        <x:v>12-Month Planning Net</x:v>
      </x:c>
      <x:c r="B5" s="43" t="n">
        <x:f>SUM('Monthly Plan'!R4:R15)</x:f>
        <x:v>33626.65</x:v>
      </x:c>
      <x:c r="D5" s="92"/>
      <x:c r="E5" s="92"/>
      <x:c r="F5" s="92"/>
      <x:c r="G5" s="92"/>
      <x:c r="H5" s="92"/>
      <x:c r="J5" s="77" t="n">
        <x:f>'Monthly Plan'!A6</x:f>
        <x:v>46296</x:v>
      </x:c>
      <x:c r="K5" s="43" t="n">
        <x:f>'Monthly Plan'!L6</x:f>
        <x:v>5736</x:v>
      </x:c>
      <x:c r="L5" s="43" t="n">
        <x:f>'Monthly Plan'!R6</x:f>
        <x:v>933.725</x:v>
      </x:c>
    </x:row>
    <x:row r="6">
      <x:c r="A6" s="30" t="str">
        <x:v>Average Monthly Planning Net</x:v>
      </x:c>
      <x:c r="B6" s="43" t="n">
        <x:f>AVERAGE('Monthly Plan'!R4:R15)</x:f>
        <x:v>2802.2208333333333</x:v>
      </x:c>
      <x:c r="D6" s="92"/>
      <x:c r="E6" s="92"/>
      <x:c r="F6" s="92"/>
      <x:c r="G6" s="92"/>
      <x:c r="H6" s="92"/>
      <x:c r="J6" s="77" t="n">
        <x:f>'Monthly Plan'!A7</x:f>
        <x:v>46327</x:v>
      </x:c>
      <x:c r="K6" s="43" t="n">
        <x:f>'Monthly Plan'!L7</x:f>
        <x:v>8482</x:v>
      </x:c>
      <x:c r="L6" s="43" t="n">
        <x:f>'Monthly Plan'!R7</x:f>
        <x:v>2417.825</x:v>
      </x:c>
    </x:row>
    <x:row r="7">
      <x:c r="A7" s="30" t="str">
        <x:v>Target Monthly Planning Net</x:v>
      </x:c>
      <x:c r="B7" s="43" t="n">
        <x:f>Inputs!$C$4</x:f>
        <x:v>7000</x:v>
      </x:c>
      <x:c r="D7" s="92"/>
      <x:c r="E7" s="92"/>
      <x:c r="F7" s="92"/>
      <x:c r="G7" s="92"/>
      <x:c r="H7" s="92"/>
      <x:c r="J7" s="77" t="n">
        <x:f>'Monthly Plan'!A8</x:f>
        <x:v>46357</x:v>
      </x:c>
      <x:c r="K7" s="43" t="n">
        <x:f>'Monthly Plan'!L8</x:f>
        <x:v>5129</x:v>
      </x:c>
      <x:c r="L7" s="43" t="n">
        <x:f>'Monthly Plan'!R8</x:f>
        <x:v>640.9</x:v>
      </x:c>
    </x:row>
    <x:row r="8">
      <x:c r="A8" s="30" t="str">
        <x:v>Months At/Above Target</x:v>
      </x:c>
      <x:c r="B8" s="85" t="n">
        <x:f>COUNTIF('Monthly Plan'!R4:R15,"&gt;="&amp;Inputs!$C$4)</x:f>
        <x:v>1</x:v>
      </x:c>
      <x:c r="D8" s="92"/>
      <x:c r="E8" s="92"/>
      <x:c r="F8" s="92"/>
      <x:c r="G8" s="92"/>
      <x:c r="H8" s="92"/>
      <x:c r="J8" s="77" t="n">
        <x:f>'Monthly Plan'!A9</x:f>
        <x:v>46388</x:v>
      </x:c>
      <x:c r="K8" s="43" t="n">
        <x:f>'Monthly Plan'!L9</x:f>
        <x:v>5974</x:v>
      </x:c>
      <x:c r="L8" s="43" t="n">
        <x:f>'Monthly Plan'!R9</x:f>
        <x:v>1274.15</x:v>
      </x:c>
    </x:row>
    <x:row r="9">
      <x:c r="A9" s="30" t="str">
        <x:v>End MRR</x:v>
      </x:c>
      <x:c r="B9" s="43" t="n">
        <x:f>'Monthly Plan'!K15</x:f>
        <x:v>5430</x:v>
      </x:c>
      <x:c r="D9" s="92"/>
      <x:c r="E9" s="92"/>
      <x:c r="F9" s="92"/>
      <x:c r="G9" s="92"/>
      <x:c r="H9" s="92"/>
      <x:c r="J9" s="77" t="n">
        <x:f>'Monthly Plan'!A10</x:f>
        <x:v>46419</x:v>
      </x:c>
      <x:c r="K9" s="43" t="n">
        <x:f>'Monthly Plan'!L10</x:f>
        <x:v>9469</x:v>
      </x:c>
      <x:c r="L9" s="43" t="n">
        <x:f>'Monthly Plan'!R10</x:f>
        <x:v>3256.775</x:v>
      </x:c>
    </x:row>
    <x:row r="10">
      <x:c r="A10" s="30" t="str">
        <x:v>Total Projects</x:v>
      </x:c>
      <x:c r="B10" s="85" t="n">
        <x:f>SUM('Monthly Plan'!T4:T15)</x:f>
        <x:v>92</x:v>
      </x:c>
      <x:c r="J10" s="77" t="n">
        <x:f>'Monthly Plan'!A11</x:f>
        <x:v>46447</x:v>
      </x:c>
      <x:c r="K10" s="43" t="n">
        <x:f>'Monthly Plan'!L11</x:f>
        <x:v>8213</x:v>
      </x:c>
      <x:c r="L10" s="43" t="n">
        <x:f>'Monthly Plan'!R11</x:f>
        <x:v>2890.425</x:v>
      </x:c>
    </x:row>
    <x:row r="11">
      <x:c r="A11" s="30" t="str">
        <x:v>Average Project Revenue</x:v>
      </x:c>
      <x:c r="B11" s="43" t="n">
        <x:f>IFERROR(SUM('Monthly Plan'!G4:G15)/SUM('Monthly Plan'!T4:T15),0)</x:f>
        <x:v>789.1304347826087</x:v>
      </x:c>
      <x:c r="J11" s="77" t="n">
        <x:f>'Monthly Plan'!A12</x:f>
        <x:v>46478</x:v>
      </x:c>
      <x:c r="K11" s="43" t="n">
        <x:f>'Monthly Plan'!L12</x:f>
        <x:v>10407</x:v>
      </x:c>
      <x:c r="L11" s="43" t="n">
        <x:f>'Monthly Plan'!R12</x:f>
        <x:v>4054.075</x:v>
      </x:c>
    </x:row>
    <x:row r="12">
      <x:c r="A12" s="30" t="str">
        <x:v>Gross Margin</x:v>
      </x:c>
      <x:c r="B12" s="86" t="n">
        <x:f>IFERROR(SUM('Monthly Plan'!N4:N15)/SUM('Monthly Plan'!L4:L15),0)</x:f>
        <x:v>0.7919576636304617</x:v>
      </x:c>
      <x:c r="J12" s="77" t="n">
        <x:f>'Monthly Plan'!A13</x:f>
        <x:v>46508</x:v>
      </x:c>
      <x:c r="K12" s="43" t="n">
        <x:f>'Monthly Plan'!L13</x:f>
        <x:v>11499</x:v>
      </x:c>
      <x:c r="L12" s="43" t="n">
        <x:f>'Monthly Plan'!R13</x:f>
        <x:v>4897.275</x:v>
      </x:c>
    </x:row>
    <x:row r="13">
      <x:c r="A13" s="30" t="str">
        <x:v>Ending Cash</x:v>
      </x:c>
      <x:c r="B13" s="43" t="n">
        <x:f>'Cash Flow'!J15</x:f>
        <x:v>26460.450000000004</x:v>
      </x:c>
      <x:c r="J13" s="77" t="n">
        <x:f>'Monthly Plan'!A14</x:f>
        <x:v>46539</x:v>
      </x:c>
      <x:c r="K13" s="43" t="n">
        <x:f>'Monthly Plan'!L14</x:f>
        <x:v>13190</x:v>
      </x:c>
      <x:c r="L13" s="43" t="n">
        <x:f>'Monthly Plan'!R14</x:f>
        <x:v>6132.75</x:v>
      </x:c>
    </x:row>
    <x:row r="14">
      <x:c r="A14" s="30" t="str">
        <x:v>Fixed-Cost Runway (months)</x:v>
      </x:c>
      <x:c r="B14" s="87" t="n">
        <x:f>IFERROR('Cash Flow'!J15/AVERAGE('Monthly Plan'!O4:O15),0)</x:f>
        <x:v>7.782485294117649</x:v>
      </x:c>
      <x:c r="J14" s="77" t="n">
        <x:f>'Monthly Plan'!A15</x:f>
        <x:v>46569</x:v>
      </x:c>
      <x:c r="K14" s="43" t="n">
        <x:f>'Monthly Plan'!L15</x:f>
        <x:v>15630</x:v>
      </x:c>
      <x:c r="L14" s="43" t="n">
        <x:f>'Monthly Plan'!R15</x:f>
        <x:v>7803</x:v>
      </x:c>
    </x:row>
  </x:sheetData>
  <x:mergeCells>
    <x:mergeCell ref="A1:H1"/>
    <x:mergeCell ref="D3:H3"/>
    <x:mergeCell ref="D4:H9"/>
  </x:mergeCells>
  <x:pageMargins left="0.7" right="0.7" top="0.75" bottom="0.75" header="0.3" footer="0.3"/>
  <x:drawing xmlns:r="http://schemas.openxmlformats.org/officeDocument/2006/relationships" r:id="R9ea663d1ce2c4387"/>
</x:worksheet>
</file>